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29.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0.xml"/>
  <Override ContentType="application/vnd.ms-excel.documenttasks+xml" PartName="/xl/documenttasks/documenttask31.xml"/>
  <Override ContentType="application/vnd.ms-excel.documenttasks+xml" PartName="/xl/documenttasks/documenttask9.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28.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19.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3.xml"/>
  <Override ContentType="application/vnd.ms-excel.documenttasks+xml" PartName="/xl/documenttasks/documenttask26.xml"/>
  <Override ContentType="application/vnd.ms-excel.documenttasks+xml" PartName="/xl/documenttasks/documenttask27.xml"/>
  <Override ContentType="application/vnd.ms-excel.documenttasks+xml" PartName="/xl/documenttasks/documenttask22.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5.xml"/>
  <Override ContentType="application/vnd.ms-excel.documenttasks+xml" PartName="/xl/documenttasks/documenttask12.xml"/>
  <Override ContentType="application/vnd.ms-excel.documenttasks+xml" PartName="/xl/documenttasks/documenttask21.xml"/>
  <Override ContentType="application/vnd.ms-excel.documenttasks+xml" PartName="/xl/documenttasks/documenttask30.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6.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20.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27.xml"/>
  <Override ContentType="application/vnd.ms-excel.threadedcomments+xml" PartName="/xl/threadedComments/threadedComment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28.xml"/>
  <Override ContentType="application/vnd.ms-excel.threadedcomments+xml" PartName="/xl/threadedComments/threadedComment31.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29.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5.xml"/>
  <Override ContentType="application/vnd.ms-excel.threadedcomments+xml" PartName="/xl/threadedComments/threadedComment17.xml"/>
  <Override ContentType="application/vnd.ms-excel.threadedcomments+xml" PartName="/xl/threadedComments/threadedComment21.xml"/>
  <Override ContentType="application/vnd.ms-excel.threadedcomments+xml" PartName="/xl/threadedComments/threadedComment30.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22.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her Important Documents" sheetId="1" r:id="rId5"/>
    <sheet state="visible" name="Offline Dashboard" sheetId="2" r:id="rId6"/>
    <sheet state="visible" name="Summary" sheetId="3" r:id="rId7"/>
    <sheet state="visible" name="CHW mapping facility centre" sheetId="4" r:id="rId8"/>
    <sheet state="visible" name="Solution Review" sheetId="5" r:id="rId9"/>
    <sheet state="visible" name="Org Details" sheetId="6" r:id="rId10"/>
    <sheet state="visible" name="Visit Scheduling" sheetId="7" r:id="rId11"/>
    <sheet state="visible" name="Form Metadata &amp; User Group Perm" sheetId="8" r:id="rId12"/>
    <sheet state="visible" name="User Location Details" sheetId="9" r:id="rId13"/>
    <sheet state="visible" name="Location Properties" sheetId="10" r:id="rId14"/>
    <sheet state="visible" name="Program Enrolment Eligibility" sheetId="11" r:id="rId15"/>
    <sheet state="visible" name="Program Encounter Eligibility" sheetId="12" r:id="rId16"/>
    <sheet state="visible" name="Individual Registration" sheetId="13" r:id="rId17"/>
    <sheet state="visible" name="Pregnancy Enrolment" sheetId="14" r:id="rId18"/>
    <sheet state="visible" name="ANC" sheetId="15" r:id="rId19"/>
    <sheet state="visible" name="ANC Cancellation" sheetId="16" r:id="rId20"/>
    <sheet state="visible" name="PNC" sheetId="17" r:id="rId21"/>
    <sheet state="visible" name="PNC Cancellation" sheetId="18" r:id="rId22"/>
    <sheet state="visible" name="Mental Health Screening" sheetId="19" r:id="rId23"/>
    <sheet state="visible" name="Delivery" sheetId="20" r:id="rId24"/>
    <sheet state="visible" name="Pregnancy Exit" sheetId="21" r:id="rId25"/>
    <sheet state="visible" name="Child Enrollment" sheetId="22" r:id="rId26"/>
    <sheet state="visible" name="Child Followup and Anthropometr" sheetId="23" r:id="rId27"/>
    <sheet state="visible" name="Sheet35" sheetId="24" r:id="rId28"/>
    <sheet state="visible" name="Child Exit" sheetId="25" r:id="rId29"/>
    <sheet state="hidden" name="Immunization" sheetId="26" r:id="rId30"/>
    <sheet state="visible" name="Vaccination_Checklist" sheetId="27" r:id="rId31"/>
    <sheet state="visible" name="Refferal Enrolment Hospital for" sheetId="28" r:id="rId32"/>
    <sheet state="visible" name="Referral to Hospital Follow up" sheetId="29" r:id="rId33"/>
    <sheet state="visible" name="Referral Follow Up Cancellation" sheetId="30" r:id="rId34"/>
    <sheet state="visible" name="Referral to Hospital Exit" sheetId="31" r:id="rId35"/>
    <sheet state="visible" name="Save a Child Enrolment" sheetId="32" r:id="rId36"/>
    <sheet state="visible" name="Save a Child Follow Up" sheetId="33" r:id="rId37"/>
    <sheet state="visible" name="Save a child exit" sheetId="34" r:id="rId38"/>
    <sheet state="visible" name="Stakeholders Meeting" sheetId="35" r:id="rId39"/>
    <sheet state="visible" name="Convergence Action Plans" sheetId="36" r:id="rId40"/>
    <sheet state="visible" name="Awareness" sheetId="37" r:id="rId41"/>
    <sheet state="visible" name="Medical and Non-Medical Support" sheetId="38" r:id="rId42"/>
    <sheet state="visible" name="Training " sheetId="39" r:id="rId43"/>
  </sheets>
  <definedNames>
    <definedName hidden="1" localSheetId="26" name="_xlnm._FilterDatabase">Vaccination_Checklist!$A$1:$AB$25</definedName>
    <definedName hidden="1" localSheetId="38" name="_xlnm._FilterDatabase">'Training '!$A$1:$AA$1007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tc={01596b0a-cfd7-44e9-8af7-723cd4fcf6af}</author>
    <author>tc={050d65b8-4fba-479e-9787-1a2ae1d53b6e}</author>
    <author>tc={1d48d6a5-5810-4057-8c7c-60e26d70c63f}</author>
    <author>tc={2815346d-0cce-4a33-8cb8-137d3dadcf09}</author>
    <author>tc={2908148a-2332-4422-94a2-cae2c03ee1f7}</author>
    <author>tc={2a364dcd-be42-4d20-88b0-2f72fd58cd66}</author>
    <author>tc={2b9c966a-7fe9-4975-ae2c-9612af47f9fd}</author>
    <author>tc={31c1bdb8-b6bb-42c7-9165-5754887d59cc}</author>
    <author>tc={36c3a8d0-78da-4b37-b562-6d81d87050c5}</author>
    <author>tc={3d3acbfd-10b1-48d4-b57c-78d68c812600}</author>
    <author>tc={40d5350b-a30f-496a-833c-a6c14906b5e0}</author>
    <author>tc={412c93fc-b20d-44ff-85ed-56459ca06f37}</author>
    <author>tc={471a666c-218e-4e7f-bea7-67c228b25642}</author>
    <author>tc={4766a0a9-dd6b-4db9-9263-cb02e66938d6}</author>
    <author>tc={4e9cebed-5140-45f8-ac58-67c5e3b60516}</author>
    <author>tc={5a464a68-59b0-4da1-915c-d3989dd64bdc}</author>
    <author>tc={60d67b93-1487-4ea8-bd86-8764a8f0f971}</author>
    <author>tc={68c59318-5136-4ff2-b6f5-f2d52b18bad5}</author>
    <author>tc={699221ce-76d7-41b4-b271-0fc3211090c4}</author>
    <author>tc={6aee7c81-a242-41b7-a6ff-f7f36000fd7f}</author>
    <author>tc={6e14b5a6-aade-4ecc-b5ba-cfdd7a285d22}</author>
    <author>tc={6f4daead-2152-4347-9872-9a4859357a71}</author>
    <author>tc={72d8aa17-0f49-4bd5-b43b-3510062b8ff9}</author>
    <author>tc={73b31cad-21b3-4b30-bf4c-60038541aae9}</author>
    <author>tc={7968fac5-2228-4e90-b810-3c46bf30ab01}</author>
    <author>tc={80f28155-ebdb-462e-ba91-824f92d3c63b}</author>
    <author>tc={836145d6-8b76-41d1-aded-9e1ba7dcc9e2}</author>
    <author>tc={8a0ad4e7-22d9-4fa3-b1e5-1cbadd87fb41}</author>
    <author>tc={8b759968-3d79-4c9f-9052-3d360598742b}</author>
    <author>tc={8d018b98-29ba-4330-bb9a-5f78ffd14eef}</author>
    <author>tc={91700d12-ac9f-481c-b732-3a871741f7b5}</author>
    <author>tc={985ee66b-8ca4-4551-9cf6-35f7dbc0e266}</author>
    <author>tc={9df0c90a-8cb9-4a27-b17d-84a29148b8f4}</author>
    <author>tc={a3dce465-2fbb-4ac9-90a5-030790637c61}</author>
    <author>tc={a58fd1f2-26d6-40af-ad9e-405981605520}</author>
    <author>tc={af18cc7b-b565-4398-ad86-79bed707e189}</author>
    <author>tc={b2549ab5-c77a-4ea7-a04e-c30e59ee6574}</author>
    <author>tc={bb9d672e-9d59-41e9-b2ec-46380b2a9d70}</author>
    <author>tc={bf4c2361-add8-4596-8e26-f0b80eba54c6}</author>
    <author>tc={bfe7df7e-ef34-418d-9c18-6d48518bcf37}</author>
    <author>tc={c5a7d40b-fd9d-4773-93b1-e4642df43d37}</author>
    <author>tc={c8529f0d-a9ec-44d7-a884-a7b85d6cc00e}</author>
    <author>tc={cbaec800-e836-4913-b1e8-5e0aa8a29e23}</author>
    <author>tc={d580edbf-9135-4637-96ac-b75c91455201}</author>
    <author>tc={d8c1ce83-5cdb-4d02-b31f-35292d707775}</author>
    <author>tc={db5fc0cf-03d2-42fb-afea-99fcd0cce01b}</author>
    <author>tc={e165c344-970a-4065-900c-0d7643f2690b}</author>
    <author>tc={ecd8b759-0ae1-4e9e-96dc-72c5a102ccf8}</author>
    <author>tc={edc6e985-fda7-4881-889f-07a258c2f2c0}</author>
    <author>tc={f1c86241-61a3-4238-8022-0a0561381d72}</author>
    <author>tc={f5d07758-ba2e-4460-8c69-0d432501e305}</author>
    <author>tc={f97766d4-e4b0-4475-b701-f0152f4798db}</author>
    <author>tc={fdc8fc0e-e8c5-435a-873d-83370b7d4f90}</author>
  </authors>
  <commentList>
    <comment authorId="0" xr:uid="{01596b0a-cfd7-44e9-8af7-723cd4fcf6af}" ref="A1">
      <text>
        <t xml:space="preserve">[Threaded comment]
 Your version of Excel allows you to read this threaded comment; however, any edits to it will get removed if the file is opened in a newer version of Excel. Learn more: https://go.microsoft.com/fwlink/?linkid=870924
Comment:
	@tnprogramlead@ekam.ngo If we have source of Support. Do we need this question?
</t>
      </text>
    </comment>
    <comment authorId="1" xr:uid="{050d65b8-4fba-479e-9787-1a2ae1d53b6e}" ref="A1">
      <text>
        <t xml:space="preserve">[Threaded comment]
 Your version of Excel allows you to read this threaded comment; however, any edits to it will get removed if the file is opened in a newer version of Excel. Learn more: https://go.microsoft.com/fwlink/?linkid=870924
Comment:
	Need to discussed with Arjun if condition of age groups as per location
Reply:
	Anganwadi can be a location type - need to understand if it can be used for individual subject type
</t>
      </text>
    </comment>
    <comment authorId="2" xr:uid="{1d48d6a5-5810-4057-8c7c-60e26d70c63f}" ref="A1">
      <text>
        <t xml:space="preserve">[Threaded comment]
 Your version of Excel allows you to read this threaded comment; however, any edits to it will get removed if the file is opened in a newer version of Excel. Learn more: https://go.microsoft.com/fwlink/?linkid=870924
Comment:
	@mnedofficer@ekam.ngo @tnprogramlead@ekam.ngo @anjalib@samanvayfoundation.org Who has highlighted some of cards in green and why
Reply:
	Myself! We were discussing how many exit lists to include, so we have highlighted them. Once we finalise the Google Sheet, we will let you know @ashok.ku22@gmail.com
Reply:
	Thanks Manickam for the update. My suggestion would be leave a comment while highlighting items under internal discussion. It will be easier for all us to understand.
Reply:
	Sure! @ashok.ku22@gmail.com
</t>
      </text>
    </comment>
    <comment authorId="3" xr:uid="{2815346d-0cce-4a33-8cb8-137d3dadcf09}" ref="A1">
      <text>
        <t xml:space="preserve">[Threaded comment]
 Your version of Excel allows you to read this threaded comment; however, any edits to it will get removed if the file is opened in a newer version of Excel. Learn more: https://go.microsoft.com/fwlink/?linkid=870924
Comment:
	Should be sufficient to have the gender captured in baby's individual registration
</t>
      </text>
    </comment>
    <comment authorId="4" xr:uid="{2908148a-2332-4422-94a2-cae2c03ee1f7}" ref="A1">
      <text>
        <t xml:space="preserve">[Threaded comment]
 Your version of Excel allows you to read this threaded comment; however, any edits to it will get removed if the file is opened in a newer version of Excel. Learn more: https://go.microsoft.com/fwlink/?linkid=870924
Comment:
	Can be removed
</t>
      </text>
    </comment>
    <comment authorId="5" xr:uid="{2a364dcd-be42-4d20-88b0-2f72fd58cd66}" ref="A1">
      <text>
        <t xml:space="preserve">[Threaded comment]
 Your version of Excel allows you to read this threaded comment; however, any edits to it will get removed if the file is opened in a newer version of Excel. Learn more: https://go.microsoft.com/fwlink/?linkid=870924
Comment:
	Why do we need a separate program for mothers? PNC and post PNC form (Mental health &amp; others) can be clubbed in pregnancy program.
</t>
      </text>
    </comment>
    <comment authorId="6" xr:uid="{2b9c966a-7fe9-4975-ae2c-9612af47f9fd}" ref="A1">
      <text>
        <t xml:space="preserve">[Threaded comment]
 Your version of Excel allows you to read this threaded comment; however, any edits to it will get removed if the file is opened in a newer version of Excel. Learn more: https://go.microsoft.com/fwlink/?linkid=870924
Comment:
	Added field
</t>
      </text>
    </comment>
    <comment authorId="7" xr:uid="{31c1bdb8-b6bb-42c7-9165-5754887d59cc}" ref="A1">
      <text>
        <t xml:space="preserve">[Threaded comment]
 Your version of Excel allows you to read this threaded comment; however, any edits to it will get removed if the file is opened in a newer version of Excel. Learn more: https://go.microsoft.com/fwlink/?linkid=870924
Comment:
	should this go into the delivery form
</t>
      </text>
    </comment>
    <comment authorId="8" xr:uid="{36c3a8d0-78da-4b37-b562-6d81d87050c5}" ref="A1">
      <text>
        <t xml:space="preserve">[Threaded comment]
 Your version of Excel allows you to read this threaded comment; however, any edits to it will get removed if the file is opened in a newer version of Excel. Learn more: https://go.microsoft.com/fwlink/?linkid=870924
Comment:
	Are you giving counselling on schemes and their benefits if not i will remove this Q @tnprogramlead@ekam.ngo
</t>
      </text>
    </comment>
    <comment authorId="9" xr:uid="{3d3acbfd-10b1-48d4-b57c-78d68c812600}" ref="A1">
      <text>
        <t xml:space="preserve">[Threaded comment]
 Your version of Excel allows you to read this threaded comment; however, any edits to it will get removed if the file is opened in a newer version of Excel. Learn more: https://go.microsoft.com/fwlink/?linkid=870924
Comment:
	@tnprogramlead@ekam.ngo The name is confusing. Is it okay to write Type of Treatment required
</t>
      </text>
    </comment>
    <comment authorId="10" xr:uid="{40d5350b-a30f-496a-833c-a6c14906b5e0}" ref="A1">
      <text>
        <t xml:space="preserve">[Threaded comment]
 Your version of Excel allows you to read this threaded comment; however, any edits to it will get removed if the file is opened in a newer version of Excel. Learn more: https://go.microsoft.com/fwlink/?linkid=870924
Comment:
	Program encounter in Pregnancy and Child programs
Reply:
	They want to do follow up on the referral. How do you plan to approach that ?
</t>
      </text>
    </comment>
    <comment authorId="11" xr:uid="{412c93fc-b20d-44ff-85ed-56459ca06f37}" ref="A1">
      <text>
        <t xml:space="preserve">[Threaded comment]
 Your version of Excel allows you to read this threaded comment; however, any edits to it will get removed if the file is opened in a newer version of Excel. Learn more: https://go.microsoft.com/fwlink/?linkid=870924
Comment:
	Removed Child Id and added DoB and Age
</t>
      </text>
    </comment>
    <comment authorId="12" xr:uid="{471a666c-218e-4e7f-bea7-67c228b25642}" ref="A1">
      <text>
        <t xml:space="preserve">[Threaded comment]
 Your version of Excel allows you to read this threaded comment; however, any edits to it will get removed if the file is opened in a newer version of Excel. Learn more: https://go.microsoft.com/fwlink/?linkid=870924
Comment:
	New field added
</t>
      </text>
    </comment>
    <comment authorId="13" xr:uid="{4766a0a9-dd6b-4db9-9263-cb02e66938d6}" ref="A1">
      <text>
        <t xml:space="preserve">[Threaded comment]
 Your version of Excel allows you to read this threaded comment; however, any edits to it will get removed if the file is opened in a newer version of Excel. Learn more: https://go.microsoft.com/fwlink/?linkid=870924
Comment:
	Breastfeeding assessment preferably as a separate form, since not all project teams will be doing this
</t>
      </text>
    </comment>
    <comment authorId="14" xr:uid="{4e9cebed-5140-45f8-ac58-67c5e3b60516}" ref="A1">
      <text>
        <t xml:space="preserve">[Threaded comment]
 Your version of Excel allows you to read this threaded comment; however, any edits to it will get removed if the file is opened in a newer version of Excel. Learn more: https://go.microsoft.com/fwlink/?linkid=870924
Comment:
	Ashok to update with breastfeeding score assessment
</t>
      </text>
    </comment>
    <comment authorId="15" xr:uid="{5a464a68-59b0-4da1-915c-d3989dd64bdc}" ref="A1">
      <text>
        <t xml:space="preserve">[Threaded comment]
 Your version of Excel allows you to read this threaded comment; however, any edits to it will get removed if the file is opened in a newer version of Excel. Learn more: https://go.microsoft.com/fwlink/?linkid=870924
Comment:
	Why is Adolescent marked in Red here? Is it there in the scope or note?
Reply:
	Removed Adolescent
</t>
      </text>
    </comment>
    <comment authorId="16" xr:uid="{60d67b93-1487-4ea8-bd86-8764a8f0f971}" ref="A1">
      <text>
        <t xml:space="preserve">[Threaded comment]
 Your version of Excel allows you to read this threaded comment; however, any edits to it will get removed if the file is opened in a newer version of Excel. Learn more: https://go.microsoft.com/fwlink/?linkid=870924
Comment:
	Remove signs and measure from here after discussing with Anjali on Mental health screening approach @anjalib@samanvayfoundation.org
</t>
      </text>
    </comment>
    <comment authorId="17" xr:uid="{68c59318-5136-4ff2-b6f5-f2d52b18bad5}" ref="A1">
      <text>
        <t xml:space="preserve">[Threaded comment]
 Your version of Excel allows you to read this threaded comment; however, any edits to it will get removed if the file is opened in a newer version of Excel. Learn more: https://go.microsoft.com/fwlink/?linkid=870924
Comment:
	@tnprogramlead@ekam.ngo Is this a observational Question for fieldworker
Reply:
	Yes ji
</t>
      </text>
    </comment>
    <comment authorId="18" xr:uid="{699221ce-76d7-41b4-b271-0fc3211090c4}" ref="A1">
      <text>
        <t xml:space="preserve">[Threaded comment]
 Your version of Excel allows you to read this threaded comment; however, any edits to it will get removed if the file is opened in a newer version of Excel. Learn more: https://go.microsoft.com/fwlink/?linkid=870924
Comment:
	Can this be removed @ashok.ku22@gmail.com
</t>
      </text>
    </comment>
    <comment authorId="19" xr:uid="{6aee7c81-a242-41b7-a6ff-f7f36000fd7f}" ref="A1">
      <text>
        <t xml:space="preserve">[Threaded comment]
 Your version of Excel allows you to read this threaded comment; however, any edits to it will get removed if the file is opened in a newer version of Excel. Learn more: https://go.microsoft.com/fwlink/?linkid=870924
Comment:
	This is a help text
</t>
      </text>
    </comment>
    <comment authorId="20" xr:uid="{6e14b5a6-aade-4ecc-b5ba-cfdd7a285d22}" ref="A1">
      <text>
        <t xml:space="preserve">[Threaded comment]
 Your version of Excel allows you to read this threaded comment; however, any edits to it will get removed if the file is opened in a newer version of Excel. Learn more: https://go.microsoft.com/fwlink/?linkid=870924
Comment:
	To be captured in delivery form itself
</t>
      </text>
    </comment>
    <comment authorId="21" xr:uid="{6f4daead-2152-4347-9872-9a4859357a71}" ref="A1">
      <text>
        <t xml:space="preserve">[Threaded comment]
 Your version of Excel allows you to read this threaded comment; however, any edits to it will get removed if the file is opened in a newer version of Excel. Learn more: https://go.microsoft.com/fwlink/?linkid=870924
Comment:
	is it a monthly intervention?
</t>
      </text>
    </comment>
    <comment authorId="22" xr:uid="{72d8aa17-0f49-4bd5-b43b-3510062b8ff9}" ref="A1">
      <text>
        <t xml:space="preserve">[Threaded comment]
 Your version of Excel allows you to read this threaded comment; however, any edits to it will get removed if the file is opened in a newer version of Excel. Learn more: https://go.microsoft.com/fwlink/?linkid=870924
Comment:
	@tnprogramlead@ekam.ngo update this as per our discussion
</t>
      </text>
    </comment>
    <comment authorId="23" xr:uid="{73b31cad-21b3-4b30-bf4c-60038541aae9}" ref="A1">
      <text>
        <t xml:space="preserve">[Threaded comment]
 Your version of Excel allows you to read this threaded comment; however, any edits to it will get removed if the file is opened in a newer version of Excel. Learn more: https://go.microsoft.com/fwlink/?linkid=870924
Comment:
	@ashok.ku22@gmail.com only 4 boxes to enter data
</t>
      </text>
    </comment>
    <comment authorId="24" xr:uid="{7968fac5-2228-4e90-b810-3c46bf30ab01}" ref="A1">
      <text>
        <t xml:space="preserve">[Threaded comment]
 Your version of Excel allows you to read this threaded comment; however, any edits to it will get removed if the file is opened in a newer version of Excel. Learn more: https://go.microsoft.com/fwlink/?linkid=870924
Comment:
	Some of mothers or preg women on different conditions could require mental health counseling. It may require an additional form . more details will be shared after 28th July. It will be additional cost to be informed Avni team
</t>
      </text>
    </comment>
    <comment authorId="25" xr:uid="{80f28155-ebdb-462e-ba91-824f92d3c63b}" ref="A1">
      <text>
        <t xml:space="preserve">[Threaded comment]
 Your version of Excel allows you to read this threaded comment; however, any edits to it will get removed if the file is opened in a newer version of Excel. Learn more: https://go.microsoft.com/fwlink/?linkid=870924
Comment:
	@anjali Mother child relationship will be done by relationship link
Reply:
	There are 2 scenarios 
1. Beneficiary registered as pregnant women will have their new born child linked with mother -child relationship
2. New born child registered as beneficiary when mother's PNC period is already over and won't be registered as beneficiary(in this scenario mother details will be captured)
</t>
      </text>
    </comment>
    <comment authorId="26" xr:uid="{836145d6-8b76-41d1-aded-9e1ba7dcc9e2}" ref="A1">
      <text>
        <t xml:space="preserve">[Threaded comment]
 Your version of Excel allows you to read this threaded comment; however, any edits to it will get removed if the file is opened in a newer version of Excel. Learn more: https://go.microsoft.com/fwlink/?linkid=870924
Comment:
	@tnprogramlead@ekam.ngo to what level you want your location hierarchy ?
Reply:
	Marked as resolved
Reply:
	i will add block here
Re-opened
</t>
      </text>
    </comment>
    <comment authorId="27" xr:uid="{8a0ad4e7-22d9-4fa3-b1e5-1cbadd87fb41}" ref="A1">
      <text>
        <t xml:space="preserve">[Threaded comment]
 Your version of Excel allows you to read this threaded comment; however, any edits to it will get removed if the file is opened in a newer version of Excel. Learn more: https://go.microsoft.com/fwlink/?linkid=870924
Comment:
	added field
</t>
      </text>
    </comment>
    <comment authorId="28" xr:uid="{8b759968-3d79-4c9f-9052-3d360598742b}" ref="A1">
      <text>
        <t xml:space="preserve">[Threaded comment]
 Your version of Excel allows you to read this threaded comment; however, any edits to it will get removed if the file is opened in a newer version of Excel. Learn more: https://go.microsoft.com/fwlink/?linkid=870924
Comment:
	To be captured in delivery form itself
</t>
      </text>
    </comment>
    <comment authorId="29" xr:uid="{8d018b98-29ba-4330-bb9a-5f78ffd14eef}" ref="A1">
      <text>
        <t xml:space="preserve">[Threaded comment]
 Your version of Excel allows you to read this threaded comment; however, any edits to it will get removed if the file is opened in a newer version of Excel. Learn more: https://go.microsoft.com/fwlink/?linkid=870924
Comment:
	can be removed
</t>
      </text>
    </comment>
    <comment authorId="30" xr:uid="{91700d12-ac9f-481c-b732-3a871741f7b5}" ref="A1">
      <text>
        <t xml:space="preserve">[Threaded comment]
 Your version of Excel allows you to read this threaded comment; however, any edits to it will get removed if the file is opened in a newer version of Excel. Learn more: https://go.microsoft.com/fwlink/?linkid=870924
Comment:
	This intervention need not require a separate program. it can be merged with child program or can be a general encounter for 0-18 year individuals
</t>
      </text>
    </comment>
    <comment authorId="31" xr:uid="{985ee66b-8ca4-4551-9cf6-35f7dbc0e266}" ref="A1">
      <text>
        <t xml:space="preserve">[Threaded comment]
 Your version of Excel allows you to read this threaded comment; however, any edits to it will get removed if the file is opened in a newer version of Excel. Learn more: https://go.microsoft.com/fwlink/?linkid=870924
Comment:
	@tnprogramlead@ekam.ngo @mnedofficer@ekam.ngo is this dashboard for weight progress of PW during ANC
@anjalib@samanvayfoundation.org will it be query based. Do we need fill column G?
Reply:
	Not required
Reply:
	Yes, this dashboard was requested by our community trainers and health workers, so we added it. As you said, they wanted to know the weight progress of pregnant women during ANC. @ashok.ku22@gmail.com
Reply:
	After discussion with our team, decision was taken to remove this dashboard card. We will not be requiring this card. Thank You @anjalib@samanvayfoundation.org
</t>
      </text>
    </comment>
    <comment authorId="32" xr:uid="{9df0c90a-8cb9-4a27-b17d-84a29148b8f4}" ref="A1">
      <text>
        <t xml:space="preserve">[Threaded comment]
 Your version of Excel allows you to read this threaded comment; however, any edits to it will get removed if the file is opened in a newer version of Excel. Learn more: https://go.microsoft.com/fwlink/?linkid=870924
Comment:
	@ashok.ku22@gmail.com can we add the gender question in the individual registration form
Assigned to ashok.ku22@gmail.com
Reply:
	We add gender here and remove gender from child form
</t>
      </text>
    </comment>
    <comment authorId="33" xr:uid="{a3dce465-2fbb-4ac9-90a5-030790637c61}" ref="A1">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@mnedofficer@ekam.ngo Since the Patient Welfare Officer will fill the “Save a Child” form only through the Web App, I don’t think we need an offline dashboard card for the “Save a Child Follow-Up. Please confirm if this is required or not?
Assigned to mnedofficer@ekam.ngo
Reply:
	We can remove this card, as you said it is not required for the mobile application. We agree on this and we can remove this from our side. @anjalib@samanvayfoundation.org
</t>
      </text>
    </comment>
    <comment authorId="34" xr:uid="{a58fd1f2-26d6-40af-ad9e-405981605520}" ref="A1">
      <text>
        <t xml:space="preserve">[Threaded comment]
 Your version of Excel allows you to read this threaded comment; however, any edits to it will get removed if the file is opened in a newer version of Excel. Learn more: https://go.microsoft.com/fwlink/?linkid=870924
Comment:
	@ashok.ku22@gmail.com add counselling points for Mother in this form as well. We will add a question, Is Mother PNC Counselling done? if No show the counselling points
Assigned to ashok.ku22@gmail.com
Reply:
	Done
</t>
      </text>
    </comment>
    <comment authorId="35" xr:uid="{af18cc7b-b565-4398-ad86-79bed707e189}" ref="A1">
      <text>
        <t xml:space="preserve">[Threaded comment]
 Your version of Excel allows you to read this threaded comment; however, any edits to it will get removed if the file is opened in a newer version of Excel. Learn more: https://go.microsoft.com/fwlink/?linkid=870924
Comment:
	@ashok.ku22@gmail.com @ashok.ku22@gmail.com are the name of the attendees required?
Assigned to ashok.ku22@gmail.com
Reply:
	Not required
</t>
      </text>
    </comment>
    <comment authorId="36" xr:uid="{b2549ab5-c77a-4ea7-a04e-c30e59ee6574}" ref="A1">
      <text>
        <t xml:space="preserve">[Threaded comment]
 Your version of Excel allows you to read this threaded comment; however, any edits to it will get removed if the file is opened in a newer version of Excel. Learn more: https://go.microsoft.com/fwlink/?linkid=870924
Comment:
	it will removed if we agree project name as subject type after discussion with Arjun
</t>
      </text>
    </comment>
    <comment authorId="37" xr:uid="{bb9d672e-9d59-41e9-b2ec-46380b2a9d70}" ref="A1">
      <text>
        <t xml:space="preserve">[Threaded comment]
 Your version of Excel allows you to read this threaded comment; however, any edits to it will get removed if the file is opened in a newer version of Excel. Learn more: https://go.microsoft.com/fwlink/?linkid=870924
Comment:
	Write approximately no of direct beneficiaries for programs across TN
Reply:
	@ashok.ku22@gmail.com The program in total deals with only 1000 beneficiaries ?
</t>
      </text>
    </comment>
    <comment authorId="38" xr:uid="{bf4c2361-add8-4596-8e26-f0b80eba54c6}" ref="A1">
      <text>
        <t xml:space="preserve">[Threaded comment]
 Your version of Excel allows you to read this threaded comment; however, any edits to it will get removed if the file is opened in a newer version of Excel. Learn more: https://go.microsoft.com/fwlink/?linkid=870924
Comment:
	Field can be removed
Reply:
	if we writing type of beneficiaries then this field won't be required
</t>
      </text>
    </comment>
    <comment authorId="39" xr:uid="{bfe7df7e-ef34-418d-9c18-6d48518bcf37}" ref="A1">
      <text>
        <t xml:space="preserve">[Threaded comment]
 Your version of Excel allows you to read this threaded comment; however, any edits to it will get removed if the file is opened in a newer version of Excel. Learn more: https://go.microsoft.com/fwlink/?linkid=870924
Comment:
	@ashok.ku22@gmail.com What are typical changes involved ? How is Ekam planning to do this? Is there a training that is required ?
Reply:
	@tnprogramlead@ekam.ngo please check this
Reply:
	Not able to correctly understand the question.  These are the challenges right now, well the new app will help us overcome these challenges.
Reply:
	So doing changes in the app is easy. But making any changes means some effort either on Ekam or Samanvay's end and also a disruption in process, etc. So i am trying to understand at what frequency are you foreseeing them. It would be good to work on whatever in our control to see these changes don't happen too often
</t>
      </text>
    </comment>
    <comment authorId="40" xr:uid="{c5a7d40b-fd9d-4773-93b1-e4642df43d37}" ref="A1">
      <text>
        <t xml:space="preserve">[Threaded comment]
 Your version of Excel allows you to read this threaded comment; however, any edits to it will get removed if the file is opened in a newer version of Excel. Learn more: https://go.microsoft.com/fwlink/?linkid=870924
Comment:
	Added field
</t>
      </text>
    </comment>
    <comment authorId="41" xr:uid="{c8529f0d-a9ec-44d7-a884-a7b85d6cc00e}" ref="A1">
      <text>
        <t xml:space="preserve">[Threaded comment]
 Your version of Excel allows you to read this threaded comment; however, any edits to it will get removed if the file is opened in a newer version of Excel. Learn more: https://go.microsoft.com/fwlink/?linkid=870924
Comment:
	Can be removed
</t>
      </text>
    </comment>
    <comment authorId="42" xr:uid="{cbaec800-e836-4913-b1e8-5e0aa8a29e23}" ref="A1">
      <text>
        <t xml:space="preserve">[Threaded comment]
 Your version of Excel allows you to read this threaded comment; however, any edits to it will get removed if the file is opened in a newer version of Excel. Learn more: https://go.microsoft.com/fwlink/?linkid=870924
Comment:
	@tnprogramlead@ekam.ngo Mythili is this yes no question or want to measure the weight gain. Write the question accordingly and add options if any
Reply:
	Yes or No only
Reply:
	@tnprogramlead@ekam.ngo 
Is this going to be pure weight gain, or change in the z-score? 
Zscores should be more reliable in this case, right?
Reply:
	@ashok.ku22@gmail.com considering to remove this question, as plotted graphs will show us the weight gain status
</t>
      </text>
    </comment>
    <comment authorId="43" xr:uid="{d580edbf-9135-4637-96ac-b75c91455201}" ref="A1">
      <text>
        <t xml:space="preserve">[Threaded comment]
 Your version of Excel allows you to read this threaded comment; however, any edits to it will get removed if the file is opened in a newer version of Excel. Learn more: https://go.microsoft.com/fwlink/?linkid=870924
Comment:
	@tnprogramlead@ekam.ngo  let's discuss this question during our call and need for it
</t>
      </text>
    </comment>
    <comment authorId="44" xr:uid="{d8c1ce83-5cdb-4d02-b31f-35292d707775}" ref="A1">
      <text>
        <t xml:space="preserve">[Threaded comment]
 Your version of Excel allows you to read this threaded comment; however, any edits to it will get removed if the file is opened in a newer version of Excel. Learn more: https://go.microsoft.com/fwlink/?linkid=870924
Comment:
	Field Can be deleted
</t>
      </text>
    </comment>
    <comment authorId="45" xr:uid="{db5fc0cf-03d2-42fb-afea-99fcd0cce01b}" ref="A1">
      <text>
        <t xml:space="preserve">[Threaded comment]
 Your version of Excel allows you to read this threaded comment; however, any edits to it will get removed if the file is opened in a newer version of Excel. Learn more: https://go.microsoft.com/fwlink/?linkid=870924
Comment:
	Can we consider taking here since it is covered in immunization
</t>
      </text>
    </comment>
    <comment authorId="46" xr:uid="{e165c344-970a-4065-900c-0d7643f2690b}" ref="A1">
      <text>
        <t xml:space="preserve">[Threaded comment]
 Your version of Excel allows you to read this threaded comment; however, any edits to it will get removed if the file is opened in a newer version of Excel. Learn more: https://go.microsoft.com/fwlink/?linkid=870924
Comment:
	It is there in child registration form, can I remove here? @ashok.ku22@gmail.com
</t>
      </text>
    </comment>
    <comment authorId="47" xr:uid="{ecd8b759-0ae1-4e9e-96dc-72c5a102ccf8}" ref="A1">
      <text>
        <t xml:space="preserve">[Threaded comment]
 Your version of Excel allows you to read this threaded comment; however, any edits to it will get removed if the file is opened in a newer version of Excel. Learn more: https://go.microsoft.com/fwlink/?linkid=870924
Comment:
	Husband's number will be the alternate contact number
</t>
      </text>
    </comment>
    <comment authorId="48" xr:uid="{edc6e985-fda7-4881-889f-07a258c2f2c0}" ref="A1">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adding a Q for tomorrow's meeting. Is it possible to schedule monthly for 1st 6 months of pregnancy and then weekly visits for last 2 months
Reply:
	@as
Reply:
	If we can schedule PNC from date of delivery at individual. We should be able to do the same for ANC right?
Reply:
	@ashok.ku22@gmail.com yes
</t>
      </text>
    </comment>
    <comment authorId="49" xr:uid="{f1c86241-61a3-4238-8022-0a0561381d72}" ref="A1">
      <text>
        <t xml:space="preserve">[Threaded comment]
 Your version of Excel allows you to read this threaded comment; however, any edits to it will get removed if the file is opened in a newer version of Excel. Learn more: https://go.microsoft.com/fwlink/?linkid=870924
Comment:
	What is the purpose of this.?
</t>
      </text>
    </comment>
    <comment authorId="50" xr:uid="{f5d07758-ba2e-4460-8c69-0d432501e305}" ref="A1">
      <text>
        <t xml:space="preserve">[Threaded comment]
 Your version of Excel allows you to read this threaded comment; however, any edits to it will get removed if the file is opened in a newer version of Excel. Learn more: https://go.microsoft.com/fwlink/?linkid=870924
Comment:
	@ashok.ku22@gmail.com in all the forms wherever file is mentioned, do you also want the option to add images?
Assigned to ashok.ku22@gmail.com
Reply:
	this should be uploading documents as PDF and not as image
</t>
      </text>
    </comment>
    <comment authorId="51" xr:uid="{f97766d4-e4b0-4475-b701-f0152f4798db}" ref="A1">
      <text>
        <t xml:space="preserve">[Threaded comment]
 Your version of Excel allows you to read this threaded comment; however, any edits to it will get removed if the file is opened in a newer version of Excel. Learn more: https://go.microsoft.com/fwlink/?linkid=870924
Comment:
	Is this Vendor-Hospital name
</t>
      </text>
    </comment>
    <comment authorId="52" xr:uid="{fdc8fc0e-e8c5-435a-873d-83370b7d4f90}" ref="A1">
      <text>
        <t xml:space="preserve">[Threaded comment]
 Your version of Excel allows you to read this threaded comment; however, any edits to it will get removed if the file is opened in a newer version of Excel. Learn more: https://go.microsoft.com/fwlink/?linkid=870924
Comment:
	Video testimonials are shared by beneficiaries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tc={125b044c-ed35-481a-b01d-0aa4bbdd8368}</author>
    <author>tc={18f81921-e7c3-429c-a84e-d753bd2e4ee2}</author>
    <author>tc={213d3831-b590-45b5-b8ec-66b8932988ae}</author>
    <author>tc={48e562fc-c1c5-4aba-93ce-08561629c0a2}</author>
    <author>tc={6e327f28-d8f1-4c45-9f67-a721fd8b02e1}</author>
    <author>tc={7c954398-141e-45af-a79d-2c1cff8e3954}</author>
    <author>tc={8ad7575c-7e00-4d01-9c05-0d0b1bad077e}</author>
    <author>tc={98057816-7363-42d5-8740-c07b18d24b25}</author>
    <author>tc={a4f088c0-e2b0-4423-bc70-267a422c0092}</author>
    <author>tc={a931f18d-2805-4fb9-b2e2-69ef254babbb}</author>
    <author>tc={aed0bff2-36bb-4f0c-934b-572b5942661f}</author>
    <author>tc={be3185d0-83ea-429c-816a-9992f767f9b6}</author>
    <author>tc={c355870a-25d3-4641-8f44-f1535b5ceb59}</author>
    <author>tc={c46fbf90-03ea-4716-b30a-5724b7a694a8}</author>
    <author>tc={d3340fe4-dcb8-43c6-a4b5-9b9aac91e87c}</author>
    <author>tc={d75f2281-c973-4981-985d-c38617a6f68b}</author>
    <author>tc={f9919316-6598-47ef-a4a8-6221804dc291}</author>
  </authors>
  <commentList>
    <comment authorId="0" xr:uid="{125b044c-ed35-481a-b01d-0aa4bbdd8368}" ref="C20">
      <text>
        <t xml:space="preserve">[Threaded comment]
 Your version of Excel allows you to read this threaded comment; however, any edits to it will get removed if the file is opened in a newer version of Excel. Learn more: https://go.microsoft.com/fwlink/?linkid=870924
Comment:
	We want to see child immunization due list. Is it possible? @anjalib@samanvayfoundation.org
Assigned to anjalib@samanvayfoundation.org
</t>
      </text>
    </comment>
    <comment authorId="1" xr:uid="{18f81921-e7c3-429c-a84e-d753bd2e4ee2}" ref="D20">
      <text>
        <t xml:space="preserve">[Threaded comment]
 Your version of Excel allows you to read this threaded comment; however, any edits to it will get removed if the file is opened in a newer version of Excel. Learn more: https://go.microsoft.com/fwlink/?linkid=870924
Comment:
	@mnedofficer@ekam.ngo what is Child Follow-up Form-3
Reply:
	Here it is Immunization Form or Vaccination_Checklist. @anjalib@samanvayfoundation.org
</t>
      </text>
    </comment>
    <comment authorId="2" xr:uid="{213d3831-b590-45b5-b8ec-66b8932988ae}" ref="C23">
      <text>
        <t xml:space="preserve">[Threaded comment]
 Your version of Excel allows you to read this threaded comment; however, any edits to it will get removed if the file is opened in a newer version of Excel. Learn more: https://go.microsoft.com/fwlink/?linkid=870924
Comment:
	@mnedofficer@ekam.ngo what do you want to see in this dashboard card? Count of number of women enrolled in the Referal Program? and what is this status?
Assigned to mnedofficer@ekam.ngo
Reply:
	Yes we can have Beneficiary Referral Status Enrolled in referral program as "Open" Status. So it would be useful to track the referral status of all the beneficiaries in the field level @anjalib@samanvayfoundation.org
</t>
      </text>
    </comment>
    <comment authorId="3" xr:uid="{48e562fc-c1c5-4aba-93ce-08561629c0a2}" ref="C17">
      <text>
        <t xml:space="preserve">[Threaded comment]
 Your version of Excel allows you to read this threaded comment; however, any edits to it will get removed if the file is opened in a newer version of Excel. Learn more: https://go.microsoft.com/fwlink/?linkid=870924
Comment:
	@mnedofficer@ekam.ngo should we take it from Weight for age or Weight for height question
Assigned to mnedofficer@ekam.ngo
Reply:
	@tnprogramlead@ekam.ngo need your opinion on this? Which Question we need to take?
Reassigned to tnprogramlead@ekam.ngo
Reply:
	Weight for age (Underweight status). We need the complete list of underweight children under this card. @anjalib@samanvayfoundation.org
Reassigned to anjalib@samanvayfoundation.org
Reply:
	@mnedofficer@ekam.ngo @mnedofficer@ekam.ngo please don't change the details of the cards here. Any changes required, please add it in the UAT feedback sheet. This card was earlier MAM Child List
Reassigned to mnedofficer@ekam.ngo
</t>
      </text>
    </comment>
    <comment authorId="4" xr:uid="{6e327f28-d8f1-4c45-9f67-a721fd8b02e1}" ref="C10">
      <text>
        <t xml:space="preserve">[Threaded comment]
 Your version of Excel allows you to read this threaded comment; however, any edits to it will get removed if the file is opened in a newer version of Excel. Learn more: https://go.microsoft.com/fwlink/?linkid=870924
Comment:
	I have changed name of the card. @anjalib@samanvayfoundation.org
</t>
      </text>
    </comment>
    <comment authorId="5" xr:uid="{7c954398-141e-45af-a79d-2c1cff8e3954}" ref="E13">
      <text>
        <t xml:space="preserve">[Threaded comment]
 Your version of Excel allows you to read this threaded comment; however, any edits to it will get removed if the file is opened in a newer version of Excel. Learn more: https://go.microsoft.com/fwlink/?linkid=870924
Comment:
	@mnedofficer@ekam.ngo @ashok.ku22@gmail.com @tnprogramlead@ekam.ngo what Birth Weight should be considered as High Risk?
Assigned to mnedofficer@ekam.ngo
Reply:
	Less than 2.5 kg
Reply:
	@tnprogramlead@ekam.ngo what are the other danger signs?
Reassigned to tnprogramlead@ekam.ngo
Reply:
	Danger signs are listed in the Child Follow-up and Anthropometry form. @anjalib@samanvayfoundation.org
</t>
      </text>
    </comment>
    <comment authorId="6" xr:uid="{8ad7575c-7e00-4d01-9c05-0d0b1bad077e}" ref="D16">
      <text>
        <t xml:space="preserve">[Threaded comment]
 Your version of Excel allows you to read this threaded comment; however, any edits to it will get removed if the file is opened in a newer version of Excel. Learn more: https://go.microsoft.com/fwlink/?linkid=870924
Comment:
	@mnedofficer@ekam.ngo what is Child Follow-up Form-3
Assigned to mnedofficer@ekam.ngo
Reply:
	Sorry, that was my mistake. I had written it as per our Canva format while checking. The correct form name is "Child Follow-up and Anthropometry". @anjalib@samanvayfoundation.org
</t>
      </text>
    </comment>
    <comment authorId="7" xr:uid="{98057816-7363-42d5-8740-c07b18d24b25}" ref="F4">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usually what are the filters other than date,loc used by other orgs for offline dashboards.
Reply:
	These are the common ones
</t>
      </text>
    </comment>
    <comment authorId="8" xr:uid="{a4f088c0-e2b0-4423-bc70-267a422c0092}" ref="A35">
      <text>
        <t xml:space="preserve">[Threaded comment]
 Your version of Excel allows you to read this threaded comment; however, any edits to it will get removed if the file is opened in a newer version of Excel. Learn more: https://go.microsoft.com/fwlink/?linkid=870924
Comment:
	Can we remove the MLD example from this sheet if no one is referring to it? @tnprogramlead@ekam.ngo @mnedofficer@ekam.ngo 
cc: @anjalib@samanvayfoundation.org
</t>
      </text>
    </comment>
    <comment authorId="9" xr:uid="{a931f18d-2805-4fb9-b2e2-69ef254babbb}" ref="C4">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@mnedofficer@ekam.ngo if we have to show for each trimester, that itself will become 3 cards (1st trimester, 2nd and 3rd trimester) and we will exhaust the scope. Please confirm if you want to see for all the three trimester or only Pregnant Women in 3rd trimester will do
Assigned to mnedofficer@ekam.ngo
</t>
      </text>
    </comment>
    <comment authorId="10" xr:uid="{aed0bff2-36bb-4f0c-934b-572b5942661f}" ref="E6">
      <text>
        <t xml:space="preserve">[Threaded comment]
 Your version of Excel allows you to read this threaded comment; however, any edits to it will get removed if the file is opened in a newer version of Excel. Learn more: https://go.microsoft.com/fwlink/?linkid=870924
Comment:
	@mnedofficer@ekam.ngo please cross check this and confirm. Also if we can add the Pregnancy Weight Progress List condition in this card itself?
Assigned to mnedofficer@ekam.ngo
Reply:
	Weight Progress List is not needed; remove it from the ANC High Risk Pregnant Woman List. @anjalib@samanvayfoundation.org
Reassigned to anjalib@samanvayfoundation.org
</t>
      </text>
    </comment>
    <comment authorId="11" xr:uid="{be3185d0-83ea-429c-816a-9992f767f9b6}" ref="E6">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do we need to remove the individual from high risk if the delivery is completed
Assigned to anjalib@samanvayfoundation.org
Reply:
	@dineshg@samanvayfoundation.org yes only check in ANC and PE. Once delivery is done, remove it from this list
Reassigned to dineshg@samanvayfoundation.org
</t>
      </text>
    </comment>
    <comment authorId="12" xr:uid="{c355870a-25d3-4641-8f44-f1535b5ceb59}" ref="C19">
      <text>
        <t xml:space="preserve">[Threaded comment]
 Your version of Excel allows you to read this threaded comment; however, any edits to it will get removed if the file is opened in a newer version of Excel. Learn more: https://go.microsoft.com/fwlink/?linkid=870924
Comment:
	I have changed the name of the card. @anjalib@samanvayfoundation.org
</t>
      </text>
    </comment>
    <comment authorId="13" xr:uid="{c46fbf90-03ea-4716-b30a-5724b7a694a8}" ref="E5">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I think this logic will change as not every danger sign translate to High risk pregnancy. 
There are specific Qs added in the ANC form for 3 type high risk conditions. we need refer to them. Let's discuss during the call.
</t>
      </text>
    </comment>
    <comment authorId="14" xr:uid="{d3340fe4-dcb8-43c6-a4b5-9b9aac91e87c}" ref="D17">
      <text>
        <t xml:space="preserve">[Threaded comment]
 Your version of Excel allows you to read this threaded comment; however, any edits to it will get removed if the file is opened in a newer version of Excel. Learn more: https://go.microsoft.com/fwlink/?linkid=870924
Comment:
	@mnedofficer@ekam.ngo what is Child Follow-up Form-3
Assigned to mnedofficer@ekam.ngo
Reply:
	Same here. It is "Child Follow-Up and Anthropometry" form
@anjalib@samanvayfoundation.org
</t>
      </text>
    </comment>
    <comment authorId="15" xr:uid="{d75f2281-c973-4981-985d-c38617a6f68b}" ref="C18">
      <text>
        <t xml:space="preserve">[Threaded comment]
 Your version of Excel allows you to read this threaded comment; however, any edits to it will get removed if the file is opened in a newer version of Excel. Learn more: https://go.microsoft.com/fwlink/?linkid=870924
Comment:
	Height for age (Stunting status) @anjalib@samanvayfoundation.org We need the complete list of children's stunting status under this card.
Assigned to anjalib@samanvayfoundation.org
Reply:
	@mnedofficer@ekam.ngo @mnedofficer@ekam.ngo please don't change the details of the cards here. Any changes required, please add it in the UAT feedback sheet. This card was not there in the requirement list
Reassigned to mnedofficer@ekam.ngo
</t>
      </text>
    </comment>
    <comment authorId="16" xr:uid="{f9919316-6598-47ef-a4a8-6221804dc291}" ref="C16">
      <text>
        <t xml:space="preserve">[Threaded comment]
 Your version of Excel allows you to read this threaded comment; however, any edits to it will get removed if the file is opened in a newer version of Excel. Learn more: https://go.microsoft.com/fwlink/?linkid=870924
Comment:
	@mnedofficer@ekam.ngo should we take it from Weight for age  or Weight for height question
Assigned to mnedofficer@ekam.ngo
Reply:
	@tnprogramlead@ekam.ngo need your opinion on this? Which Question we need to take?
Reassigned to tnprogramlead@ekam.ngo
Reply:
	Weight for Height (Wasting status). We need the complete list of wasting status children under this card. @anjalib@samanvayfoundation.org
Reassigned to anjalib@samanvayfoundation.org
Reply:
	@mnedofficer@ekam.ngo please don't change the details of the cards here. Any changes required, please add it in the UAT feedback sheet. This card was earlier SAM Child List
Reassigned to mnedofficer@ekam.ngo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tc={0e2a79d8-dbe8-46a5-8798-168b31274d8c}</author>
    <author>tc={a7717cb6-bad4-4439-9d4d-2464355a75c5}</author>
  </authors>
  <commentList>
    <comment authorId="0" xr:uid="{0e2a79d8-dbe8-46a5-8798-168b31274d8c}" ref="C2">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@mnedofficer@ekam.ngo what is GPLA Score?
Assigned to ashok.ku22@gmail.com
Reply:
	@tnprogramlead@ekam.ngo can you give the logic for weight progress
Reassigned to tnprogramlead@ekam.ngo
</t>
      </text>
    </comment>
    <comment authorId="1" xr:uid="{a7717cb6-bad4-4439-9d4d-2464355a75c5}" ref="D2">
      <text>
        <t xml:space="preserve">[Threaded comment]
 Your version of Excel allows you to read this threaded comment; however, any edits to it will get removed if the file is opened in a newer version of Excel. Learn more: https://go.microsoft.com/fwlink/?linkid=870924
Comment:
	How does this gets displayed for a "No High-risk PW"? Whether it will be displayed as blank? @anjalib@samanvayfoundation.org
Assigned to anjalib@samanvayfoundation.org
Reply:
	@mnedofficer@ekam.ngo @ashok.ku22@gmail.com @tnprogramlead@ekam.ngo we can only show in Red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tc={e4b7e3bf-4e44-41fd-b5fd-9fe8703003cd}</author>
  </authors>
  <commentList>
    <comment authorId="0" xr:uid="{e4b7e3bf-4e44-41fd-b5fd-9fe8703003cd}" ref="A1">
      <text>
        <t xml:space="preserve">[Threaded comment]
 Your version of Excel allows you to read this threaded comment; however, any edits to it will get removed if the file is opened in a newer version of Excel. Learn more: https://go.microsoft.com/fwlink/?linkid=870924
Comment:
	@ashok.ku22@gmail.com can you get this details verified? We need this to setup the org in webconsole to start the development process
Assigned to ashok.ku22@gmail.com
Reply:
	As discussed yesterday. Mythili is okay with name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tc={8521e1d1-b34e-4b7c-9020-c605b85a71ee}</author>
    <author>tc={da8e5f57-4509-4f4f-a93e-5493d09762fa}</author>
  </authors>
  <commentList>
    <comment authorId="0" xr:uid="{8521e1d1-b34e-4b7c-9020-c605b85a71ee}" ref="I7">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what happen if we cancel the visit after pnc 4
Assigned to anjalib@samanvayfoundation.org
</t>
      </text>
    </comment>
    <comment authorId="1" xr:uid="{da8e5f57-4509-4f4f-a93e-5493d09762fa}" ref="I7">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can you confirm what should be the overdue days?
example PNC 1 due of 7th day after how many days it should show as overdue so that the user get to know that they have missed the time and need to prioritise this visit
Assigned to ashok.ku22@gmail.com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tc={05384b05-19cd-4f14-845a-9af356516bd6}</author>
    <author>tc={ca4cb299-9619-4a83-96d8-34382a24cdf9}</author>
  </authors>
  <commentList>
    <comment authorId="0" xr:uid="{05384b05-19cd-4f14-845a-9af356516bd6}" ref="B1">
      <text>
        <t xml:space="preserve">[Threaded comment]
 Your version of Excel allows you to read this threaded comment; however, any edits to it will get removed if the file is opened in a newer version of Excel. Learn more: https://go.microsoft.com/fwlink/?linkid=870924
Comment:
	@tnprogramlead@ekam.ngo @mnedofficer@ekam.ngo please complete this form by today
Reply:
	Sure after discussing with our team we will complete it by today @ashok.ku22@gmail.com
</t>
      </text>
    </comment>
    <comment authorId="1" xr:uid="{ca4cb299-9619-4a83-96d8-34382a24cdf9}" ref="B25">
      <text>
        <t xml:space="preserve">[Threaded comment]
 Your version of Excel allows you to read this threaded comment; however, any edits to it will get removed if the file is opened in a newer version of Excel. Learn more: https://go.microsoft.com/fwlink/?linkid=870924
Comment:
	@ashokk@samanvayfoundation.org @anjalib@samanvayfoundation.org - Our community trainer needs access for Awareness
Assigned to ashokk@samanvayfoundation.org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tc={4efd79f7-d11a-4372-9e3c-b0d66eb60447}</author>
    <author>tc={8420ad1d-11bd-4534-8708-0e64a4d0332f}</author>
  </authors>
  <commentList>
    <comment authorId="0" xr:uid="{4efd79f7-d11a-4372-9e3c-b0d66eb60447}" ref="A5">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Shared by Mythili please check we can discuss during our call at 5 pm if you have any Qs
</t>
      </text>
    </comment>
    <comment authorId="1" xr:uid="{8420ad1d-11bd-4534-8708-0e64a4d0332f}" ref="A44">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as discussed in the meeting, sharing more location details
Assigned to anjalib@samanvayfoundation.org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tc={950ec42a-2cf8-4e11-a99b-3d39a9df9ecf}</author>
  </authors>
  <commentList>
    <comment authorId="0" xr:uid="{950ec42a-2cf8-4e11-a99b-3d39a9df9ecf}" ref="C4">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for pregnancy program enrolment eligibility can we add this condition?
Assigned to ashok.ku22@gmail.com
Reply:
	Yes ji it can be added..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tc={0509c301-19ec-42e6-be1c-a85a7809f429}</author>
    <author>tc={14181e67-534a-4871-8ee6-31d0a4d682a5}</author>
    <author>tc={2c676835-765e-4b0f-99e8-fafc70a9936d}</author>
    <author>tc={2da6f632-c37a-46ac-abea-d90d7822bc5d}</author>
    <author>tc={31017612-4ea1-41f0-bcb1-e3e13a854181}</author>
    <author>tc={3ba7bc17-4f9e-41c3-bddc-06c94fd33287}</author>
    <author>tc={3bacb261-ceda-4788-9d8d-04f84c3a864b}</author>
    <author>tc={64b90c8f-1ddf-4992-bb47-791dcace5c04}</author>
    <author>tc={783fb2ba-1442-4441-8933-63528ed9a59e}</author>
    <author>tc={7cf45657-52bb-4deb-b8e7-9baa921e208a}</author>
    <author>tc={7f3ae243-cc82-4713-897b-8352dd82c13b}</author>
    <author>tc={c32c5a11-3a5b-4c01-8d5e-2c952005e8d2}</author>
    <author>tc={dfb89f0a-23bd-422e-98a8-a190d2db4f9d}</author>
  </authors>
  <commentList>
    <comment authorId="0" xr:uid="{0509c301-19ec-42e6-be1c-a85a7809f429}" ref="C38">
      <text>
        <t xml:space="preserve">[Threaded comment]
 Your version of Excel allows you to read this threaded comment; however, any edits to it will get removed if the file is opened in a newer version of Excel. Learn more: https://go.microsoft.com/fwlink/?linkid=870924
Comment:
	@ashok.ku22@gmail.com what is the purpose of capturing the VHN In charge and AWW In charge details in this form?
Assigned to ashok.ku22@gmail.com
Reply:
	For coordinating with respective in-chargers e.g. for her visits to aganwadi centres and who is related to particular mother
</t>
      </text>
    </comment>
    <comment authorId="1" xr:uid="{14181e67-534a-4871-8ee6-31d0a4d682a5}" ref="C33">
      <text>
        <t xml:space="preserve">[Threaded comment]
 Your version of Excel allows you to read this threaded comment; however, any edits to it will get removed if the file is opened in a newer version of Excel. Learn more: https://go.microsoft.com/fwlink/?linkid=870924
Comment:
	Edited field
</t>
      </text>
    </comment>
    <comment authorId="2" xr:uid="{2c676835-765e-4b0f-99e8-fafc70a9936d}" ref="C18">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can we add these options "Self-employed in agriculture with land
Self-employed in non-agricultural activities
Landless agriculture labour
Casual workers/ daily wage earners
Salaried employment/Govt. employee
Other
NA"
Reply:
	Homemaker
Government Employee 
Private Sector Employee
Self-employed/Business
Farmer/Agricultural Worker
Daily Wages/Laborer
Others
</t>
      </text>
    </comment>
    <comment authorId="3" xr:uid="{2da6f632-c37a-46ac-abea-d90d7822bc5d}" ref="C6">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can we have age limit for child i can select age 25 as child
Assigned to anjalib@samanvayfoundation.org
Reply:
	@dineshg@samanvayfoundation.org we can keep it as 19 years
Reassigned to dineshg@samanvayfoundation.org
</t>
      </text>
    </comment>
    <comment authorId="4" xr:uid="{31017612-4ea1-41f0-bcb1-e3e13a854181}" ref="C13">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do we need to add the age restriction because i can gve the child age as mother age itself
Assigned to anjalib@samanvayfoundation.org
Reply:
	@dineshg@samanvayfoundation.org we can give that
Reassigned to dineshg@samanvayfoundation.org
</t>
      </text>
    </comment>
    <comment authorId="5" xr:uid="{3ba7bc17-4f9e-41c3-bddc-06c94fd33287}" ref="C33">
      <text>
        <t xml:space="preserve">[Threaded comment]
 Your version of Excel allows you to read this threaded comment; however, any edits to it will get removed if the file is opened in a newer version of Excel. Learn more: https://go.microsoft.com/fwlink/?linkid=870924
Comment:
	@arjunk@samanvayfoundation.org can we move these questions to Household Registration form 18 - 22
Assigned to arjunk@samanvayfoundation.org
Reply:
	There is no households in this project
</t>
      </text>
    </comment>
    <comment authorId="6" xr:uid="{3bacb261-ceda-4788-9d8d-04f84c3a864b}" ref="C20">
      <text>
        <t xml:space="preserve">[Threaded comment]
 Your version of Excel allows you to read this threaded comment; however, any edits to it will get removed if the file is opened in a newer version of Excel. Learn more: https://go.microsoft.com/fwlink/?linkid=870924
Comment:
	Edited field - Added mother
</t>
      </text>
    </comment>
    <comment authorId="7" xr:uid="{64b90c8f-1ddf-4992-bb47-791dcace5c04}" ref="C32">
      <text>
        <t xml:space="preserve">[Threaded comment]
 Your version of Excel allows you to read this threaded comment; however, any edits to it will get removed if the file is opened in a newer version of Excel. Learn more: https://go.microsoft.com/fwlink/?linkid=870924
Comment:
	@adams@samanvayfoundation.org can you suggest and put a max limit for this?
Assigned to adams@samanvayfoundation.org
Reply:
	The maximum limit can be 15 L, right? I took the reference from another organization. Could you please confirm?
Reply:
	@mnedofficer@ekam.ngo Will the maximum limit  of15 Lakh work?
Reassigned to mnedofficer@ekam.ngo
Reply:
	What could be the upper limit for annual income? can we discuss later not today. @tnprogramlead@ekam.ngo
Reassigned to tnprogramlead@ekam.ngo
</t>
      </text>
    </comment>
    <comment authorId="8" xr:uid="{783fb2ba-1442-4441-8933-63528ed9a59e}" ref="C16">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add occupation and share with Ashok and Mythili to check
Assigned to anjalib@samanvayfoundation.org
</t>
      </text>
    </comment>
    <comment authorId="9" xr:uid="{7cf45657-52bb-4deb-b8e7-9baa921e208a}" ref="C22">
      <text>
        <t xml:space="preserve">[Threaded comment]
 Your version of Excel allows you to read this threaded comment; however, any edits to it will get removed if the file is opened in a newer version of Excel. Learn more: https://go.microsoft.com/fwlink/?linkid=870924
Comment:
	Father can be removed everywhere
Reply:
	Why ?
</t>
      </text>
    </comment>
    <comment authorId="10" xr:uid="{7f3ae243-cc82-4713-897b-8352dd82c13b}" ref="C31">
      <text>
        <t xml:space="preserve">[Threaded comment]
 Your version of Excel allows you to read this threaded comment; however, any edits to it will get removed if the file is opened in a newer version of Excel. Learn more: https://go.microsoft.com/fwlink/?linkid=870924
Comment:
	Condition added
</t>
      </text>
    </comment>
    <comment authorId="11" xr:uid="{c32c5a11-3a5b-4c01-8d5e-2c952005e8d2}" ref="C35">
      <text>
        <t xml:space="preserve">[Threaded comment]
 Your version of Excel allows you to read this threaded comment; however, any edits to it will get removed if the file is opened in a newer version of Excel. Learn more: https://go.microsoft.com/fwlink/?linkid=870924
Comment:
	This is too much text typing of repeat information. It will be mostly same i believe for every individual within the village. Can we create a separate subject type for this ? 
Also, how is all of this information plan to be utilised ? Will the field worker be using this info or the programme managers and how ? Our modelling could depend on that as well.
Reply:
	@tnprogramlead@ekam.ngo please respond to this query
Reply:
	Map these details CHW. Offline dashboard they want to see no of beneficiaries under a ICDS
Reply:
	We will need these details for every beneficiary, CHW wise, for the offline dashboard. Is there a better way to do this, we can discuss.
Reply:
	We would make use of Location Heirarchy to maintain this info. Additionally, Location Properties would be used to store Incharge, name and Number for a location.
Reply:
	@anjalib@samanvayfoundation.org Can you confirm if we have to remove these facility tracking details data fields once clocation hierarchy is confirmed
</t>
      </text>
    </comment>
    <comment authorId="12" xr:uid="{dfb89f0a-23bd-422e-98a8-a190d2db4f9d}" ref="C21">
      <text>
        <t xml:space="preserve">[Threaded comment]
 Your version of Excel allows you to read this threaded comment; however, any edits to it will get removed if the file is opened in a newer version of Excel. Learn more: https://go.microsoft.com/fwlink/?linkid=870924
Comment:
	Mother added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tc={0969ac98-80c9-4f99-8a57-65d2557edf85}</author>
    <author>tc={0c553639-5c0c-469b-ba8d-847d696b39f9}</author>
    <author>tc={0d6a8736-dbbd-4dd4-bb5e-76853838db44}</author>
    <author>tc={1592bb9e-620d-4361-bad4-124837816a11}</author>
    <author>tc={1d93edeb-6dd1-4e9f-9707-d2e7e1e7d5d3}</author>
    <author>tc={1ed717f3-b716-4743-9bc0-0088378987d5}</author>
    <author>tc={21e85cad-8d4b-4f91-8bde-c1d1fa94c5d5}</author>
    <author>tc={2bd8d7cc-0ddc-4645-bced-3a1869428277}</author>
    <author>tc={5e6a2a36-07b6-4024-b9c4-f6ef4febaaac}</author>
    <author>tc={67b3e22f-ff61-4020-b9ae-8a80a798e485}</author>
    <author>tc={712b22da-8f56-4aa6-9eba-f15987a5ce1a}</author>
    <author>tc={98e3a6d2-9770-4270-b0fc-de34f093cee2}</author>
    <author>tc={996d9044-3c6f-4a76-ab37-0cbbd9e327fc}</author>
    <author>tc={af24b949-d9e6-424c-b496-fcb2694f2cd4}</author>
    <author>tc={b0ca95f0-809a-4eef-bf9f-cd0ba235becf}</author>
    <author>tc={bd5fdadf-d564-4f69-9bc6-26a3ecb88438}</author>
    <author>tc={c0d59a10-db38-40d8-b94e-942756b59459}</author>
    <author>tc={e0c7f129-7f33-45fb-bcb7-a4178193101f}</author>
  </authors>
  <commentList>
    <comment authorId="0" xr:uid="{0969ac98-80c9-4f99-8a57-65d2557edf85}" ref="C7">
      <text>
        <t xml:space="preserve">[Threaded comment]
 Your version of Excel allows you to read this threaded comment; however, any edits to it will get removed if the file is opened in a newer version of Excel. Learn more: https://go.microsoft.com/fwlink/?linkid=870924
Comment:
	@mnedofficer@ekam.ngo @tnprogramlead@ekam.ngo Can we autocalculate this based on LMP or you want to manually enter it?
Assigned to mnedofficer@ekam.ngo
Reply:
	It can be auto-calculated but wanted to re-check it as UAT once autogenerated after calculation.
</t>
      </text>
    </comment>
    <comment authorId="1" xr:uid="{0c553639-5c0c-469b-ba8d-847d696b39f9}" ref="C46">
      <text>
        <t xml:space="preserve">[Threaded comment]
 Your version of Excel allows you to read this threaded comment; however, any edits to it will get removed if the file is opened in a newer version of Excel. Learn more: https://go.microsoft.com/fwlink/?linkid=870924
Comment:
	@ashok.ku22@gmail.com 
instead of leaving it as a free-text can you can make it a single-select question?
Assigned to ashok.ku22@gmail.com
Reply:
	Let me discuss with Mythili and update accordingly
Reply:
	@tnprogramlead@ekam.ngo 
1.Please add options to this question 
2. I see this question you have add in the "Pregnant Women Follow-up Form 2" any reasons
Reassigned to tnprogramlead@ekam.ngo
</t>
      </text>
    </comment>
    <comment authorId="2" xr:uid="{0d6a8736-dbbd-4dd4-bb5e-76853838db44}" ref="D44">
      <text>
        <t xml:space="preserve">[Threaded comment]
 Your version of Excel allows you to read this threaded comment; however, any edits to it will get removed if the file is opened in a newer version of Excel. Learn more: https://go.microsoft.com/fwlink/?linkid=870924
Comment:
	should these instead be simple options, like PHC or Home, etc
Reply:
	Check with client
Reply:
	Changes done
</t>
      </text>
    </comment>
    <comment authorId="3" xr:uid="{1592bb9e-620d-4361-bad4-124837816a11}" ref="C12">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i think we need to restrict the lmp date i can able to enter the date as more than a year
Assigned to anjalib@samanvayfoundation.org
Reply:
	@dineshg@samanvayfoundation.org we can keep it as cannot be future and more than last one year
Reassigned to dineshg@samanvayfoundation.org
</t>
      </text>
    </comment>
    <comment authorId="4" xr:uid="{1d93edeb-6dd1-4e9f-9707-d2e7e1e7d5d3}" ref="C11">
      <text>
        <t xml:space="preserve">[Threaded comment]
 Your version of Excel allows you to read this threaded comment; however, any edits to it will get removed if the file is opened in a newer version of Excel. Learn more: https://go.microsoft.com/fwlink/?linkid=870924
Comment:
	@mnedofficer@ekam.ngo @tnprogramlead@ekam.ngo do we show Rh factor based on Blood Group selected? If blood group is A+, B+ ect the positive one we show as RH Factor positive and if Blood Group is negative RH factor is also negative
Assigned to mnedofficer@ekam.ngo
Reply:
	Yes we can go-ahead with this suggestion @anjalib@samanvayfoundation.org
</t>
      </text>
    </comment>
    <comment authorId="5" xr:uid="{1ed717f3-b716-4743-9bc0-0088378987d5}" ref="C44">
      <text>
        <t xml:space="preserve">[Threaded comment]
 Your version of Excel allows you to read this threaded comment; however, any edits to it will get removed if the file is opened in a newer version of Excel. Learn more: https://go.microsoft.com/fwlink/?linkid=870924
Comment:
	@ashok.ku22@gmail.com instead of leaving it as a free-text can you can make it a single-select  question with predefined delivery location options?
Assigned to ashok.ku22@gmail.com
Reply:
	Added options
</t>
      </text>
    </comment>
    <comment authorId="6" xr:uid="{21e85cad-8d4b-4f91-8bde-c1d1fa94c5d5}" ref="J36">
      <text>
        <t xml:space="preserve">[Threaded comment]
 Your version of Excel allows you to read this threaded comment; however, any edits to it will get removed if the file is opened in a newer version of Excel. Learn more: https://go.microsoft.com/fwlink/?linkid=870924
Comment:
	Added None Option aswell
</t>
      </text>
    </comment>
    <comment authorId="7" xr:uid="{2bd8d7cc-0ddc-4645-bced-3a1869428277}" ref="C7">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do we need to restrict the month and also i think it should be greater than pcime registration
Assigned to anjalib@samanvayfoundation.org
Reply:
	@dineshg@samanvayfoundation.org need to check this with client. I will update on this on Friday. You can add a comment and move forward
Reassigned to dineshg@samanvayfoundation.org
</t>
      </text>
    </comment>
    <comment authorId="8" xr:uid="{5e6a2a36-07b6-4024-b9c4-f6ef4febaaac}" ref="C4">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do we need to restrict the month
Assigned to anjalib@samanvayfoundation.org
Reply:
	@dineshg@samanvayfoundation.org not required
Reassigned to dineshg@samanvayfoundation.org
Reply:
	@anjalib@samanvayfoundation.org 
I guess we have to restrict the month data to either 9 or 10 month it will take any random number.
This will cause issue while creating Reports.
Reply:
	@anjalib@samanvayfoundation.org 
I guess we have to restrict the month data to either 9 or 10 month it will take any random number.
This will cause issue while creating Reports.
Reassigned to anjalib@samanvayfoundation.org
</t>
      </text>
    </comment>
    <comment authorId="9" xr:uid="{67b3e22f-ff61-4020-b9ae-8a80a798e485}" ref="C23">
      <text>
        <t xml:space="preserve">[Threaded comment]
 Your version of Excel allows you to read this threaded comment; however, any edits to it will get removed if the file is opened in a newer version of Excel. Learn more: https://go.microsoft.com/fwlink/?linkid=870924
Comment:
	@tnprogramlead@ekam.ngo  Is this question asked to pregnant women or mothers or both
Assigned to tnprogramlead@ekam.ngo
</t>
      </text>
    </comment>
    <comment authorId="10" xr:uid="{712b22da-8f56-4aa6-9eba-f15987a5ce1a}" ref="J44">
      <text>
        <t xml:space="preserve">[Threaded comment]
 Your version of Excel allows you to read this threaded comment; however, any edits to it will get removed if the file is opened in a newer version of Excel. Learn more: https://go.microsoft.com/fwlink/?linkid=870924
Comment:
	@tnprogramlead@ekam.ngo update the options
Assigned to tnprogramlead@ekam.ngo
</t>
      </text>
    </comment>
    <comment authorId="11" xr:uid="{98e3a6d2-9770-4270-b0fc-de34f093cee2}" ref="J48">
      <text>
        <t xml:space="preserve">[Threaded comment]
 Your version of Excel allows you to read this threaded comment; however, any edits to it will get removed if the file is opened in a newer version of Excel. Learn more: https://go.microsoft.com/fwlink/?linkid=870924
Comment:
	Why have complete address here.? Rather just the   place as Home or relative's home etc..
Reply:
	this will be extra field for address. if they stay away from the registered address
</t>
      </text>
    </comment>
    <comment authorId="12" xr:uid="{996d9044-3c6f-4a76-ab37-0cbbd9e327fc}" ref="C8">
      <text>
        <t xml:space="preserve">[Threaded comment]
 Your version of Excel allows you to read this threaded comment; however, any edits to it will get removed if the file is opened in a newer version of Excel. Learn more: https://go.microsoft.com/fwlink/?linkid=870924
Comment:
	@mnedofficer@ekam.ngo @tnprogramlead@ekam.ngo Can we autocalculate this based on LMP or you want to manually enter it?
Assigned to mnedofficer@ekam.ngo
Reply:
	This can be done as manually.
</t>
      </text>
    </comment>
    <comment authorId="13" xr:uid="{af24b949-d9e6-424c-b496-fcb2694f2cd4}" ref="C14">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I think this question is not needed in Pregnancy enrolment as we are capturing this in child enrolment and delivery form
Assigned to ashok.ku22@gmail.com
Reply:
	Agreed
</t>
      </text>
    </comment>
    <comment authorId="14" xr:uid="{b0ca95f0-809a-4eef-bf9f-cd0ba235becf}" ref="C8">
      <text>
        <t xml:space="preserve">[Threaded comment]
 Your version of Excel allows you to read this threaded comment; however, any edits to it will get removed if the file is opened in a newer version of Excel. Learn more: https://go.microsoft.com/fwlink/?linkid=870924
Comment:
	Since this seems to be a common form for Mother and Pregnancy Enrolments, the questions need to have much more conditional logic, which is not specified in the requirements.
</t>
      </text>
    </comment>
    <comment authorId="15" xr:uid="{bd5fdadf-d564-4f69-9bc6-26a3ecb88438}" ref="C44">
      <text>
        <t xml:space="preserve">[Threaded comment]
 Your version of Excel allows you to read this threaded comment; however, any edits to it will get removed if the file is opened in a newer version of Excel. Learn more: https://go.microsoft.com/fwlink/?linkid=870924
Comment:
	To be asked only for pregnant women
</t>
      </text>
    </comment>
    <comment authorId="16" xr:uid="{c0d59a10-db38-40d8-b94e-942756b59459}" ref="C48">
      <text>
        <t xml:space="preserve">[Threaded comment]
 Your version of Excel allows you to read this threaded comment; however, any edits to it will get removed if the file is opened in a newer version of Excel. Learn more: https://go.microsoft.com/fwlink/?linkid=870924
Comment:
	FYI : Add this field to capture the address in case there is change of place post delivery. currently kept dattype as text as PNC data will be collect over a call in case of place change @tnprogramlead@ekam.ngo @anjalib@samanvayfoundation.org
</t>
      </text>
    </comment>
    <comment authorId="17" xr:uid="{e0c7f129-7f33-45fb-bcb7-a4178193101f}" ref="J46">
      <text>
        <t xml:space="preserve">[Threaded comment]
 Your version of Excel allows you to read this threaded comment; however, any edits to it will get removed if the file is opened in a newer version of Excel. Learn more: https://go.microsoft.com/fwlink/?linkid=870924
Comment:
	@tnprogramlead@ekam.ngo  Will you register beneficiaries in 7th month when they have migrated to mother's place. Let me know if you want change options as 1. Current place of stay 2. New place of stay
Assigned to tnprogramlead@ekam.ngo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tc={17922e80-1465-4f4b-840b-5c8c9fdf8962}</author>
    <author>tc={266bce7f-6693-4f19-af59-cc2872465e9a}</author>
    <author>tc={614fe203-0e25-428c-8f3c-69ca733bdf88}</author>
    <author>tc={7a8fa1be-5e9f-4dff-834b-3db24a050da0}</author>
    <author>tc={9510c1c7-fd65-4840-b53f-db2cfca56830}</author>
    <author>tc={9f2ad0ad-aa5b-44ec-b427-8ad5578e3b9d}</author>
    <author>tc={afb6ef95-887b-4368-99a5-3aea9c986a8b}</author>
    <author>tc={bfe51b72-607b-4819-b916-a56a281dcf31}</author>
    <author>tc={d3d02c26-c5e1-44f0-8122-3086251db179}</author>
  </authors>
  <commentList>
    <comment authorId="0" xr:uid="{17922e80-1465-4f4b-840b-5c8c9fdf8962}" ref="C8">
      <text>
        <t xml:space="preserve">[Threaded comment]
 Your version of Excel allows you to read this threaded comment; however, any edits to it will get removed if the file is opened in a newer version of Excel. Learn more: https://go.microsoft.com/fwlink/?linkid=870924
Comment:
	@tnprogramlead@ekam.ngo  in the form 1 you written " Urine Albumin (Positive/Negative/Not taken)" and " Blood sugar (Positive/Negative/Not taken)" so do need numeric values in the app or these options
Assigned to tnprogramlead@ekam.ngo
Reply:
	Values not needed
</t>
      </text>
    </comment>
    <comment authorId="1" xr:uid="{266bce7f-6693-4f19-af59-cc2872465e9a}" ref="C24">
      <text>
        <t xml:space="preserve">[Threaded comment]
 Your version of Excel allows you to read this threaded comment; however, any edits to it will get removed if the file is opened in a newer version of Excel. Learn more: https://go.microsoft.com/fwlink/?linkid=870924
Comment:
	This has been added, the topic number can it be selected here @ashok.ku22@gmail.com
Reply:
	Let discuss this
</t>
      </text>
    </comment>
    <comment authorId="2" xr:uid="{614fe203-0e25-428c-8f3c-69ca733bdf88}" ref="A17">
      <text>
        <t xml:space="preserve">[Threaded comment]
 Your version of Excel allows you to read this threaded comment; however, any edits to it will get removed if the file is opened in a newer version of Excel. Learn more: https://go.microsoft.com/fwlink/?linkid=870924
Comment:
	@ashok.ku22@gmail.com Why are each of them separate questions? Can they be a single question with multi-select answers ?
Reply:
	@tnprogramlead@ekam.ngo Does it work if we convert it into a single question with multi select and upon selection of any of options would lead to high risk preg that would be used for referral. are we doing any other analysis on danger signs other than high risk preg tracking and refferal
Reply:
	If we would want to understand the different types of danger signs reported across the beneficiaries, we can still do it right.   We are fine with a single question with multiselect option
Reply:
	Yes it is possible
</t>
      </text>
    </comment>
    <comment authorId="3" xr:uid="{7a8fa1be-5e9f-4dff-834b-3db24a050da0}" ref="K20">
      <text>
        <t xml:space="preserve">[Threaded comment]
 Your version of Excel allows you to read this threaded comment; however, any edits to it will get removed if the file is opened in a newer version of Excel. Learn more: https://go.microsoft.com/fwlink/?linkid=870924
Comment:
	A, B, C, D, and E are common to pregnant women and mother @ashok.ku22@gmail.com
Reply:
	Topics A,B,C,D,E if covered during ANC for pregnant women needed not be provided in counselling during PNC @anjalib@samanvayfoundation.org Let me know if it is possible or not .
Reply:
	Possible
</t>
      </text>
    </comment>
    <comment authorId="4" xr:uid="{9510c1c7-fd65-4840-b53f-db2cfca56830}" ref="C9">
      <text>
        <t xml:space="preserve">[Threaded comment]
 Your version of Excel allows you to read this threaded comment; however, any edits to it will get removed if the file is opened in a newer version of Excel. Learn more: https://go.microsoft.com/fwlink/?linkid=870924
Comment:
	@tnprogramlead@ekam.ngo it is mentioned Blood Sugar in "Pregnant Women Follow-up Form 1" and marked in red . let me know if you want to go ahead with blood sugar. I see in the form weight till blood sugar marked in red. Are these fields confirmed.
Assigned to tnprogramlead@ekam.ngo
Reply:
	Confirmed, options added
</t>
      </text>
    </comment>
    <comment authorId="5" xr:uid="{9f2ad0ad-aa5b-44ec-b427-8ad5578e3b9d}" ref="C22">
      <text>
        <t xml:space="preserve">[Threaded comment]
 Your version of Excel allows you to read this threaded comment; however, any edits to it will get removed if the file is opened in a newer version of Excel. Learn more: https://go.microsoft.com/fwlink/?linkid=870924
Comment:
	@tnprogramlead@ekam.ngo is this Q asked if any option from previous question selected or for any specific options. Please mention here
</t>
      </text>
    </comment>
    <comment authorId="6" xr:uid="{afb6ef95-887b-4368-99a5-3aea9c986a8b}" ref="C31">
      <text>
        <t xml:space="preserve">[Threaded comment]
 Your version of Excel allows you to read this threaded comment; however, any edits to it will get removed if the file is opened in a newer version of Excel. Learn more: https://go.microsoft.com/fwlink/?linkid=870924
Comment:
	@tnprogramlead@ekam.ngo 
please check if all high risk conditions are captured or not . whatever conditions are missing please share a list with Ashok. We will add them in ANC as additional high risk conditions and include 2 Qs to check when to fill this high risk data field. Q1. Is high risk pregnancy observed in earlier visit - Yes and No . if Yes -Ask if the high risk condition is same -Yes or No . if No - Ask select the high risk condition (Also ask it for Q1 is No)
</t>
      </text>
    </comment>
    <comment authorId="7" xr:uid="{bfe51b72-607b-4819-b916-a56a281dcf31}" ref="C20">
      <text>
        <t xml:space="preserve">[Threaded comment]
 Your version of Excel allows you to read this threaded comment; however, any edits to it will get removed if the file is opened in a newer version of Excel. Learn more: https://go.microsoft.com/fwlink/?linkid=870924
Comment:
	@tnprogramlead@ekam.ngo do you want the options in the same order as mentioned PW follow up form 2 and i will make all Qs under multi-select with question Health Education topics covered . Is this format okay with you?
</t>
      </text>
    </comment>
    <comment authorId="8" xr:uid="{d3d02c26-c5e1-44f0-8122-3086251db179}" ref="M5">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do we need this? If yes what is the recommended weight gain?
Assigned to ashok.ku22@gmail.com
Reply:
	Minimum recommended weight gain is at least 0.5 kg per month.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tc={8ec8b65c-a489-4ab0-94d0-54e6a9244357}</author>
  </authors>
  <commentList>
    <comment authorId="0" xr:uid="{8ec8b65c-a489-4ab0-94d0-54e6a9244357}" ref="E4">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can you confirm this form question and option
Assigned to ashok.ku22@gmail.com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tc={0b392042-b71e-4a98-baba-53d193e1c972}</author>
    <author>tc={0e7fe704-3c29-4c22-8da3-0e4282af1927}</author>
    <author>tc={4204f49e-be6a-4d8f-96bf-eceddb7fb19b}</author>
    <author>tc={6a9cfe0d-bc9f-42fb-8873-21cd3142274d}</author>
    <author>tc={9a7f05c7-3780-448c-8c71-eb589cc88b6e}</author>
    <author>tc={ad2bc431-8e76-4545-a0c7-6ae3225e718a}</author>
    <author>tc={c01af489-ff9f-45fe-9a2f-b389c063b35f}</author>
  </authors>
  <commentList>
    <comment authorId="0" xr:uid="{0b392042-b71e-4a98-baba-53d193e1c972}" ref="A26">
      <text>
        <t xml:space="preserve">[Threaded comment]
 Your version of Excel allows you to read this threaded comment; however, any edits to it will get removed if the file is opened in a newer version of Excel. Learn more: https://go.microsoft.com/fwlink/?linkid=870924
Comment:
	Breastfeeding assessment prefer it to be a separate form and not as part of PN followup
</t>
      </text>
    </comment>
    <comment authorId="1" xr:uid="{0e7fe704-3c29-4c22-8da3-0e4282af1927}" ref="C18">
      <text>
        <t xml:space="preserve">[Threaded comment]
 Your version of Excel allows you to read this threaded comment; however, any edits to it will get removed if the file is opened in a newer version of Excel. Learn more: https://go.microsoft.com/fwlink/?linkid=870924
Comment:
	Make it multiple choice
</t>
      </text>
    </comment>
    <comment authorId="2" xr:uid="{4204f49e-be6a-4d8f-96bf-eceddb7fb19b}" ref="C53">
      <text>
        <t xml:space="preserve">[Threaded comment]
 Your version of Excel allows you to read this threaded comment; however, any edits to it will get removed if the file is opened in a newer version of Excel. Learn more: https://go.microsoft.com/fwlink/?linkid=870924
Comment:
	How to capture?
</t>
      </text>
    </comment>
    <comment authorId="3" xr:uid="{6a9cfe0d-bc9f-42fb-8873-21cd3142274d}" ref="C23">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Can we move to breastfeeding page if we answer yes to Do you need to visit again for Counselling? as this Q leads to schedule the next visit
Assigned to anjalib@samanvayfoundation.org
</t>
      </text>
    </comment>
    <comment authorId="4" xr:uid="{9a7f05c7-3780-448c-8c71-eb589cc88b6e}" ref="A30">
      <text>
        <t xml:space="preserve">[Threaded comment]
 Your version of Excel allows you to read this threaded comment; however, any edits to it will get removed if the file is opened in a newer version of Excel. Learn more: https://go.microsoft.com/fwlink/?linkid=870924
Comment:
	Aim to create Breastfeeding awareness among the mothers during PNC period. The Breastfeeding Score is done during the 4 schedule PNC(out of them 1 is onphone call). The objective is to get 100 score for each mother. On visit the score keeps on increasing till 100 is achieved. Score is achieved message should pop up
</t>
      </text>
    </comment>
    <comment authorId="5" xr:uid="{ad2bc431-8e76-4545-a0c7-6ae3225e718a}" ref="K22">
      <text>
        <t xml:space="preserve">[Threaded comment]
 Your version of Excel allows you to read this threaded comment; however, any edits to it will get removed if the file is opened in a newer version of Excel. Learn more: https://go.microsoft.com/fwlink/?linkid=870924
Comment:
	@ashok.ku22@gmail.com
</t>
      </text>
    </comment>
    <comment authorId="6" xr:uid="{c01af489-ff9f-45fe-9a2f-b389c063b35f}" ref="M8">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for blood pressure do we need this logic
Assigned to anjalib@samanvayfoundation.org
Reply:
	@dineshg@samanvayfoundation.org not required
Reassigned to dineshg@samanvayfoundation.org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tc={137f668d-8b8d-48da-957f-36e44a0bee3f}</author>
  </authors>
  <commentList>
    <comment authorId="0" xr:uid="{137f668d-8b8d-48da-957f-36e44a0bee3f}" ref="E4">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can you confirm this form question and option
Assigned to ashok.ku22@gmail.com
Reply:
	options suggested by Anjali: "Temporarily Migrated 
Death 
Went to relative or other place 
Not known 
Other"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tc={646ec369-89de-4ed8-8d98-f43b7a8bae60}</author>
    <author>tc={7d259609-b9a5-4efc-adfa-231ba1a321b7}</author>
    <author>tc={ab698ba0-c51b-43ad-adb8-201c23d9201a}</author>
    <author>tc={fa9014c7-6c30-480f-87ce-1e9c34151641}</author>
  </authors>
  <commentList>
    <comment authorId="0" xr:uid="{646ec369-89de-4ed8-8d98-f43b7a8bae60}" ref="A1">
      <text>
        <t xml:space="preserve">[Threaded comment]
 Your version of Excel allows you to read this threaded comment; however, any edits to it will get removed if the file is opened in a newer version of Excel. Learn more: https://go.microsoft.com/fwlink/?linkid=870924
Comment:
	@ashok.ku22@gmail.com what will be the visit scheduling for this form? Couldn't find it in the SRS
Assigned to ashok.ku22@gmail.com
Reply:
	Initially each component of the mental health screening  was included in the ANC and PNC or enrollment as per requirement. Then it was suggested to make all of mental health acreening as 1 form. I have updated SRS now. I would like to know what is the right approach to ask MH screening questions
Reply:
	As per our discussion on 15th Sept call. We dedicated to have mental health screening as separate form
</t>
      </text>
    </comment>
    <comment authorId="1" xr:uid="{7d259609-b9a5-4efc-adfa-231ba1a321b7}" ref="A11">
      <text>
        <t xml:space="preserve">[Threaded comment]
 Your version of Excel allows you to read this threaded comment; however, any edits to it will get removed if the file is opened in a newer version of Excel. Learn more: https://go.microsoft.com/fwlink/?linkid=870924
Comment:
	Refer this https://drive.google.com/file/d/1Zf3pDeoecV-7z1iyUjgOCzoCxUEb3OsD/view?usp=sharing to calculate the high risk conditions
</t>
      </text>
    </comment>
    <comment authorId="2" xr:uid="{ab698ba0-c51b-43ad-adb8-201c23d9201a}" ref="C17">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We need to create new card for this
</t>
      </text>
    </comment>
    <comment authorId="3" xr:uid="{fa9014c7-6c30-480f-87ce-1e9c34151641}" ref="A2">
      <text>
        <t xml:space="preserve">[Threaded comment]
 Your version of Excel allows you to read this threaded comment; however, any edits to it will get removed if the file is opened in a newer version of Excel. Learn more: https://go.microsoft.com/fwlink/?linkid=870924
Comment:
	Refer this https://drive.google.com/file/d/1Zf3pDeoecV-7z1iyUjgOCzoCxUEb3OsD/view?usp=sharing to calculate the high risk conditions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tc={0b70dffd-b131-406d-8d5b-e43d68cfc255}</author>
    <author>tc={26dd63fd-a156-4ca6-96bf-0695f2ba650f}</author>
    <author>tc={7906444e-f8c8-4887-9525-96425a1865a7}</author>
    <author>tc={8334f8d6-1f45-4542-b37b-94f585548022}</author>
    <author>tc={86cef903-0f9a-400f-a62e-8e4f98e9fffe}</author>
    <author>tc={8c6b5213-8473-45ca-b593-25655f06e59a}</author>
    <author>tc={bfb1cc40-d0be-4451-be7f-f8b900e935df}</author>
    <author>tc={eefe4c03-227d-4c35-bc2f-699801d7b450}</author>
  </authors>
  <commentList>
    <comment authorId="0" xr:uid="{0b70dffd-b131-406d-8d5b-e43d68cfc255}" ref="J8">
      <text>
        <t xml:space="preserve">[Threaded comment]
 Your version of Excel allows you to read this threaded comment; however, any edits to it will get removed if the file is opened in a newer version of Excel. Learn more: https://go.microsoft.com/fwlink/?linkid=870924
Comment:
	Baby died to be removed, as neonatal death cannot be included as delivery outcome
</t>
      </text>
    </comment>
    <comment authorId="1" xr:uid="{26dd63fd-a156-4ca6-96bf-0695f2ba650f}" ref="J14">
      <text>
        <t xml:space="preserve">[Threaded comment]
 Your version of Excel allows you to read this threaded comment; however, any edits to it will get removed if the file is opened in a newer version of Excel. Learn more: https://go.microsoft.com/fwlink/?linkid=870924
Comment:
	Space to write the reason and number of days after which the death happened
Reply:
	@tnprogramlead@ekam.ngo Is the status of mother question is asked only to beneficiary who enrolled as preg women in our program and may die during delivery and we want to capture the reasons for the same and you want to capture status of their baby?
Reply:
	Discuss with Arjun how to capture this.
</t>
      </text>
    </comment>
    <comment authorId="2" xr:uid="{7906444e-f8c8-4887-9525-96425a1865a7}" ref="J17">
      <text>
        <t xml:space="preserve">[Threaded comment]
 Your version of Excel allows you to read this threaded comment; however, any edits to it will get removed if the file is opened in a newer version of Excel. Learn more: https://go.microsoft.com/fwlink/?linkid=870924
Comment:
	Dead - means space to write the reason for death and number of days after which death happened
</t>
      </text>
    </comment>
    <comment authorId="3" xr:uid="{8334f8d6-1f45-4542-b37b-94f585548022}" ref="C1">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for mother whose PNC period is over, they are not going to enrol that individual to the Pregnancy program. They will do the Ind Registration form for the child and include few questions related to delivery in the IR form instelf and Child Program flow will continue
Assigned to anjalib@samanvayfoundation.org
</t>
      </text>
    </comment>
    <comment authorId="4" xr:uid="{86cef903-0f9a-400f-a62e-8e4f98e9fffe}" ref="C21">
      <text>
        <t xml:space="preserve">[Threaded comment]
 Your version of Excel allows you to read this threaded comment; however, any edits to it will get removed if the file is opened in a newer version of Excel. Learn more: https://go.microsoft.com/fwlink/?linkid=870924
Comment:
	@tnprogramlead@ekam.ngo If yes leads to high risk conditions and can lead to referral then better to have options with multiselect instead of text field. Please confirm. If same is applicable for child ? if yes then have options for the child question
</t>
      </text>
    </comment>
    <comment authorId="5" xr:uid="{8c6b5213-8473-45ca-b593-25655f06e59a}" ref="C10">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others do we need to add the text field to get the other details
Assigned to anjalib@samanvayfoundation.org
Reply:
	@dineshg@samanvayfoundation.org yes this will be a text field. I added it
Reassigned to dineshg@samanvayfoundation.org
</t>
      </text>
    </comment>
    <comment authorId="6" xr:uid="{bfb1cc40-d0be-4451-be7f-f8b900e935df}" ref="J25">
      <text>
        <t xml:space="preserve">[Threaded comment]
 Your version of Excel allows you to read this threaded comment; however, any edits to it will get removed if the file is opened in a newer version of Excel. Learn more: https://go.microsoft.com/fwlink/?linkid=870924
Comment:
	Separate for baby and child
</t>
      </text>
    </comment>
    <comment authorId="7" xr:uid="{eefe4c03-227d-4c35-bc2f-699801d7b450}" ref="J20">
      <text>
        <t xml:space="preserve">[Threaded comment]
 Your version of Excel allows you to read this threaded comment; however, any edits to it will get removed if the file is opened in a newer version of Excel. Learn more: https://go.microsoft.com/fwlink/?linkid=870924
Comment:
	Mother can have fever, seizures, heavy bleeding
Reply:
	We need space to write the type of complication
Reply:
	@tnprogramlead@ekam.ngo this should be two separate questions for mother and child not a single question, if response to question is yes then followup question should be asked. I am making the changes please check if it works for you
Reply:
	Fine ji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tc={ad1319f2-f4db-42f1-973d-08831be9641b}</author>
  </authors>
  <commentList>
    <comment authorId="0" xr:uid="{ad1319f2-f4db-42f1-973d-08831be9641b}" ref="I2">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can you verify this?
Assigned to ashok.ku22@gmail.com
Reply:
	Revised the option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tc={069b7ec9-7ee6-40c2-be53-83c94cbaf7d0}</author>
    <author>tc={07cb6ac8-6a97-4fc6-a9a6-3ad2a81455c0}</author>
    <author>tc={080ad2fd-9f2d-4d50-a9ae-e9f9b88e801f}</author>
    <author>tc={103ee0cd-0c9a-4679-9c35-da1c19446b5e}</author>
    <author>tc={131a9812-0e2f-44b5-8867-b8f4d90ceb18}</author>
    <author>tc={134914f1-3f35-4969-8bce-cc85d42f7825}</author>
    <author>tc={3f295777-ad5a-4eec-ac7e-051dac70acb9}</author>
    <author>tc={4289c73c-1dff-461d-a3af-f32f99468e7b}</author>
    <author>tc={511caab6-a4cf-44f5-80e7-488f02a67703}</author>
    <author>tc={c2ddf9f0-2218-4103-bd10-637d6fe41eac}</author>
    <author>tc={c561e0c1-9650-4be3-bc58-699ae08cb87c}</author>
  </authors>
  <commentList>
    <comment authorId="0" xr:uid="{069b7ec9-7ee6-40c2-be53-83c94cbaf7d0}" ref="C5">
      <text>
        <t xml:space="preserve">[Threaded comment]
 Your version of Excel allows you to read this threaded comment; however, any edits to it will get removed if the file is opened in a newer version of Excel. Learn more: https://go.microsoft.com/fwlink/?linkid=870924
Comment:
	@ashok.ku22@gmail.com I think this should be a numeric data type and based on the weight entered we can show the status
Assigned to ashok.ku22@gmail.com
Reply:
	Agreed
</t>
      </text>
    </comment>
    <comment authorId="1" xr:uid="{07cb6ac8-6a97-4fc6-a9a6-3ad2a81455c0}" ref="C38">
      <text>
        <t xml:space="preserve">[Threaded comment]
 Your version of Excel allows you to read this threaded comment; however, any edits to it will get removed if the file is opened in a newer version of Excel. Learn more: https://go.microsoft.com/fwlink/?linkid=870924
Comment:
	Why is this in Individual registration? Normally this is in pregnancy enrolment
Reply:
	So i learnt this for those children who's mother was not tracked in the program. Question is  is this even relevant then from the child's health perspective. We can always capture when that woman becomes pregnant again.
Reply:
	@tnprogramlead@ekam.ngo please respond to this query and we can discuss further on a call if required
Reply:
	As per donor requirement, Government registration ID is mandatory for every beneficiary, we need to get the Aadhar number or PICME, aadhar has always been a challenge, so we keep it optional and PICME we try to get for all the mothers..Sometimes though they register soon, the number gets generated at a later period of time, please suggest on that too, but we need this for all - pregnant women, mother and child.
</t>
      </text>
    </comment>
    <comment authorId="2" xr:uid="{080ad2fd-9f2d-4d50-a9ae-e9f9b88e801f}" ref="C2">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if the ask is yes for death then we dont need to schedule the child followup
Assigned to anjalib@samanvayfoundation.org
Reply:
	yes
</t>
      </text>
    </comment>
    <comment authorId="3" xr:uid="{103ee0cd-0c9a-4679-9c35-da1c19446b5e}" ref="C21">
      <text>
        <t xml:space="preserve">[Threaded comment]
 Your version of Excel allows you to read this threaded comment; however, any edits to it will get removed if the file is opened in a newer version of Excel. Learn more: https://go.microsoft.com/fwlink/?linkid=870924
Comment:
	Add an additional data field for calculating this
</t>
      </text>
    </comment>
    <comment authorId="4" xr:uid="{131a9812-0e2f-44b5-8867-b8f4d90ceb18}" ref="K15">
      <text>
        <t xml:space="preserve">[Threaded comment]
 Your version of Excel allows you to read this threaded comment; however, any edits to it will get removed if the file is opened in a newer version of Excel. Learn more: https://go.microsoft.com/fwlink/?linkid=870924
Comment:
	My suggestion would be we can remove the condition/validation rule as "Gravida refers to the total number of times a woman has been pregnant, regardless of the duration, outcome, or number of fetuses involved" We need to discuss critically important  @tnprogramlead@ekam.ngo
Assigned to tnprogramlead@ekam.ngo
</t>
      </text>
    </comment>
    <comment authorId="5" xr:uid="{134914f1-3f35-4969-8bce-cc85d42f7825}" ref="C12">
      <text>
        <t xml:space="preserve">[Threaded comment]
 Your version of Excel allows you to read this threaded comment; however, any edits to it will get removed if the file is opened in a newer version of Excel. Learn more: https://go.microsoft.com/fwlink/?linkid=870924
Comment:
	This question is getting repeated
</t>
      </text>
    </comment>
    <comment authorId="6" xr:uid="{3f295777-ad5a-4eec-ac7e-051dac70acb9}" ref="C20">
      <text>
        <t xml:space="preserve">[Threaded comment]
 Your version of Excel allows you to read this threaded comment; however, any edits to it will get removed if the file is opened in a newer version of Excel. Learn more: https://go.microsoft.com/fwlink/?linkid=870924
Comment:
	No need of this question
</t>
      </text>
    </comment>
    <comment authorId="7" xr:uid="{4289c73c-1dff-461d-a3af-f32f99468e7b}" ref="B5">
      <text>
        <t xml:space="preserve">[Threaded comment]
 Your version of Excel allows you to read this threaded comment; however, any edits to it will get removed if the file is opened in a newer version of Excel. Learn more: https://go.microsoft.com/fwlink/?linkid=870924
Comment:
	@himeshr@samanvayfoundation.org need to discuss with Arjun if we link the mother child through a question in the form or through add relationship? 
Note: We will keep the Delivery details of mother who are not registered but info is needed in a separate form call Status of Mother
Assigned to himeshr@samanvayfoundation.org
</t>
      </text>
    </comment>
    <comment authorId="8" xr:uid="{511caab6-a4cf-44f5-80e7-488f02a67703}" ref="D4">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its wrong in app
Assigned to anjalib@samanvayfoundation.org
Reply:
	It will be text
</t>
      </text>
    </comment>
    <comment authorId="9" xr:uid="{c2ddf9f0-2218-4103-bd10-637d6fe41eac}" ref="D7">
      <text>
        <t xml:space="preserve">[Threaded comment]
 Your version of Excel allows you to read this threaded comment; however, any edits to it will get removed if the file is opened in a newer version of Excel. Learn more: https://go.microsoft.com/fwlink/?linkid=870924
Comment:
	making it multi-select
</t>
      </text>
    </comment>
    <comment authorId="10" xr:uid="{c561e0c1-9650-4be3-bc58-699ae08cb87c}" ref="C34">
      <text>
        <t xml:space="preserve">[Threaded comment]
 Your version of Excel allows you to read this threaded comment; however, any edits to it will get removed if the file is opened in a newer version of Excel. Learn more: https://go.microsoft.com/fwlink/?linkid=870924
Comment:
	@tnprogramlead@ekam.ngo  can you confirm if the 4 Qs highlighted in yellow are required or not as these will be asked for child who are enrolled after 42 days. I think we should remove it.
Assigned to tnprogramlead@ekam.ngo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tc={1eabde0f-600c-492a-8dbe-e084e86f3d08}</author>
    <author>tc={222c0526-d6b2-4747-8b93-5af6faa831b4}</author>
    <author>tc={25c733c2-e81a-45e5-8765-7ca6f001d39c}</author>
    <author>tc={2b9f4922-3311-4cd9-a852-f691016ed0e7}</author>
    <author>tc={391b3ad0-10b2-4981-afd3-30c4d2994a2c}</author>
    <author>tc={3e7e95bb-0515-4d56-90b6-1ca1a2daa868}</author>
    <author>tc={4ae3efe5-efa8-4dff-acb7-1372892912b5}</author>
    <author>tc={631273a6-fcbb-4e73-8c9d-b5d06d0ea969}</author>
    <author>tc={99b57626-1981-4b83-8b82-ac0dd10e7dba}</author>
    <author>tc={a76ec849-6a75-429d-a021-36adb2abca77}</author>
    <author>tc={b120c212-6f76-4f96-93e1-341cf073015f}</author>
    <author>tc={b1466757-34a2-420c-bf4d-be4b618d759b}</author>
    <author>tc={b47aa477-2a15-4817-877e-86d2bbfb828a}</author>
    <author>tc={cfb7ba00-19c8-42e3-ad7e-d8361f8d17db}</author>
    <author>tc={f79032a4-5898-402d-ba72-380e64ee316b}</author>
    <author>tc={fdf00b6b-6733-4123-9cb2-80d6343935ff}</author>
  </authors>
  <commentList>
    <comment authorId="0" xr:uid="{1eabde0f-600c-492a-8dbe-e084e86f3d08}" ref="C18">
      <text>
        <t xml:space="preserve">[Threaded comment]
 Your version of Excel allows you to read this threaded comment; however, any edits to it will get removed if the file is opened in a newer version of Excel. Learn more: https://go.microsoft.com/fwlink/?linkid=870924
Comment:
	@anjali This will be captured till 7 weeks. Health Workers will capture this data end of each week. Each follow up till 7th week we need to show what was last week Avg and this week how much KMC given
</t>
      </text>
    </comment>
    <comment authorId="1" xr:uid="{222c0526-d6b2-4747-8b93-5af6faa831b4}" ref="D2">
      <text>
        <t xml:space="preserve">[Threaded comment]
 Your version of Excel allows you to read this threaded comment; however, any edits to it will get removed if the file is opened in a newer version of Excel. Learn more: https://go.microsoft.com/fwlink/?linkid=870924
Comment:
	Not filled
</t>
      </text>
    </comment>
    <comment authorId="2" xr:uid="{25c733c2-e81a-45e5-8765-7ca6f001d39c}" ref="K26">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can you confirm is this range tags are correct?
Assigned to ashok.ku22@gmail.com
Reply:
	Except for "Overweight," which is &gt; +2 SD to ≤ +3 SD, and the addition of a new category, "Obese," which is &gt; +3 SD. We can use these ranges for categorisation. @anjalib@samanvayfoundation.org
Reply:
	@anjalib@samanvayfoundation.org have you noted down this change. Any further clarification required?
Reply:
	@ashok.ku22@gmail.com noted
</t>
      </text>
    </comment>
    <comment authorId="3" xr:uid="{2b9f4922-3311-4cd9-a852-f691016ed0e7}" ref="K25">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can you confirm is this range tags are correct?
Assigned to ashok.ku22@gmail.com
Reply:
	Yes, the range tags are correct, only exception is when a child has bilateral pitting edema, even if the z-scores are normal, it is categorized as SAM child
Reply:
	can we add a Q asking if child has bilateral pitting edema (Yes,No) accordingly.
1 total reaction
Manickam S reacted with 👍 at 2025-10-14 08:13 AM
Reply:
	For "Overweight," change the range to &gt; +2 SD to ≤ +3 SD. Add a new category, "Obese," with a range of &gt; +3 SD. Confirm these changes. Also, please add a question asking if the child has bilateral pitting oedema (Yes/No) after the z-score question. The child should be categorised as SAM or MAM, even if z-scores are normal, if bilateral pitting oedema is present (Yes). @anjalib@samanvayfoundation.org
Reply:
	Should we need to incorporate MUAC as a criterion for children aged 6 to 59 months, using a population reference. Should we measure MUAC during data collection, or provide options like these MUAC cutoffs: &lt;115 mm (or &lt;11.5 cm) / ≥115 mm and &lt;125 mm (or &lt;12.5 cm) / ≥125 mm (or ≥12.5 cm)?
Reply:
	@mnedofficer@ekam.ngo is the above question related to MUAC for Mythili or Anjali. can you clarify ? how is MUAC related to this question
Reassigned to mnedofficer@ekam.ngo
Reply:
	The MUAC was related to Wasting status in the field or community level since the MUAC (Mid-Upper Arm Circumference) and bilateral pitting edema are the fastest, most effective tools for assessing wasting status (acute malnutrition). The standard, officially adopted MUAC cut-off range for diagnosing Severe Acute Malnutrition (SAM) and Moderate Acute Malnutrition (MAM) in children aged 6–59 months in India aligns with the World Health Organization (WHO) guidelines. This was question asked to @tnprogramlead@ekam.ngo
Reassigned to tnprogramlead@ekam.ngo
Reply:
	@mnedofficer@ekam.ngo I did not understand the requirement for this. Can you please add here what needs to be done for this question?
Reassigned to mnedofficer@ekam.ngo
Reply:
	We need to add the question "Does the child have bilateral pitting edema?" (Yes/No) before the Z-score question. The responses should be tied to the assessment, so children with bilateral pitting edema are categorised as SAM, even with normal Z-scores for this question @anjalib@samanvayfoundation.org
Reassigned to anjalib@samanvayfoundation.org
</t>
      </text>
    </comment>
    <comment authorId="4" xr:uid="{391b3ad0-10b2-4981-afd3-30c4d2994a2c}" ref="J26">
      <text>
        <t xml:space="preserve">[Threaded comment]
 Your version of Excel allows you to read this threaded comment; however, any edits to it will get removed if the file is opened in a newer version of Excel. Learn more: https://go.microsoft.com/fwlink/?linkid=870924
Comment:
	We will add "Overweight" and "Obese" Category as per WHO Category @tnprogramlead@ekam.ngo @anjalib@samanvayfoundation.org @ashok.ku22@gmail.com
Assigned to tnprogramlead@ekam.ngo
</t>
      </text>
    </comment>
    <comment authorId="5" xr:uid="{3e7e95bb-0515-4d56-90b6-1ca1a2daa868}" ref="C9">
      <text>
        <t xml:space="preserve">[Threaded comment]
 Your version of Excel allows you to read this threaded comment; however, any edits to it will get removed if the file is opened in a newer version of Excel. Learn more: https://go.microsoft.com/fwlink/?linkid=870924
Comment:
	Change the question to : Does the children receive Nutrition support from Ekam.
</t>
      </text>
    </comment>
    <comment authorId="6" xr:uid="{4ae3efe5-efa8-4dff-acb7-1372892912b5}" ref="J25">
      <text>
        <t xml:space="preserve">[Threaded comment]
 Your version of Excel allows you to read this threaded comment; however, any edits to it will get removed if the file is opened in a newer version of Excel. Learn more: https://go.microsoft.com/fwlink/?linkid=870924
Comment:
	We will add "Overweight" and "Obese" Category as per WHO Category @tnprogramlead@ekam.ngo @anjalib@samanvayfoundation.org @ashok.ku22@gmail.com
Assigned to tnprogramlead@ekam.ngo
</t>
      </text>
    </comment>
    <comment authorId="7" xr:uid="{631273a6-fcbb-4e73-8c9d-b5d06d0ea969}" ref="C13">
      <text>
        <t xml:space="preserve">[Threaded comment]
 Your version of Excel allows you to read this threaded comment; however, any edits to it will get removed if the file is opened in a newer version of Excel. Learn more: https://go.microsoft.com/fwlink/?linkid=870924
Comment:
	@ashok.ku22@gmail.com 1. Should have a option of No danger signs
2. If any of the danger signs are selected in this question, and answer to question "Do you think Child needs further referral?" is Yes, do we scheduled the Referral to hospital form or when 
If yes when to schedule it?
Assigned to ashok.ku22@gmail.com
Reply:
	1. We will add no danger signs option. Agreed
2. Yes as mentioned by it AND condition danger sign 
+ yes to Q. schedule part I will confirm
</t>
      </text>
    </comment>
    <comment authorId="8" xr:uid="{99b57626-1981-4b83-8b82-ac0dd10e7dba}" ref="C18">
      <text>
        <t xml:space="preserve">[Threaded comment]
 Your version of Excel allows you to read this threaded comment; however, any edits to it will get removed if the file is opened in a newer version of Excel. Learn more: https://go.microsoft.com/fwlink/?linkid=870924
Comment:
	@tnprogramlead@ekam.ngo @ashok.ku22@gmail.com KMC Day 1 starts from Date of Delivery or from the question KMC started on?
Assigned to tnprogramlead@ekam.ngo
Reply:
	Date of Delivery
</t>
      </text>
    </comment>
    <comment authorId="9" xr:uid="{a76ec849-6a75-429d-a021-36adb2abca77}" ref="C20">
      <text>
        <t xml:space="preserve">[Threaded comment]
 Your version of Excel allows you to read this threaded comment; however, any edits to it will get removed if the file is opened in a newer version of Excel. Learn more: https://go.microsoft.com/fwlink/?linkid=870924
Comment:
	Can be shifted to breast feeding asssment form
Reply:
	Marked as resolved
Reply:
	@tnprogramlead@ekam.ngo Why you want to shift this to assessment? Don't you want to know KMC child's breastfeeding status?
</t>
      </text>
    </comment>
    <comment authorId="10" xr:uid="{b120c212-6f76-4f96-93e1-341cf073015f}" ref="C19">
      <text>
        <t xml:space="preserve">[Threaded comment]
 Your version of Excel allows you to read this threaded comment; however, any edits to it will get removed if the file is opened in a newer version of Excel. Learn more: https://go.microsoft.com/fwlink/?linkid=870924
Comment:
	Can KMC  be a separate form, in the app
</t>
      </text>
    </comment>
    <comment authorId="11" xr:uid="{b1466757-34a2-420c-bf4d-be4b618d759b}" ref="C37">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do we need to add the logic of not showing the counselling points that are already given once?
Assigned to ashok.ku22@gmail.com
Reply:
	yes ji, under health education, they should be able to select the topic only once.  Because we will need count on how many mothers have been trained on a specific topic..If they are able to select a topic more than once then this would become challenging.
</t>
      </text>
    </comment>
    <comment authorId="12" xr:uid="{b47aa477-2a15-4817-877e-86d2bbfb828a}" ref="A21">
      <text>
        <t xml:space="preserve">[Threaded comment]
 Your version of Excel allows you to read this threaded comment; however, any edits to it will get removed if the file is opened in a newer version of Excel. Learn more: https://go.microsoft.com/fwlink/?linkid=870924
Comment:
	Monthly entries
</t>
      </text>
    </comment>
    <comment authorId="13" xr:uid="{cfb7ba00-19c8-42e3-ad7e-d8361f8d17db}" ref="C20">
      <text>
        <t xml:space="preserve">[Threaded comment]
 Your version of Excel allows you to read this threaded comment; however, any edits to it will get removed if the file is opened in a newer version of Excel. Learn more: https://go.microsoft.com/fwlink/?linkid=870924
Comment:
	@tnprogramlead@ekam.ngo  What are options for this Q. Please add them
Reply:
	Added
</t>
      </text>
    </comment>
    <comment authorId="14" xr:uid="{f79032a4-5898-402d-ba72-380e64ee316b}" ref="K27">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can you confirm if these tags are correct
Assigned to ashok.ku22@gmail.com
Reply:
	"Over height (Tall)" categorization is not present according to Child Malnutrition classification @anjalib@samanvayfoundation.org @tnprogramlead@ekam.ngo @ashok.ku22@gmail.com
Reply:
	@mnedofficer@ekam.ngo manickham only include changes that Anjali needs to update. The comments should be added after internally discussed and confirmed to avoid confusion
Reply:
	We can remove the "Over-height (Tall)" categorization. As per any National level NFHS or DHS survey and related literature, "Over height (Tall)" is not classified, so we can remove that range, and the other category ranges are correct. @anjalib@samanvayfoundation.org
Reassigned to anjalib@samanvayfoundation.org
Reply:
	Marked as done
Reply:
	Re-opened
Reply:
	@mnedofficer@ekam.ngo what category to include if : z-score &gt; +3
Reassigned to mnedofficer@ekam.ngo
Reply:
	We can remove that category. Make "Normal" as ≥ -2. There is no need for an upper limit. "Normal" can be the last category. @anjalib@samanvayfoundation.org
Reassigned to anjalib@samanvayfoundation.org
</t>
      </text>
    </comment>
    <comment authorId="15" xr:uid="{fdf00b6b-6733-4123-9cb2-80d6343935ff}" ref="J27">
      <text>
        <t xml:space="preserve">[Threaded comment]
 Your version of Excel allows you to read this threaded comment; however, any edits to it will get removed if the file is opened in a newer version of Excel. Learn more: https://go.microsoft.com/fwlink/?linkid=870924
Comment:
	We will remove "Over height (Tall)" Category as there is no such category as per WHO Child Growth Standards
Reply:
	@mnedofficer@ekam.ngo  If z-score &gt; +3 which category it will be? @ashok.ku22@gmail.com @tnprogramlead@ekam.ngo
Reply:
	We can remove that category. Make "Normal" as ≥ -2. There is no need for an upper limit. "Normal" can be the last category. @anjalib@samanvayfoundation.org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tc={0c4bd7ec-4d62-4d43-a0b0-538b5ff41686}</author>
  </authors>
  <commentList>
    <comment authorId="0" xr:uid="{0c4bd7ec-4d62-4d43-a0b0-538b5ff41686}" ref="E4">
      <text>
        <t xml:space="preserve">[Threaded comment]
 Your version of Excel allows you to read this threaded comment; however, any edits to it will get removed if the file is opened in a newer version of Excel. Learn more: https://go.microsoft.com/fwlink/?linkid=870924
Comment:
	@tnprogramlead@ekam.ngo update child options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tc={90603130-21d1-4dac-878f-13ad09d6d492}</author>
  </authors>
  <commentList>
    <comment authorId="0" xr:uid="{90603130-21d1-4dac-878f-13ad09d6d492}" ref="I2">
      <text>
        <t xml:space="preserve">[Threaded comment]
 Your version of Excel allows you to read this threaded comment; however, any edits to it will get removed if the file is opened in a newer version of Excel. Learn more: https://go.microsoft.com/fwlink/?linkid=870924
Comment:
	As mentioned by Mythili : we are considering children under 1 year of age, later we might expand to 5 years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tc={68e6a958-1466-4dc0-8334-89f4120245df}</author>
  </authors>
  <commentList>
    <comment authorId="0" xr:uid="{68e6a958-1466-4dc0-8334-89f4120245df}" ref="A1">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can we remove this form as we have vaccination_checklist form
Reply:
	Creating this as a checklist only. I will hide this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tc={0e8cf50e-eff0-4d38-94b0-66995d18ca45}</author>
    <author>tc={2471bc0c-c740-4860-b80d-2e0752511dc3}</author>
  </authors>
  <commentList>
    <comment authorId="0" xr:uid="{0e8cf50e-eff0-4d38-94b0-66995d18ca45}" ref="B27">
      <text>
        <t xml:space="preserve">[Threaded comment]
 Your version of Excel allows you to read this threaded comment; however, any edits to it will get removed if the file is opened in a newer version of Excel. Learn more: https://go.microsoft.com/fwlink/?linkid=870924
Comment:
	Check on this too @anjalib@samanvayfoundation.org to know the difference between Due by (days)/Critical (days) / Overdue(days) / Expired (days) to have a clarity. I will change all the weeks/months to days.
Assigned to anjalib@samanvayfoundation.org
</t>
      </text>
    </comment>
    <comment authorId="1" xr:uid="{2471bc0c-c740-4860-b80d-2e0752511dc3}" ref="B5">
      <text>
        <t xml:space="preserve">[Threaded comment]
 Your version of Excel allows you to read this threaded comment; however, any edits to it will get removed if the file is opened in a newer version of Excel. Learn more: https://go.microsoft.com/fwlink/?linkid=870924
Comment:
	@mnedofficer@ekam.ngo what does Day 42 mean in the recommended age?
Assigned to mnedofficer@ekam.ngo
Reply:
	The ideal age or time (in days/ weeks/months) when the vaccine should be given to maximize its effectiveness. Here the 42nd Day is ideal day for giving the corresponding vaccine. @anjalib@samanvayfoundation.org I will convert the days into weeks/months into days by today.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tc={01dc4c92-9f60-4d25-a25b-30248d15af15}</author>
    <author>tc={fc6fd552-1a02-4ef0-ac8f-9312c558ee23}</author>
  </authors>
  <commentList>
    <comment authorId="0" xr:uid="{01dc4c92-9f60-4d25-a25b-30248d15af15}" ref="J4">
      <text>
        <t xml:space="preserve">[Threaded comment]
 Your version of Excel allows you to read this threaded comment; however, any edits to it will get removed if the file is opened in a newer version of Excel. Learn more: https://go.microsoft.com/fwlink/?linkid=870924
Comment:
	@tnprogramlead@ekam.ngo  Mythili to add options for all types risks
</t>
      </text>
    </comment>
    <comment authorId="1" xr:uid="{fc6fd552-1a02-4ef0-ac8f-9312c558ee23}" ref="A1">
      <text>
        <t xml:space="preserve">[Threaded comment]
 Your version of Excel allows you to read this threaded comment; however, any edits to it will get removed if the file is opened in a newer version of Excel. Learn more: https://go.microsoft.com/fwlink/?linkid=870924
Comment:
	@tnprogramlead@ekam.ngo @anjalib@samanvayfoundation.org Discuss the flow of Qs and scheduling during today's call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tc={459edca5-9b7f-4a7a-a8a0-9bd0a28e5425}</author>
    <author>tc={a23622f4-3c09-4c4b-82c8-aa402441cf10}</author>
    <author>tc={d130b183-54b2-41c4-bbc1-b48fb5fa1b04}</author>
  </authors>
  <commentList>
    <comment authorId="0" xr:uid="{459edca5-9b7f-4a7a-a8a0-9bd0a28e5425}" ref="C19">
      <text>
        <t xml:space="preserve">[Threaded comment]
 Your version of Excel allows you to read this threaded comment; however, any edits to it will get removed if the file is opened in a newer version of Excel. Learn more: https://go.microsoft.com/fwlink/?linkid=870924
Comment:
	@tnprogramlead@ekam.ngo write options
</t>
      </text>
    </comment>
    <comment authorId="1" xr:uid="{a23622f4-3c09-4c4b-82c8-aa402441cf10}" ref="C19">
      <text>
        <t xml:space="preserve">[Threaded comment]
 Your version of Excel allows you to read this threaded comment; however, any edits to it will get removed if the file is opened in a newer version of Excel. Learn more: https://go.microsoft.com/fwlink/?linkid=870924
Comment:
	@ashok.ku22@gmail.com this again can it be single select?
Assigned to ashok.ku22@gmail.com
Reply:
	@tnprogramlead@ekam.ngo can you add options plus others , if not possible please provide reasons as comment
Reply:
	Done
</t>
      </text>
    </comment>
    <comment authorId="2" xr:uid="{d130b183-54b2-41c4-bbc1-b48fb5fa1b04}" ref="C5">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instead of asking these questions again here, we can take it from the Individual Registration form. In the Name of the Child Question, we can ask the user to select the child name which is registered and based on the the below details will be available from the Individual Registration form
Gender
Date of Birth
Father's Name
Father's Occupation
Mother's Name
Mother's Occupation
State
District
Address
Please confirm if this works
Assigned to ashok.ku22@gmail.com
Reply:
	Just that I am clear you are suggesting for children referred from MCH programs their data will be pulled from individual reg form and for other child refferred from outside the programs if we will have section in individual reg form asking these basic details and then we will option to enrol to Save a child program.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tc={dc1b61a1-ca3e-4e55-a0a2-afcdba5acc47}</author>
  </authors>
  <commentList>
    <comment authorId="0" xr:uid="{dc1b61a1-ca3e-4e55-a0a2-afcdba5acc47}" ref="B2">
      <text>
        <t xml:space="preserve">[Threaded comment]
 Your version of Excel allows you to read this threaded comment; however, any edits to it will get removed if the file is opened in a newer version of Excel. Learn more: https://go.microsoft.com/fwlink/?linkid=870924
Comment:
	@ashok.ku22@gmail.com @tnprogramlead@ekam.ngo from whom will the Patient welfare officer get this information? Will there be a single point of contact or multiple?
Assigned to ashok.ku22@gmail.com
Reply:
	From Multiple people. We have a helpline number, which anyone can reach out to, In addition to our staff, we receive requests directly from health stakeholders and community also.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tc={acd0df48-f0b4-4380-aaae-a55403f5d7b4}</author>
    <author>tc={ba63ce79-637f-47d3-b92e-c93537f46db7}</author>
  </authors>
  <commentList>
    <comment authorId="0" xr:uid="{acd0df48-f0b4-4380-aaae-a55403f5d7b4}" ref="C4">
      <text>
        <t xml:space="preserve">[Threaded comment]
 Your version of Excel allows you to read this threaded comment; however, any edits to it will get removed if the file is opened in a newer version of Excel. Learn more: https://go.microsoft.com/fwlink/?linkid=870924
Comment:
	@arjunk@samanvayfoundation.org Can we make project name as subject types as this list will keep on getting updated
Reply:
	subject types normally have address and then sync based on catchment. we will have to see how they will sync on all devices. i am not aware if a feature is there like that.
Reply:
	We can make this a code question. It's not very difficult to add a new answer when the need arises.
Reply:
	Okay
</t>
      </text>
    </comment>
    <comment authorId="1" xr:uid="{ba63ce79-637f-47d3-b92e-c93537f46db7}" ref="C9">
      <text>
        <t xml:space="preserve">[Threaded comment]
 Your version of Excel allows you to read this threaded comment; however, any edits to it will get removed if the file is opened in a newer version of Excel. Learn more: https://go.microsoft.com/fwlink/?linkid=870924
Comment:
	Location type where this have to be registered.
Reply:
	Village is the Lowest address level, free text field.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tc={0aa131bb-7045-4e30-a0d4-2dd3e6af34aa}</author>
    <author>tc={27ba037b-c559-4893-bcb5-388a8def68d1}</author>
    <author>tc={604cb7d1-7578-49b8-8353-808b77949464}</author>
    <author>tc={7ec72c68-5143-4561-9cf2-88f2390d27db}</author>
    <author>tc={f6048656-142a-451c-9bdd-d41b479d621f}</author>
  </authors>
  <commentList>
    <comment authorId="0" xr:uid="{0aa131bb-7045-4e30-a0d4-2dd3e6af34aa}" ref="J4">
      <text>
        <t xml:space="preserve">[Threaded comment]
 Your version of Excel allows you to read this threaded comment; however, any edits to it will get removed if the file is opened in a newer version of Excel. Learn more: https://go.microsoft.com/fwlink/?linkid=870924
Comment:
	@tnprogramlead@ekam.ngo please fill this options
</t>
      </text>
    </comment>
    <comment authorId="1" xr:uid="{27ba037b-c559-4893-bcb5-388a8def68d1}" ref="C7">
      <text>
        <t xml:space="preserve">[Threaded comment]
 Your version of Excel allows you to read this threaded comment; however, any edits to it will get removed if the file is opened in a newer version of Excel. Learn more: https://go.microsoft.com/fwlink/?linkid=870924
Comment:
	Follow up data to be given
</t>
      </text>
    </comment>
    <comment authorId="2" xr:uid="{604cb7d1-7578-49b8-8353-808b77949464}" ref="B4">
      <text>
        <t xml:space="preserve">[Threaded comment]
 Your version of Excel allows you to read this threaded comment; however, any edits to it will get removed if the file is opened in a newer version of Excel. Learn more: https://go.microsoft.com/fwlink/?linkid=870924
Comment:
	Repeatable QuestionGroup.?
Reply:
	Yes
</t>
      </text>
    </comment>
    <comment authorId="3" xr:uid="{7ec72c68-5143-4561-9cf2-88f2390d27db}" ref="C2">
      <text>
        <t xml:space="preserve">[Threaded comment]
 Your version of Excel allows you to read this threaded comment; however, any edits to it will get removed if the file is opened in a newer version of Excel. Learn more: https://go.microsoft.com/fwlink/?linkid=870924
Comment:
	What would be the Registration Location Type.?
Reply:
	No, this is an encounter Type
</t>
      </text>
    </comment>
    <comment authorId="4" xr:uid="{f6048656-142a-451c-9bdd-d41b479d621f}" ref="C4">
      <text>
        <t xml:space="preserve">[Threaded comment]
 Your version of Excel allows you to read this threaded comment; however, any edits to it will get removed if the file is opened in a newer version of Excel. Learn more: https://go.microsoft.com/fwlink/?linkid=870924
Comment:
	No Convergence followup encounter form
Reply:
	No follow up but make this immutable. User is advised to keep updating status and remove issues if needed.
</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tc={309b7ac2-26f3-460f-8907-115b9b29fe73}</author>
    <author>tc={415de15a-4355-4727-a192-fd69da02f800}</author>
    <author>tc={96d11f39-e3a1-4e36-a324-6b174a602908}</author>
    <author>tc={a07f8503-1c0f-42e7-914e-d46b4f1c8cd4}</author>
    <author>tc={c34d41fa-7792-4457-a324-f80309716b7f}</author>
    <author>tc={e7f3f5da-7768-4b0b-8096-4f59ad5d0ec5}</author>
  </authors>
  <commentList>
    <comment authorId="0" xr:uid="{309b7ac2-26f3-460f-8907-115b9b29fe73}" ref="C18">
      <text>
        <t xml:space="preserve">[Threaded comment]
 Your version of Excel allows you to read this threaded comment; however, any edits to it will get removed if the file is opened in a newer version of Excel. Learn more: https://go.microsoft.com/fwlink/?linkid=870924
Comment:
	@ashok.ku22@gmail.com name of the beneficiary required?
Assigned to ashok.ku22@gmail.com
Reply:
	Not required
</t>
      </text>
    </comment>
    <comment authorId="1" xr:uid="{415de15a-4355-4727-a192-fd69da02f800}" ref="C13">
      <text>
        <t xml:space="preserve">[Threaded comment]
 Your version of Excel allows you to read this threaded comment; however, any edits to it will get removed if the file is opened in a newer version of Excel. Learn more: https://go.microsoft.com/fwlink/?linkid=870924
Comment:
	@tnprogramlead@ekam.ngo Please create a list of awareness topics and others as options
</t>
      </text>
    </comment>
    <comment authorId="2" xr:uid="{96d11f39-e3a1-4e36-a324-6b174a602908}" ref="D12">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it is coded concept do we made it as single select is that fine
Assigned to anjalib@samanvayfoundation.org
Reply:
	We can make it multi select
</t>
      </text>
    </comment>
    <comment authorId="3" xr:uid="{a07f8503-1c0f-42e7-914e-d46b4f1c8cd4}" ref="C16">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this question is duplicated can we remove this
Assigned to anjalib@samanvayfoundation.org
Reply:
	ok
</t>
      </text>
    </comment>
    <comment authorId="4" xr:uid="{c34d41fa-7792-4457-a324-f80309716b7f}" ref="D13">
      <text>
        <t xml:space="preserve">[Threaded comment]
 Your version of Excel allows you to read this threaded comment; however, any edits to it will get removed if the file is opened in a newer version of Excel. Learn more: https://go.microsoft.com/fwlink/?linkid=870924
Comment:
	@tnprogramlead@ekam.ngo In a particular session single topic is covered or multiple topics
</t>
      </text>
    </comment>
    <comment authorId="5" xr:uid="{e7f3f5da-7768-4b0b-8096-4f59ad5d0ec5}" ref="C4">
      <text>
        <t xml:space="preserve">[Threaded comment]
 Your version of Excel allows you to read this threaded comment; however, any edits to it will get removed if the file is opened in a newer version of Excel. Learn more: https://go.microsoft.com/fwlink/?linkid=870924
Comment:
	Registration Location for this subject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tc={bea85561-7e60-4d2d-97fc-a3a17316cc99}</author>
    <author>tc={da1c7ebb-350a-438c-9216-f2d4787c4328}</author>
    <author>tc={f18f70df-74e7-4e0c-86a2-76e1b707e09e}</author>
    <author>tc={f8a5864a-a259-4f98-ae12-096ad9b1e41a}</author>
  </authors>
  <commentList>
    <comment authorId="0" xr:uid="{bea85561-7e60-4d2d-97fc-a3a17316cc99}" ref="C15">
      <text>
        <t xml:space="preserve">[Threaded comment]
 Your version of Excel allows you to read this threaded comment; however, any edits to it will get removed if the file is opened in a newer version of Excel. Learn more: https://go.microsoft.com/fwlink/?linkid=870924
Comment:
	@tnprogramlead@ekam.ngo What is the impact numbers mean. Is it total amount donated as medical and non-medical support or something else
Assigned to tnprogramlead@ekam.ngo
</t>
      </text>
    </comment>
    <comment authorId="1" xr:uid="{da1c7ebb-350a-438c-9216-f2d4787c4328}" ref="C4">
      <text>
        <t xml:space="preserve">[Threaded comment]
 Your version of Excel allows you to read this threaded comment; however, any edits to it will get removed if the file is opened in a newer version of Excel. Learn more: https://go.microsoft.com/fwlink/?linkid=870924
Comment:
	@ashok.ku22@gmail.com can this be single select?
Assigned to ashok.ku22@gmail.com
Reply:
	@tnprogramlead@ekam.ngo please provide options if most of support goes to 10 or less places with others option. Otherwise we go ahead with Text data type
Reassigned to tnprogramlead@ekam.ngo
Reply:
	We have to go with Text option only as they will have huge hospital list
</t>
      </text>
    </comment>
    <comment authorId="2" xr:uid="{f18f70df-74e7-4e0c-86a2-76e1b707e09e}" ref="D5">
      <text>
        <t xml:space="preserve">[Threaded comment]
 Your version of Excel allows you to read this threaded comment; however, any edits to it will get removed if the file is opened in a newer version of Excel. Learn more: https://go.microsoft.com/fwlink/?linkid=870924
Comment:
	@ashok.ku22@gmail.com will this list be uploaded as a file?
Assigned to ashok.ku22@gmail.com
</t>
      </text>
    </comment>
    <comment authorId="3" xr:uid="{f8a5864a-a259-4f98-ae12-096ad9b1e41a}" ref="C2">
      <text>
        <t xml:space="preserve">[Threaded comment]
 Your version of Excel allows you to read this threaded comment; however, any edits to it will get removed if the file is opened in a newer version of Excel. Learn more: https://go.microsoft.com/fwlink/?linkid=870924
Comment:
	@ashok.ku22@gmail.com can this be single select?
Assigned to ashok.ku22@gmail.com
Reply:
	@tnprogramlead@ekam.ngo  please current project names as options and others options. In future, if new projects starts you can reach out to Avni team to include those projects.
</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tc={19138b13-45c8-4c71-a572-549077729b8e}</author>
    <author>tc={2a4b4ccb-512b-4e8b-89fa-a8f90db1471c}</author>
    <author>tc={5d0747e4-c05a-446a-a424-62e3ed9c1bce}</author>
    <author>tc={ccd726de-de7c-4e11-94c5-b3eb48c94802}</author>
    <author>tc={d835658f-e897-443c-b2ca-1a40fedfc526}</author>
  </authors>
  <commentList>
    <comment authorId="0" xr:uid="{19138b13-45c8-4c71-a572-549077729b8e}" ref="C17">
      <text>
        <t xml:space="preserve">[Threaded comment]
 Your version of Excel allows you to read this threaded comment; however, any edits to it will get removed if the file is opened in a newer version of Excel. Learn more: https://go.microsoft.com/fwlink/?linkid=870924
Comment:
	@ashok.ku22@gmail.com can this be single or multi select instead of text?
Assigned to ashok.ku22@gmail.com
Reply:
	@tnprogramlead@ekam.ngo  please add training topics as options if it is 10 or less topics and most trainings are covered by these topics otherwise we will go ahead with text data type
Reassigned to tnprogramlead@ekam.ngo
Reply:
	As per discussion with Mythili we want to go ahead with text as diverse topics are covered and its huge list
</t>
      </text>
    </comment>
    <comment authorId="1" xr:uid="{2a4b4ccb-512b-4e8b-89fa-a8f90db1471c}" ref="J14">
      <text>
        <t xml:space="preserve">[Threaded comment]
 Your version of Excel allows you to read this threaded comment; however, any edits to it will get removed if the file is opened in a newer version of Excel. Learn more: https://go.microsoft.com/fwlink/?linkid=870924
Comment:
	@tnprogramlead@ekam.ngo is trainer details for Awareness and training same? if yes , please copy the options if No, please write the options
Reply:
	No, it will not be the same,  it will be an expert trainer or a trainer from Ekam
Reply:
	Expertise will keep changing, depending on the requirements, so it is difficult to add the options.
</t>
      </text>
    </comment>
    <comment authorId="2" xr:uid="{5d0747e4-c05a-446a-a424-62e3ed9c1bce}" ref="C5">
      <text>
        <t xml:space="preserve">[Threaded comment]
 Your version of Excel allows you to read this threaded comment; however, any edits to it will get removed if the file is opened in a newer version of Excel. Learn more: https://go.microsoft.com/fwlink/?linkid=870924
Comment:
	Is this the registration Location.?
Reply:
	No, for short term projects this locations will be used. Changed District to Address as data field
</t>
      </text>
    </comment>
    <comment authorId="3" xr:uid="{ccd726de-de7c-4e11-94c5-b3eb48c94802}" ref="E5">
      <text>
        <t xml:space="preserve">[Threaded comment]
 Your version of Excel allows you to read this threaded comment; however, any edits to it will get removed if the file is opened in a newer version of Excel. Learn more: https://go.microsoft.com/fwlink/?linkid=870924
Comment:
	would this not be registration location? Mandatory?
</t>
      </text>
    </comment>
    <comment authorId="4" xr:uid="{d835658f-e897-443c-b2ca-1a40fedfc526}" ref="C4">
      <text>
        <t xml:space="preserve">[Threaded comment]
 Your version of Excel allows you to read this threaded comment; however, any edits to it will get removed if the file is opened in a newer version of Excel. Learn more: https://go.microsoft.com/fwlink/?linkid=870924
Comment:
	@ashok.ku22@gmail.com can this be single select?
Assigned to ashok.ku22@gmail.com
</t>
      </text>
    </comment>
  </commentList>
</comments>
</file>

<file path=xl/sharedStrings.xml><?xml version="1.0" encoding="utf-8"?>
<sst xmlns="http://schemas.openxmlformats.org/spreadsheetml/2006/main" count="4164" uniqueCount="1541">
  <si>
    <t>SRS 👉</t>
  </si>
  <si>
    <t xml:space="preserve">Ekam SRS </t>
  </si>
  <si>
    <t>Modelling 👉</t>
  </si>
  <si>
    <t>Ekam Avni Modelling</t>
  </si>
  <si>
    <t>Forms 👉</t>
  </si>
  <si>
    <t>Forms_EKAM 31st July 2025</t>
  </si>
  <si>
    <t>Reports 👉</t>
  </si>
  <si>
    <t>Reports_EKAM 31st July 2025</t>
  </si>
  <si>
    <t>User Group Name</t>
  </si>
  <si>
    <t>Dashboard Name</t>
  </si>
  <si>
    <t>Report Cards</t>
  </si>
  <si>
    <t>Form Name</t>
  </si>
  <si>
    <t>Logic</t>
  </si>
  <si>
    <t>Dashboard Filters</t>
  </si>
  <si>
    <t>Dashboard Type</t>
  </si>
  <si>
    <t>Socpe</t>
  </si>
  <si>
    <t>1. Community Health Worker 
2. Project officer/Block Coordinator</t>
  </si>
  <si>
    <t>Pregnancy</t>
  </si>
  <si>
    <t>ANC Due List with Trimester 1</t>
  </si>
  <si>
    <t>Pregnancy Enrollment Form</t>
  </si>
  <si>
    <t xml:space="preserve">Autocalculate based on LMP and Current date </t>
  </si>
  <si>
    <t xml:space="preserve">
Location</t>
  </si>
  <si>
    <t>Custom</t>
  </si>
  <si>
    <t>0-3</t>
  </si>
  <si>
    <t>ANC Due List with Trimester 2</t>
  </si>
  <si>
    <t>ANC Due List with Trimester 3</t>
  </si>
  <si>
    <t>&gt;6</t>
  </si>
  <si>
    <t>ANC Overdue List</t>
  </si>
  <si>
    <t>ANC</t>
  </si>
  <si>
    <t>Standard</t>
  </si>
  <si>
    <t>Done</t>
  </si>
  <si>
    <t>ANC High Risk Pregnant Woman List</t>
  </si>
  <si>
    <t>Pregnancy Enrollment and ANC</t>
  </si>
  <si>
    <t>take it from the question Danger sign if any option is selected</t>
  </si>
  <si>
    <t>Mother</t>
  </si>
  <si>
    <t xml:space="preserve">PNC Due List </t>
  </si>
  <si>
    <t xml:space="preserve">PNC </t>
  </si>
  <si>
    <t xml:space="preserve">Latest Encounter: take it from PNC form - Autocalculate from the Date of delivery </t>
  </si>
  <si>
    <t>PNC Overdue List</t>
  </si>
  <si>
    <t xml:space="preserve">take it from PNC form </t>
  </si>
  <si>
    <t>PNC High Risk Pregnant Woman List</t>
  </si>
  <si>
    <t xml:space="preserve">Latest Encounter: take it if in danger sign any option is selected in question danger sign
</t>
  </si>
  <si>
    <t>Location</t>
  </si>
  <si>
    <t>Mother Exit List</t>
  </si>
  <si>
    <t>ANC/PNC cancellation and Delivery Form</t>
  </si>
  <si>
    <t>6 months post deliver or death or permanatly migrated</t>
  </si>
  <si>
    <t>Child</t>
  </si>
  <si>
    <t>Child Due List</t>
  </si>
  <si>
    <t>Child Followup and Anthropometry</t>
  </si>
  <si>
    <t>Child Overdue List</t>
  </si>
  <si>
    <t>High Risk Children List</t>
  </si>
  <si>
    <t xml:space="preserve">Child Enrollment Form/Child Follow-Up and Anthropometry Form </t>
  </si>
  <si>
    <t>take it from the Birthweight status if weight is less than 2500 grams and if in Latest Encounter: Danger signs are marked as "Yes"</t>
  </si>
  <si>
    <t>SAM Child List</t>
  </si>
  <si>
    <t>Child Follow-Up Form and Anthropometry</t>
  </si>
  <si>
    <t>Latest Encounter: take it from Weight for age question</t>
  </si>
  <si>
    <t>MAM Child List</t>
  </si>
  <si>
    <t>Wasting Status Child List</t>
  </si>
  <si>
    <t>Latest Encounter: take it from Weight for height question</t>
  </si>
  <si>
    <t>Underweight Child List</t>
  </si>
  <si>
    <t>Stunting Child List</t>
  </si>
  <si>
    <t>Latest Encounter: take it from Height for age question</t>
  </si>
  <si>
    <t>Child Exit List</t>
  </si>
  <si>
    <t xml:space="preserve">Child Exit list </t>
  </si>
  <si>
    <t>after 1 year or death or permanatly migrated</t>
  </si>
  <si>
    <t>Child Immunization Due list</t>
  </si>
  <si>
    <t>Immunization or Vaccination Checklist</t>
  </si>
  <si>
    <t>Latest Encounter: List of children whose vaccinations are due</t>
  </si>
  <si>
    <t xml:space="preserve">Exclusive Breastfeeding </t>
  </si>
  <si>
    <t xml:space="preserve">Latest Encounter: take it from Child Follow-Up Form and Anthropometry question Exclusive Breastfeeding </t>
  </si>
  <si>
    <t>Complementary feeding</t>
  </si>
  <si>
    <t>Latest Encounter: take it from Child Follow-Up Form and Anthropometry form question Complementary feeding</t>
  </si>
  <si>
    <t xml:space="preserve">Referral </t>
  </si>
  <si>
    <r>
      <rPr>
        <rFont val="Arial"/>
        <strike/>
        <color theme="1"/>
        <sz val="11.0"/>
      </rPr>
      <t>Beneficiaries Referral Counts and</t>
    </r>
    <r>
      <rPr>
        <rFont val="Arial"/>
        <color theme="1"/>
        <sz val="11.0"/>
      </rPr>
      <t xml:space="preserve"> Beneficiary Referral Status Enrolled</t>
    </r>
  </si>
  <si>
    <t>Referral to Hospital Follow-up</t>
  </si>
  <si>
    <t>Count of number of women enrolled in the Referal Program</t>
  </si>
  <si>
    <t>Mental Health Screening</t>
  </si>
  <si>
    <t>Pregnant and Mothers Mental Health Screened List</t>
  </si>
  <si>
    <t>Latest Encounter: take it from Have you faced any mental health problem in the past ? = Yes</t>
  </si>
  <si>
    <t>Details to show</t>
  </si>
  <si>
    <t>Concept</t>
  </si>
  <si>
    <t xml:space="preserve">Specific Condition </t>
  </si>
  <si>
    <t>Pregnancy Enrolment / ANC</t>
  </si>
  <si>
    <t>ANC Follow Up</t>
  </si>
  <si>
    <t>LMP 
EDD
Current Trimester
Gravida
Para
Live
Aborta
Height 
Weight 
Haemoglobin (Hb)
Blood Pressure (BP)
High Risk Condition (Colour Coded)
Danger signs, if any in the current pregnancy
Counselling done on which of the following topics
Weight Progress</t>
  </si>
  <si>
    <r>
      <rPr>
        <rFont val="Arial"/>
        <strike/>
        <color theme="1"/>
      </rPr>
      <t xml:space="preserve">Colour Coded for the High Risk Condition as 
Low-Green
Moderate- Yellow
</t>
    </r>
    <r>
      <rPr>
        <rFont val="Arial"/>
        <color theme="1"/>
      </rPr>
      <t xml:space="preserve">High- Red
Weight Progress: Show as Yes or No
</t>
    </r>
  </si>
  <si>
    <t>Delivery/Child Enrollment Form</t>
  </si>
  <si>
    <t>Delivery</t>
  </si>
  <si>
    <t>Gestational Age at the time of delivery
Date of Delivery 
Type of Delivery
Birth Weight Status
Birth Order 
Post-delivery Complications Birth Complications Child, if any</t>
  </si>
  <si>
    <t>PNC</t>
  </si>
  <si>
    <t>Date of delivery
Type of delivery
Do you breastfeed your child 
Post-delivery Complications for Mother, if any
Danger signs, if any, in PNC period
Counselling done on which of the following topics</t>
  </si>
  <si>
    <t>Mental Health</t>
  </si>
  <si>
    <t xml:space="preserve">Mother's risk category </t>
  </si>
  <si>
    <t>Risk Measure</t>
  </si>
  <si>
    <t>Take from the latest encounter</t>
  </si>
  <si>
    <t>Child Follow-up</t>
  </si>
  <si>
    <t xml:space="preserve">Current age in months
SAM/MAM/Normal Child
Is the child currently being breastfed?
Does the baby have any danger signs?
Any defects, deficiencies, diseases or disabilities identified?
Does the child have any developmental delays? 
Counselling done on which of the following topics </t>
  </si>
  <si>
    <t xml:space="preserve">Block </t>
  </si>
  <si>
    <t>PHC</t>
  </si>
  <si>
    <t>HSC</t>
  </si>
  <si>
    <t>ICDS</t>
  </si>
  <si>
    <t>State</t>
  </si>
  <si>
    <t xml:space="preserve">HSC </t>
  </si>
  <si>
    <t xml:space="preserve">follow up </t>
  </si>
  <si>
    <t xml:space="preserve">danger sign and needs referral </t>
  </si>
  <si>
    <t>mother ref</t>
  </si>
  <si>
    <t>Project Start</t>
  </si>
  <si>
    <t>Forms</t>
  </si>
  <si>
    <t>Solution Review Comment</t>
  </si>
  <si>
    <t>Workflow</t>
  </si>
  <si>
    <t>3. Catchment and User groups</t>
  </si>
  <si>
    <t>Mobile Dashboard</t>
  </si>
  <si>
    <t>Locations Types and User Groups (Permissions)</t>
  </si>
  <si>
    <t>Location and User Upload</t>
  </si>
  <si>
    <t>Transaction Data Upload</t>
  </si>
  <si>
    <t>BI Dashboard</t>
  </si>
  <si>
    <t>On Analysis Complete</t>
  </si>
  <si>
    <t>On Development Complete</t>
  </si>
  <si>
    <t>Before Analysis</t>
  </si>
  <si>
    <t>Before Analysis
(Decide Solution)</t>
  </si>
  <si>
    <t>On Analysis Complete (Solution Review)</t>
  </si>
  <si>
    <t>On Development Complete
(Solution Review)</t>
  </si>
  <si>
    <t>On Analysis Complete
(Solution Review)</t>
  </si>
  <si>
    <t>Solution Review</t>
  </si>
  <si>
    <t>Individual
Registration</t>
  </si>
  <si>
    <t>Review Complete</t>
  </si>
  <si>
    <t>Analysis Pending</t>
  </si>
  <si>
    <t>Pregnancy Enrolment</t>
  </si>
  <si>
    <t>ANC Cancellation</t>
  </si>
  <si>
    <t>PNC Cancellation</t>
  </si>
  <si>
    <t>Pregnancy Exit</t>
  </si>
  <si>
    <t>Child Enrolment</t>
  </si>
  <si>
    <t>Child anthropometry</t>
  </si>
  <si>
    <t>Child Exit</t>
  </si>
  <si>
    <t>Child anthropometry cancellation</t>
  </si>
  <si>
    <t>Immunization</t>
  </si>
  <si>
    <t>Refferal to Hospital for High risk cases(Preg W, Mother, Child)</t>
  </si>
  <si>
    <t>Referral Followup</t>
  </si>
  <si>
    <t>Referral Exit</t>
  </si>
  <si>
    <r>
      <rPr>
        <rFont val="Arial"/>
        <color rgb="FF000000"/>
        <sz val="11.0"/>
      </rPr>
      <t>Save a Child</t>
    </r>
    <r>
      <rPr>
        <rFont val="Arial"/>
        <color rgb="FF000000"/>
        <sz val="11.0"/>
      </rPr>
      <t xml:space="preserve"> Enrolment</t>
    </r>
  </si>
  <si>
    <t xml:space="preserve">Save a Child Followup </t>
  </si>
  <si>
    <t>Exit</t>
  </si>
  <si>
    <t>Stakeholder Meetings</t>
  </si>
  <si>
    <t>Convergence action plan</t>
  </si>
  <si>
    <t>Convergence followup</t>
  </si>
  <si>
    <t>Awareness</t>
  </si>
  <si>
    <t>Training</t>
  </si>
  <si>
    <t>Medical and Non-Medical Support</t>
  </si>
  <si>
    <t>Past Data Uploads</t>
  </si>
  <si>
    <t>UAT Org Name</t>
  </si>
  <si>
    <t>Ekam_Uat</t>
  </si>
  <si>
    <t>Prodution Org Name</t>
  </si>
  <si>
    <t>Ekam</t>
  </si>
  <si>
    <t xml:space="preserve">Location heirarchy        </t>
  </si>
  <si>
    <t>State        
District        
Block        
HSC        
ICDS        
Panchayat        
Village</t>
  </si>
  <si>
    <t>Language</t>
  </si>
  <si>
    <t>English,Tamil</t>
  </si>
  <si>
    <t>User Groups</t>
  </si>
  <si>
    <t xml:space="preserve">Community Health Worker </t>
  </si>
  <si>
    <t>Project officer/Block Coordinator</t>
  </si>
  <si>
    <t>Patient welfare officer  (Save A Child)</t>
  </si>
  <si>
    <t>Community Trainer</t>
  </si>
  <si>
    <t xml:space="preserve">General Manager </t>
  </si>
  <si>
    <t xml:space="preserve">Vice President - Operations </t>
  </si>
  <si>
    <t>Form Type</t>
  </si>
  <si>
    <t>Subject type</t>
  </si>
  <si>
    <t>Program</t>
  </si>
  <si>
    <t>Encounter Name</t>
  </si>
  <si>
    <t>Visit Type</t>
  </si>
  <si>
    <t>1st Visit Trigger Date</t>
  </si>
  <si>
    <t>Base date</t>
  </si>
  <si>
    <t>Schedule Form</t>
  </si>
  <si>
    <t>Scheduling logic</t>
  </si>
  <si>
    <t>On exit</t>
  </si>
  <si>
    <t>On cancel</t>
  </si>
  <si>
    <t>Subject Registration</t>
  </si>
  <si>
    <t>Person</t>
  </si>
  <si>
    <t>NA</t>
  </si>
  <si>
    <t>Program Enrolment</t>
  </si>
  <si>
    <t>Individual</t>
  </si>
  <si>
    <t>Program Encounter</t>
  </si>
  <si>
    <t>Planned</t>
  </si>
  <si>
    <t>Pregnancy Enrolment Date</t>
  </si>
  <si>
    <r>
      <rPr>
        <rFont val="Arial"/>
        <b/>
        <color theme="1"/>
        <sz val="11.0"/>
      </rPr>
      <t>Due:</t>
    </r>
    <r>
      <rPr>
        <rFont val="Arial"/>
        <color theme="1"/>
        <sz val="11.0"/>
      </rPr>
      <t xml:space="preserve">
</t>
    </r>
    <r>
      <rPr>
        <rFont val="Arial"/>
        <b/>
        <color rgb="FF0000FF"/>
        <sz val="11.0"/>
      </rPr>
      <t xml:space="preserve">From the date of enrolment
1st ANC should get scheduled immediately after enrolment. Same day
2nd, 3rd, 4th, 5th and 6th after 1st ANC at an interval of 30 days </t>
    </r>
    <r>
      <rPr>
        <rFont val="Arial"/>
        <color theme="1"/>
        <sz val="11.0"/>
      </rPr>
      <t xml:space="preserve">
If at the 7th, 8th, 9th months of pregnancy schedule at an interval of 15 days 
</t>
    </r>
    <r>
      <rPr>
        <rFont val="Arial"/>
        <b/>
        <color theme="1"/>
        <sz val="11.0"/>
      </rPr>
      <t>Overdue:</t>
    </r>
    <r>
      <rPr>
        <rFont val="Arial"/>
        <color theme="1"/>
        <sz val="11.0"/>
      </rPr>
      <t xml:space="preserve">
If in the 1st , 2nd, 3rd, 4th, 5th and 6th month of pregnanct, overdeue after 15 days from due date
If in the 7th, 8th, 9th overdeue after 7 days from due date</t>
    </r>
  </si>
  <si>
    <t>Month of pregnany take from LMP date in Pregnancy Enrolment form</t>
  </si>
  <si>
    <t>Do not Schedule new visit</t>
  </si>
  <si>
    <t>Schedule the next Visit
Don't schedule future visits if reason for cancellation is 
1. Death
or
2. Abortion
or
3. Permanent Migration
or
4. Refuses service</t>
  </si>
  <si>
    <t>Unplanned - Will be filled only once</t>
  </si>
  <si>
    <t xml:space="preserve">Delivery </t>
  </si>
  <si>
    <t>Date Of Delivery</t>
  </si>
  <si>
    <r>
      <rPr>
        <rFont val="Arial"/>
        <b/>
        <color theme="1"/>
        <sz val="11.0"/>
      </rPr>
      <t>Due:</t>
    </r>
    <r>
      <rPr>
        <rFont val="Arial"/>
        <color theme="1"/>
        <sz val="11.0"/>
      </rPr>
      <t xml:space="preserve"> From Date of Delivery
PNC 1: 7th Day        
PNC 2: 14th Day        
PNC 3: 21st Day        
PNC 4: 42nd Day
PNC 5 onwards, based on the date selected in the question "When you want to visit?"
</t>
    </r>
    <r>
      <rPr>
        <rFont val="Arial"/>
        <b/>
        <color theme="1"/>
        <sz val="11.0"/>
      </rPr>
      <t xml:space="preserve">Overdue
</t>
    </r>
    <r>
      <rPr>
        <rFont val="Arial"/>
        <color theme="1"/>
        <sz val="11.0"/>
      </rPr>
      <t>After 7 days from due date</t>
    </r>
  </si>
  <si>
    <t>For PNC 1 or 2 or 3 is cancelled: Schedule the next Visit based on the scheduled form logic
If 4th PNC is cancelled, schedule based on the date selected in question. 
"When you want to visit?" in PNC Cancellation form
And
Don't schedule future visits if reason for cancellation is 
1. Death
or
2. Abortion
or
3. Permanent Migration
or
4. Refuses service</t>
  </si>
  <si>
    <t>Unplanned</t>
  </si>
  <si>
    <t>Pregnancy, Child</t>
  </si>
  <si>
    <t>Program Exit</t>
  </si>
  <si>
    <t>Date of Delivery take it from the Child Enrolment form if the Delivery form of the mother is filled
If Delivery form is not filled, take it from the Child Enrolment form question "Date of Delivery"</t>
  </si>
  <si>
    <t>Date of Delivery</t>
  </si>
  <si>
    <r>
      <rPr>
        <rFont val="Arial"/>
        <color theme="1"/>
        <sz val="11.0"/>
      </rPr>
      <t xml:space="preserve">From Date of Delivery
</t>
    </r>
    <r>
      <rPr>
        <rFont val="Arial"/>
        <b/>
        <color theme="1"/>
        <sz val="11.0"/>
      </rPr>
      <t>For Underweight child</t>
    </r>
    <r>
      <rPr>
        <rFont val="Arial"/>
        <color theme="1"/>
        <sz val="11.0"/>
      </rPr>
      <t xml:space="preserve">
Follow up 1: 7th Day        
Follow up 2: 14th Day        
Follow up 3: 21st Day        
Follow up 4: 28th Day
Follow up 5: 35th day
Follow up 6: 42nd Day
After 42nd day till 3rd Month, schedule based on the date selected in question "When do you want to do the next visit?" 
3rd Month completion
6th Month Completion
9th Month Completion
12 month Completion
</t>
    </r>
    <r>
      <rPr>
        <rFont val="Arial"/>
        <b/>
        <color theme="1"/>
        <sz val="11.0"/>
      </rPr>
      <t xml:space="preserve">For Normal weight child - </t>
    </r>
    <r>
      <rPr>
        <rFont val="Arial"/>
        <color theme="1"/>
        <sz val="11.0"/>
      </rPr>
      <t xml:space="preserve">
Follow up 1: 7th Day        
Follow up 2: 14th Day        
Follow up 3: 21st Day        
Follow up 4: 42nd Day
3rd Month completion
6th Month Completion
12 month Completion
Note: If the weight of the child increases and becomes normal, follow the normal weight schedule
</t>
    </r>
    <r>
      <rPr>
        <rFont val="Arial"/>
        <b/>
        <color theme="1"/>
        <sz val="11.0"/>
      </rPr>
      <t>Overdue:</t>
    </r>
    <r>
      <rPr>
        <rFont val="Arial"/>
        <color theme="1"/>
        <sz val="11.0"/>
      </rPr>
      <t xml:space="preserve"> 7 days from due date</t>
    </r>
  </si>
  <si>
    <t>Weight take it from Weight for age (Underweight status) question in Child Followup and Anthropometry form</t>
  </si>
  <si>
    <t xml:space="preserve">Schedule the next visit based on the scheduled form logic till 
If Follow up 6: 42nd Day follow up is cancelled, schedule based on the date selected in question. 
"When you want to visit?" in Child Anthropometry &amp; Follow Up Form Cancellation form
Don't schedule future visits if reason for cancellation is 
1. Temporarily Migrated 
or
2. Death </t>
  </si>
  <si>
    <t>Refferal to Hospital Enrolment for High risk cases(Preg W, Mother, Child)</t>
  </si>
  <si>
    <t xml:space="preserve">Refferal </t>
  </si>
  <si>
    <t>Refferal to Hospital Enrolment 
Date of next follow up visit</t>
  </si>
  <si>
    <t>Due: Based on the date selected in question "When do you want to do the next visit? "
Overdue : 7 days</t>
  </si>
  <si>
    <t xml:space="preserve">Schedule the next Visit based on Date of next follow up visit
Don't schedule future visits if reason for cancellation is 
1. Temporarily Migrated 
or
2. Death </t>
  </si>
  <si>
    <t>Save a Child Enrolment</t>
  </si>
  <si>
    <t>Save a Child</t>
  </si>
  <si>
    <t>Save a Child Exit</t>
  </si>
  <si>
    <t>General Encounter</t>
  </si>
  <si>
    <t>Scope Of Work</t>
  </si>
  <si>
    <r>
      <rPr>
        <rFont val="Arial"/>
        <b/>
        <color theme="1"/>
      </rPr>
      <t xml:space="preserve">Community Health Worker </t>
    </r>
    <r>
      <rPr>
        <rFont val="Arial"/>
        <color theme="1"/>
      </rPr>
      <t xml:space="preserve">
Edit/Fill forms , View Only, Approve Encounter, Void, Cancel </t>
    </r>
  </si>
  <si>
    <r>
      <rPr>
        <rFont val="Arial"/>
        <b/>
        <color theme="1"/>
      </rPr>
      <t>Project officer/Block Coordinator</t>
    </r>
    <r>
      <rPr>
        <rFont val="Arial"/>
        <color theme="1"/>
      </rPr>
      <t xml:space="preserve">
Edit/Fill forms , View Only, Approve Encounter, Void, Cancel </t>
    </r>
  </si>
  <si>
    <r>
      <rPr>
        <rFont val="Arial"/>
        <b/>
        <color theme="1"/>
      </rPr>
      <t>Patient welfare officer  (Save A Child)</t>
    </r>
    <r>
      <rPr>
        <rFont val="Arial"/>
        <color theme="1"/>
      </rPr>
      <t xml:space="preserve">
Edit/Fill forms , View Only, Approve Encounter, Void, Cancel </t>
    </r>
  </si>
  <si>
    <r>
      <rPr>
        <rFont val="Arial"/>
        <b/>
        <color theme="1"/>
      </rPr>
      <t>Community Trainer</t>
    </r>
    <r>
      <rPr>
        <rFont val="Arial"/>
        <color theme="1"/>
      </rPr>
      <t xml:space="preserve">
Edit/Fill forms , View Only, Approve Encounter, Void, Cancel </t>
    </r>
  </si>
  <si>
    <r>
      <rPr>
        <rFont val="Arial"/>
        <b/>
        <color theme="1"/>
      </rPr>
      <t>General Manager / M&amp;E/ Vice President- Operations</t>
    </r>
    <r>
      <rPr>
        <rFont val="Arial"/>
        <color theme="1"/>
      </rPr>
      <t xml:space="preserve">
Edit/Fill forms , View Only, Approve Encounter, Void, Cancel </t>
    </r>
  </si>
  <si>
    <t>Within Scope</t>
  </si>
  <si>
    <t>Edit/Fill forms, Cancel</t>
  </si>
  <si>
    <t>Edit/Fill forms, Void (Delete)</t>
  </si>
  <si>
    <t>View Only</t>
  </si>
  <si>
    <t xml:space="preserve">Edit/Fill forms </t>
  </si>
  <si>
    <t>Edit/Fill forms , Void (Delete)</t>
  </si>
  <si>
    <t>Cancel</t>
  </si>
  <si>
    <t>Edit/Fill forms , Cancel, Void (Delete)</t>
  </si>
  <si>
    <t>Edit/Fill forms , Void (Delete), Cancel</t>
  </si>
  <si>
    <t>Outside</t>
  </si>
  <si>
    <t>Edit/Fill forms</t>
  </si>
  <si>
    <t>User Group</t>
  </si>
  <si>
    <t>Full Name of User</t>
  </si>
  <si>
    <t>District</t>
  </si>
  <si>
    <t>Block</t>
  </si>
  <si>
    <t>Panchayat</t>
  </si>
  <si>
    <t>Village</t>
  </si>
  <si>
    <t>AWC</t>
  </si>
  <si>
    <t>AWC/ICDS</t>
  </si>
  <si>
    <t>Health worker</t>
  </si>
  <si>
    <t>Tamil Nadu</t>
  </si>
  <si>
    <t>Madurai</t>
  </si>
  <si>
    <t>Madurai East Block</t>
  </si>
  <si>
    <t>AndarKottaram</t>
  </si>
  <si>
    <t>L. poolamkulam</t>
  </si>
  <si>
    <t>Iswarya</t>
  </si>
  <si>
    <t>Andarkottaram</t>
  </si>
  <si>
    <t>Ayyanar nagar</t>
  </si>
  <si>
    <t>Ayyanar Nagar</t>
  </si>
  <si>
    <t>L. Poolamgulam</t>
  </si>
  <si>
    <t>P. Poolamgulam</t>
  </si>
  <si>
    <t>Kathavanenthal</t>
  </si>
  <si>
    <t>Chandiralekha Nagar</t>
  </si>
  <si>
    <t>Chandralekha nagar</t>
  </si>
  <si>
    <t>Jennathul pirthous</t>
  </si>
  <si>
    <t>Karupillaiyendal</t>
  </si>
  <si>
    <t>AadhiSakthi Nagar</t>
  </si>
  <si>
    <t>Kalanjiyam nagar</t>
  </si>
  <si>
    <t>A.K Nagar</t>
  </si>
  <si>
    <t>Kalamgiyam Nagar</t>
  </si>
  <si>
    <t>Ankayarkanni Nagar</t>
  </si>
  <si>
    <t>Karuppapillai Yenthal</t>
  </si>
  <si>
    <t>Kurimji Nagar</t>
  </si>
  <si>
    <t>Indira Nagar</t>
  </si>
  <si>
    <t>M.G.R Nagar</t>
  </si>
  <si>
    <t>Sakkimangalam</t>
  </si>
  <si>
    <t>Nagajothi</t>
  </si>
  <si>
    <t>Ambethkar Nagar</t>
  </si>
  <si>
    <t>Narikuravar colony</t>
  </si>
  <si>
    <t>P.T.R Nagar</t>
  </si>
  <si>
    <t>Kalmedu</t>
  </si>
  <si>
    <t>Soundarapandi Nagar</t>
  </si>
  <si>
    <t>E.Puthoor</t>
  </si>
  <si>
    <t>Pasumpon Nagar</t>
  </si>
  <si>
    <t>Annai sathiya nagar</t>
  </si>
  <si>
    <t>Sakkimangalam I</t>
  </si>
  <si>
    <t>Suganya</t>
  </si>
  <si>
    <t>Samathuvapuram</t>
  </si>
  <si>
    <t>L.K.B.Nagar</t>
  </si>
  <si>
    <t>Muniyandipuram</t>
  </si>
  <si>
    <t>L.K.B Nagar</t>
  </si>
  <si>
    <t>Sathya Nagar</t>
  </si>
  <si>
    <t>Bhuvaneshwari Colony</t>
  </si>
  <si>
    <t>Thendral Nagar</t>
  </si>
  <si>
    <t>Kolikudi</t>
  </si>
  <si>
    <t>Elamanur</t>
  </si>
  <si>
    <t>Elamanur, Sakkimangalam</t>
  </si>
  <si>
    <t>Mahadevi</t>
  </si>
  <si>
    <t>Muniyandi kovil</t>
  </si>
  <si>
    <t>Sakkimangalam II</t>
  </si>
  <si>
    <t>Meenatchi Nagar</t>
  </si>
  <si>
    <t>Meenakshinagar</t>
  </si>
  <si>
    <t>Karseri</t>
  </si>
  <si>
    <t>Jeya</t>
  </si>
  <si>
    <t>Undankundu</t>
  </si>
  <si>
    <t>Udankundu</t>
  </si>
  <si>
    <t>Santhanapuram</t>
  </si>
  <si>
    <t>MelaKarseri</t>
  </si>
  <si>
    <t>Muthu Nagar</t>
  </si>
  <si>
    <t>Thiruvallur</t>
  </si>
  <si>
    <t>Thiruthani Block</t>
  </si>
  <si>
    <t>Agoor HSC</t>
  </si>
  <si>
    <t>Agoor ICDS</t>
  </si>
  <si>
    <t>Agoor</t>
  </si>
  <si>
    <t>Latha M</t>
  </si>
  <si>
    <t>ST (Irular colony</t>
  </si>
  <si>
    <t>Agoor colony ICDS</t>
  </si>
  <si>
    <t>Agoor colony</t>
  </si>
  <si>
    <t>Natham ICDS</t>
  </si>
  <si>
    <t>Natham</t>
  </si>
  <si>
    <t>New natham</t>
  </si>
  <si>
    <t>PUM Puram</t>
  </si>
  <si>
    <t>No</t>
  </si>
  <si>
    <t>D.V.Puram ICDS</t>
  </si>
  <si>
    <t>D.V.Puram</t>
  </si>
  <si>
    <t>D.V.Puram colony</t>
  </si>
  <si>
    <t>Yadavapuram</t>
  </si>
  <si>
    <t>C.H.Agraharam ICDS</t>
  </si>
  <si>
    <t>C.H.Agraharam</t>
  </si>
  <si>
    <t>Mel ettikuppam</t>
  </si>
  <si>
    <t>Ragavendra nagar</t>
  </si>
  <si>
    <t>Koramangalam HSC</t>
  </si>
  <si>
    <t>Koramangalam ICDS</t>
  </si>
  <si>
    <t>Koramangalam</t>
  </si>
  <si>
    <t>Revathi P</t>
  </si>
  <si>
    <t>Thandumedu</t>
  </si>
  <si>
    <t>Koramangalam colony ICDS</t>
  </si>
  <si>
    <t>Koramangalam colony</t>
  </si>
  <si>
    <t>Irular colony</t>
  </si>
  <si>
    <t>Mampakkam ICDS</t>
  </si>
  <si>
    <t>Mampakkam</t>
  </si>
  <si>
    <t>Arunthathi colony</t>
  </si>
  <si>
    <t>Mampakkam chathiram ICDS</t>
  </si>
  <si>
    <t>Mampakkma chathiram</t>
  </si>
  <si>
    <t>SC Colony</t>
  </si>
  <si>
    <t>Thadur HSC</t>
  </si>
  <si>
    <t>Thadur ICDS</t>
  </si>
  <si>
    <t>Thadur</t>
  </si>
  <si>
    <t>Ranjitha K</t>
  </si>
  <si>
    <t>Thadur colony ICDS</t>
  </si>
  <si>
    <t>Thadur colony</t>
  </si>
  <si>
    <t>L.N.Kandigai ICDS</t>
  </si>
  <si>
    <t>L.N.Kandigai</t>
  </si>
  <si>
    <t>L.N.Irular colony</t>
  </si>
  <si>
    <t>E.N.Kandigai ICDS</t>
  </si>
  <si>
    <t>E.N.Kandigai</t>
  </si>
  <si>
    <t>E.N.K.Sathiyan nagar</t>
  </si>
  <si>
    <t>Thalayarthangal</t>
  </si>
  <si>
    <t>Samathuvapuram ICDS</t>
  </si>
  <si>
    <t>Veeraganallore</t>
  </si>
  <si>
    <t>Veerganallore</t>
  </si>
  <si>
    <t>Veerganallore colony</t>
  </si>
  <si>
    <t>VRN Kandigai</t>
  </si>
  <si>
    <t>Veeraganallore Mettu colony ICDS</t>
  </si>
  <si>
    <t>Mettu colony</t>
  </si>
  <si>
    <t>Mottur</t>
  </si>
  <si>
    <t>Kil Mottur</t>
  </si>
  <si>
    <t>Kil Mottur colony</t>
  </si>
  <si>
    <t>Netteri Kandigai ICDS</t>
  </si>
  <si>
    <t>Netteri Kandigai</t>
  </si>
  <si>
    <t>Islam nagar ICDS - 1</t>
  </si>
  <si>
    <t>Islam nagar</t>
  </si>
  <si>
    <t>Islam nagar ICDS - 2</t>
  </si>
  <si>
    <t>Islam nagar ICDS - 3</t>
  </si>
  <si>
    <t>Cherukkanur HSC</t>
  </si>
  <si>
    <t>Cherukkanur ICDS</t>
  </si>
  <si>
    <t>Cherukkanur</t>
  </si>
  <si>
    <t>Victoria G</t>
  </si>
  <si>
    <t>ST Colony</t>
  </si>
  <si>
    <t>Cherukkanur colony ICDS - 1</t>
  </si>
  <si>
    <t>Cherukkanur colony</t>
  </si>
  <si>
    <t>New colony</t>
  </si>
  <si>
    <t>Cherukkanur colony ICDS - 2</t>
  </si>
  <si>
    <t>Ramakrishnapuram ICDS</t>
  </si>
  <si>
    <t>Ramakrishnapuram</t>
  </si>
  <si>
    <t>Bangalamedu</t>
  </si>
  <si>
    <t>Kannikapuram ICDS</t>
  </si>
  <si>
    <t>Kannikapuram</t>
  </si>
  <si>
    <t>Vallarasu nagar</t>
  </si>
  <si>
    <t>JBR Nagar</t>
  </si>
  <si>
    <t>BCN Kandigai ICDS</t>
  </si>
  <si>
    <t>BCN Kandigai</t>
  </si>
  <si>
    <t>BCN Kandigai Colony</t>
  </si>
  <si>
    <t>K.G.Kandigai HSC</t>
  </si>
  <si>
    <t>K.G.Kandigai ICDS - 1</t>
  </si>
  <si>
    <t>K.G.Kandigai</t>
  </si>
  <si>
    <t>Suvarnalakshmi K</t>
  </si>
  <si>
    <t>KVN Kandigai</t>
  </si>
  <si>
    <t>K.G.Kandigai ICDS - 2</t>
  </si>
  <si>
    <t>Kalthi nagar</t>
  </si>
  <si>
    <t>K.G.Kandigai ICDS - 3</t>
  </si>
  <si>
    <t>Sirugumi ICDS</t>
  </si>
  <si>
    <t>Sirugumi village</t>
  </si>
  <si>
    <t>Sirugumi</t>
  </si>
  <si>
    <t>Sirugumi colony ICDS</t>
  </si>
  <si>
    <t>Sirugumi colony</t>
  </si>
  <si>
    <t>Sirugumi irular colony</t>
  </si>
  <si>
    <t>UCR Kandigai ICDS</t>
  </si>
  <si>
    <t>UCR Kandigai</t>
  </si>
  <si>
    <t>UCR Kandigai colony</t>
  </si>
  <si>
    <t>Bakavathapuram ICDS</t>
  </si>
  <si>
    <t>Bakavathapuram</t>
  </si>
  <si>
    <t>Gandhi nagar</t>
  </si>
  <si>
    <t>Veeranaidupalayam village</t>
  </si>
  <si>
    <t>Veeranaidupalayam colony</t>
  </si>
  <si>
    <t>S. Agraharam ICDS - 1</t>
  </si>
  <si>
    <t>S. Agraharam Village</t>
  </si>
  <si>
    <t>S. Agraharam</t>
  </si>
  <si>
    <t>Thatchayani B</t>
  </si>
  <si>
    <t>S. Agraharam ICDS - 2</t>
  </si>
  <si>
    <t>T.N.R.Kandigai</t>
  </si>
  <si>
    <t>Yadav colony</t>
  </si>
  <si>
    <t>CVM Nagar</t>
  </si>
  <si>
    <t>S. Agraharam Colony ICDS - 1</t>
  </si>
  <si>
    <t>S. Agraharam Colony</t>
  </si>
  <si>
    <t>S. Agraharam Colony ICDS - 2</t>
  </si>
  <si>
    <t>Gudigunta ICDS</t>
  </si>
  <si>
    <t>Gudigunat</t>
  </si>
  <si>
    <t>Karthigeyapuram HSC</t>
  </si>
  <si>
    <t>Karthigeyapuram ICDS</t>
  </si>
  <si>
    <t>Karthigeyapuram</t>
  </si>
  <si>
    <t>Nethaji nagar ICDS</t>
  </si>
  <si>
    <t>Nethaji nagar</t>
  </si>
  <si>
    <t>Vaariyar nagar</t>
  </si>
  <si>
    <t>Lakshmi nagar</t>
  </si>
  <si>
    <t>Mahalakshmi nagar</t>
  </si>
  <si>
    <t>VJS nagar</t>
  </si>
  <si>
    <t>Valliyammapuram ICDS</t>
  </si>
  <si>
    <t>Valliyammapuram</t>
  </si>
  <si>
    <t>Valliyammapuram mettu street</t>
  </si>
  <si>
    <t>Valliyammapuram Gate</t>
  </si>
  <si>
    <t>P.T.Pudur ICDS</t>
  </si>
  <si>
    <t>P.T.Pudur</t>
  </si>
  <si>
    <t>Saraswathi nagar ICDS</t>
  </si>
  <si>
    <t>Saraswathi nagar</t>
  </si>
  <si>
    <t>Saraswathi nagar gate</t>
  </si>
  <si>
    <t>Ellaiyamman Koil street</t>
  </si>
  <si>
    <t>Beerakuppam ICDS</t>
  </si>
  <si>
    <t>Beerakuppam</t>
  </si>
  <si>
    <t>Kalpana R</t>
  </si>
  <si>
    <t>Saibaba nagar</t>
  </si>
  <si>
    <t>Suryanagaram HSC</t>
  </si>
  <si>
    <t>Thekkalur ICDS - 1</t>
  </si>
  <si>
    <t>Thekkalur Village</t>
  </si>
  <si>
    <t>Suryanagaram</t>
  </si>
  <si>
    <t>Thekkalur ICDS - 2</t>
  </si>
  <si>
    <t>Thekkalur Colony ICDS</t>
  </si>
  <si>
    <t>Thekkalur Colony</t>
  </si>
  <si>
    <t>Suryanagaram ICDS</t>
  </si>
  <si>
    <t>Suryanagaram village</t>
  </si>
  <si>
    <t>Ramapuram ICDS</t>
  </si>
  <si>
    <t>Ramapuram Village</t>
  </si>
  <si>
    <t>Bommarajapuram ICDS</t>
  </si>
  <si>
    <t>Bommarajapuram Village</t>
  </si>
  <si>
    <t>VKN Kandigai HSC</t>
  </si>
  <si>
    <t>VKN Kandigai ICDS</t>
  </si>
  <si>
    <t>VKN Kandigai</t>
  </si>
  <si>
    <t>Subhashini B</t>
  </si>
  <si>
    <t>L.N.Puram</t>
  </si>
  <si>
    <t>L.N.Puram colony</t>
  </si>
  <si>
    <t>VKN Kandigai colony ICDS</t>
  </si>
  <si>
    <t>VKN Kandigai colony</t>
  </si>
  <si>
    <t>B.R.Palli HSC</t>
  </si>
  <si>
    <t>B.R.Palli Village ICDS - 1</t>
  </si>
  <si>
    <t>B.R.Palli Village</t>
  </si>
  <si>
    <t>B.R.Palli</t>
  </si>
  <si>
    <t>B.R.Palli Village ICDS - 2</t>
  </si>
  <si>
    <t>B.R.Palli Colony ICDS - 3</t>
  </si>
  <si>
    <t>B.R.Palli Colony</t>
  </si>
  <si>
    <t>B.R.Palli Village ICDS - 4</t>
  </si>
  <si>
    <t>B.R.Palli Village ICDS - 5</t>
  </si>
  <si>
    <t>Venugopalapuram ICDS</t>
  </si>
  <si>
    <t>Venugopalapuram</t>
  </si>
  <si>
    <t>T.C.Kandigai ICDS</t>
  </si>
  <si>
    <t>T.C.Kandigai</t>
  </si>
  <si>
    <t>Lavanya T S</t>
  </si>
  <si>
    <t>Narasimmapuram ICDS</t>
  </si>
  <si>
    <t>Rukkumanipuram</t>
  </si>
  <si>
    <t>Magarajapuram</t>
  </si>
  <si>
    <t>Narasimmapuram</t>
  </si>
  <si>
    <t>Narasimmapuram irular colony</t>
  </si>
  <si>
    <t>VKR Puram HSC</t>
  </si>
  <si>
    <t>VKR Puram ICDS</t>
  </si>
  <si>
    <t>VKR Puram</t>
  </si>
  <si>
    <t>Ponthala Kandigai</t>
  </si>
  <si>
    <t>MC Kandigai</t>
  </si>
  <si>
    <t>VKR Puram SC Colony</t>
  </si>
  <si>
    <t>GR Kandigai</t>
  </si>
  <si>
    <t>Ponthala Kandigai ST colony</t>
  </si>
  <si>
    <t>Mosur Kandigai ICDS</t>
  </si>
  <si>
    <t>Pullai Kandigai</t>
  </si>
  <si>
    <t>Mosur Kandigai</t>
  </si>
  <si>
    <t>Mosur Kandigai SC colony</t>
  </si>
  <si>
    <t>Iyyar Kandigai</t>
  </si>
  <si>
    <t>Namakkal</t>
  </si>
  <si>
    <t>Kollihills</t>
  </si>
  <si>
    <t>Seppangulam (Vendalapadi)</t>
  </si>
  <si>
    <t>Seppangulam</t>
  </si>
  <si>
    <t>Selur Nadu</t>
  </si>
  <si>
    <t>Araikkalpatti</t>
  </si>
  <si>
    <t>M Vasuhi</t>
  </si>
  <si>
    <t>Vendalapadi</t>
  </si>
  <si>
    <t>Audukkampatty</t>
  </si>
  <si>
    <t>Adukkampatty</t>
  </si>
  <si>
    <t>Cholankattupatty</t>
  </si>
  <si>
    <t>Pallakulipatti</t>
  </si>
  <si>
    <t>Enchigiraipatti</t>
  </si>
  <si>
    <t>Veeraganurpatti</t>
  </si>
  <si>
    <t>Kannamankulam</t>
  </si>
  <si>
    <t>Oormudipatti</t>
  </si>
  <si>
    <t>Kulikattupatti</t>
  </si>
  <si>
    <t>Kulipatti</t>
  </si>
  <si>
    <t>Mekulandurai</t>
  </si>
  <si>
    <t>Nedungapulipatti</t>
  </si>
  <si>
    <t>Padappuvalavu</t>
  </si>
  <si>
    <t>Selurkaspa</t>
  </si>
  <si>
    <t>Seppankulam</t>
  </si>
  <si>
    <t>Sodankulipatti</t>
  </si>
  <si>
    <t>Solangiraipatti</t>
  </si>
  <si>
    <t>Villarikadu</t>
  </si>
  <si>
    <t>Pallakuzhipatty</t>
  </si>
  <si>
    <t>Periyasolakkani</t>
  </si>
  <si>
    <t>Thinnanur Nadu</t>
  </si>
  <si>
    <t>Akkaraivalavupatti</t>
  </si>
  <si>
    <t>T.Ranjini</t>
  </si>
  <si>
    <t>Mangalampatty</t>
  </si>
  <si>
    <t>Chinnasolakannipatti</t>
  </si>
  <si>
    <t>Oorpuram</t>
  </si>
  <si>
    <t>Edavakkalpatti</t>
  </si>
  <si>
    <t>Kathagaparai</t>
  </si>
  <si>
    <t>Ellaikiraipatti</t>
  </si>
  <si>
    <t>Moolavalavupatti</t>
  </si>
  <si>
    <t>Kathakaaparaipatti</t>
  </si>
  <si>
    <t>Maiyankiraaipatti</t>
  </si>
  <si>
    <t>Mangalampatti</t>
  </si>
  <si>
    <t>Mathakovilpatti</t>
  </si>
  <si>
    <t>Moolakkannipatti</t>
  </si>
  <si>
    <t>Moolavalavuppatti</t>
  </si>
  <si>
    <t>Naduvalavuppatti</t>
  </si>
  <si>
    <t>Narieankinaraupatti</t>
  </si>
  <si>
    <t>Oorpuramkaspapatty</t>
  </si>
  <si>
    <t>Periyacholakannipatti</t>
  </si>
  <si>
    <t>Sakkapalathadipatti</t>
  </si>
  <si>
    <t>Sethupilapatti</t>
  </si>
  <si>
    <t>Thittakiraipatti</t>
  </si>
  <si>
    <t>Vadagoorpatti</t>
  </si>
  <si>
    <t>Vasaloorpatti</t>
  </si>
  <si>
    <t>Asakattupatty</t>
  </si>
  <si>
    <t>Valappur Nadu</t>
  </si>
  <si>
    <t>Aalavadipatti</t>
  </si>
  <si>
    <t>D.Revathi</t>
  </si>
  <si>
    <t>Odakkattupatti</t>
  </si>
  <si>
    <t>Akkaraivalavu</t>
  </si>
  <si>
    <t>Periyakoviloor</t>
  </si>
  <si>
    <t>Arappuleeswararkovil</t>
  </si>
  <si>
    <t>Soludayapatty</t>
  </si>
  <si>
    <t>Arasampatti</t>
  </si>
  <si>
    <t>Alavadi</t>
  </si>
  <si>
    <t>Asakkattupatti</t>
  </si>
  <si>
    <t>Pilaandoorpatty</t>
  </si>
  <si>
    <t>Eillaikiraai</t>
  </si>
  <si>
    <t>Elamathipatti</t>
  </si>
  <si>
    <t>Errankulipatti</t>
  </si>
  <si>
    <t>Ettadipaarai</t>
  </si>
  <si>
    <t>Kadaivalavu</t>
  </si>
  <si>
    <t>Kadambalampatti</t>
  </si>
  <si>
    <t>Karumoorpatti</t>
  </si>
  <si>
    <t>Kaspapatti Oorpuram</t>
  </si>
  <si>
    <t>Keelkanchampatti</t>
  </si>
  <si>
    <t>Keelsengadu</t>
  </si>
  <si>
    <t>Kolarkaadu</t>
  </si>
  <si>
    <t>Kolathukuzhi</t>
  </si>
  <si>
    <t>Kosakuzhipatty</t>
  </si>
  <si>
    <t>Kulavangirai</t>
  </si>
  <si>
    <t>Kuttugiraipatti</t>
  </si>
  <si>
    <t>Mahilampatty</t>
  </si>
  <si>
    <t>Manjalpatti</t>
  </si>
  <si>
    <t>Mathadivalavu</t>
  </si>
  <si>
    <t>Mekkalampatti</t>
  </si>
  <si>
    <t>Melkanchampatti</t>
  </si>
  <si>
    <t>Melsengadu</t>
  </si>
  <si>
    <t>Mettuvalavu</t>
  </si>
  <si>
    <t>Nellukkuli</t>
  </si>
  <si>
    <t>Nettiparaivalavu</t>
  </si>
  <si>
    <t>Odakkadu</t>
  </si>
  <si>
    <t>Olaiyaru</t>
  </si>
  <si>
    <t>Oorpaarai Valavu</t>
  </si>
  <si>
    <t>Oyankulipatti</t>
  </si>
  <si>
    <t>Palaiyavalavu</t>
  </si>
  <si>
    <t>Pallathuvalavu</t>
  </si>
  <si>
    <t>Periyakovilur (Youth Hostel)</t>
  </si>
  <si>
    <t>Pilandurpatti</t>
  </si>
  <si>
    <t>Pothakkal</t>
  </si>
  <si>
    <t>Puduvalavu</t>
  </si>
  <si>
    <t>Puliyavadi</t>
  </si>
  <si>
    <t>Sellipatti</t>
  </si>
  <si>
    <t>Soludaiyapatti</t>
  </si>
  <si>
    <t>Sulathhipaarai</t>
  </si>
  <si>
    <t>Thamaraikulam</t>
  </si>
  <si>
    <t>Thathaandipatti</t>
  </si>
  <si>
    <t>Vannanthurai</t>
  </si>
  <si>
    <t>Perumparappupatty</t>
  </si>
  <si>
    <t>Devanur Nadu</t>
  </si>
  <si>
    <t>Aliyannilai</t>
  </si>
  <si>
    <t>R.Sangeetha</t>
  </si>
  <si>
    <t>Mettuvilaram</t>
  </si>
  <si>
    <t>Aripala Colony</t>
  </si>
  <si>
    <t>Sengattupatty</t>
  </si>
  <si>
    <t>Aripalapatty</t>
  </si>
  <si>
    <t>Arippalapatty</t>
  </si>
  <si>
    <t>Kattankattupatti</t>
  </si>
  <si>
    <t>Pinnampatti</t>
  </si>
  <si>
    <t>Meetuvilarampatti</t>
  </si>
  <si>
    <t>Nakkampatti</t>
  </si>
  <si>
    <t>Pariyurpatti</t>
  </si>
  <si>
    <t>Perumparappupatti</t>
  </si>
  <si>
    <t>Saetturpatti</t>
  </si>
  <si>
    <t>Sengattu Patty</t>
  </si>
  <si>
    <t>Soolavandhipatty</t>
  </si>
  <si>
    <t>Heirarchy</t>
  </si>
  <si>
    <t>Location Properties</t>
  </si>
  <si>
    <t>PHC name</t>
  </si>
  <si>
    <t>Enrolment Eligibility</t>
  </si>
  <si>
    <t>On press of enrol on Subject Type</t>
  </si>
  <si>
    <r>
      <rPr>
        <rFont val="Calibri"/>
        <b/>
        <color theme="1"/>
        <sz val="11.0"/>
      </rPr>
      <t xml:space="preserve">Include
</t>
    </r>
    <r>
      <rPr>
        <rFont val="Calibri"/>
        <b val="0"/>
        <color theme="1"/>
        <sz val="11.0"/>
      </rPr>
      <t>(use program name or enrolment form name which is intuitive to understand)</t>
    </r>
  </si>
  <si>
    <t>Additional comments/notes</t>
  </si>
  <si>
    <t>Pregnancy Program</t>
  </si>
  <si>
    <t xml:space="preserve">If age between 12-60 years of age, and gender should be female.
</t>
  </si>
  <si>
    <t>Age  0-1 years of age</t>
  </si>
  <si>
    <t>Save the child</t>
  </si>
  <si>
    <t>Age 0-18 years child</t>
  </si>
  <si>
    <t>Program Encounter Eligibility</t>
  </si>
  <si>
    <t>On press of new form on Subject Type</t>
  </si>
  <si>
    <r>
      <rPr>
        <rFont val="Calibri"/>
        <b/>
        <color theme="1"/>
        <sz val="11.0"/>
      </rPr>
      <t xml:space="preserve">Don't Show Form
</t>
    </r>
    <r>
      <rPr>
        <rFont val="Calibri"/>
        <b val="0"/>
        <color theme="1"/>
        <sz val="11.0"/>
      </rPr>
      <t>(use encounter type name or form name which is intuitive to understand)</t>
    </r>
  </si>
  <si>
    <t xml:space="preserve">1. Program is exited
2. Delivery form is filled
</t>
  </si>
  <si>
    <t>1. Program is exited
2. If this form is filled once for the exisitng program.</t>
  </si>
  <si>
    <t>page name</t>
  </si>
  <si>
    <t>Display order</t>
  </si>
  <si>
    <t>Field Name</t>
  </si>
  <si>
    <t>Data Type</t>
  </si>
  <si>
    <t>Mandatory)</t>
  </si>
  <si>
    <t>User entered / System generated</t>
  </si>
  <si>
    <t>When to show
(do not specify if to be shown always)</t>
  </si>
  <si>
    <t>When NOT to show (do not specify if to be shown always)</t>
  </si>
  <si>
    <t>Unique option for multi-select
(nothing else can be selected when this option is chosen. e.g. None)</t>
  </si>
  <si>
    <t>Default Value</t>
  </si>
  <si>
    <t>OPTIONS (needed for Single Select and Multi Select)</t>
  </si>
  <si>
    <t>Option condition/Validation</t>
  </si>
  <si>
    <t>Units</t>
  </si>
  <si>
    <t>Default</t>
  </si>
  <si>
    <t>Name</t>
  </si>
  <si>
    <t>Text</t>
  </si>
  <si>
    <t>Yes</t>
  </si>
  <si>
    <t>Date of Birth</t>
  </si>
  <si>
    <t>Date</t>
  </si>
  <si>
    <t>Age</t>
  </si>
  <si>
    <t>Auto calculate</t>
  </si>
  <si>
    <t>System generated</t>
  </si>
  <si>
    <t xml:space="preserve">years and months </t>
  </si>
  <si>
    <t>Gender</t>
  </si>
  <si>
    <t>Single select</t>
  </si>
  <si>
    <t>Beneficiary Type</t>
  </si>
  <si>
    <t>Type of Beneficiary</t>
  </si>
  <si>
    <t>User entered</t>
  </si>
  <si>
    <t>Pregnant Women
Mother
Child
Other</t>
  </si>
  <si>
    <t>Other Type of Beneficiary</t>
  </si>
  <si>
    <t>Type of Other Beneficiary</t>
  </si>
  <si>
    <t xml:space="preserve">Type of Beneficiary = Other </t>
  </si>
  <si>
    <t>Community Health Workers
Committee Members
Community Members
Interns
College Students
School Students
Primary School Children
Adolescents
Pregnant Women
Mothers
Family Members
Doctors
Nurses (Staff Nurses, SHN, CHN, VHN)
Anganwadi Workers (PO, CDPO, AWC)
Frontline Workers (ASHA, MLHP, WHV)
Self-Help Group
Panchayat Stakeholders
Other</t>
  </si>
  <si>
    <t>If Other type of Beneficiary, please specify</t>
  </si>
  <si>
    <t>Type of Other Beneficiary = Other</t>
  </si>
  <si>
    <t>Beneficiary Contact Number</t>
  </si>
  <si>
    <t xml:space="preserve">Add regex for Phone number </t>
  </si>
  <si>
    <t>Beneficiary Aadhar Number</t>
  </si>
  <si>
    <t xml:space="preserve">Add regex for Aadhar number </t>
  </si>
  <si>
    <t>Pregnant women/Mother's Details</t>
  </si>
  <si>
    <t>Is Mother Registered?</t>
  </si>
  <si>
    <t xml:space="preserve">
 Type of beneficiary = Child and Date of Birth (no of days)&gt;42 days</t>
  </si>
  <si>
    <t>Yes
No</t>
  </si>
  <si>
    <t>Mother's name</t>
  </si>
  <si>
    <t>Is Mother Registered? = No 
and
 Type of beneficiary = Child and Date of Birth (no of days)&gt;42 days</t>
  </si>
  <si>
    <t>Mother's Date of Birth</t>
  </si>
  <si>
    <t>Mother's Age in completed years</t>
  </si>
  <si>
    <t>Is Mother Registered? = Yes
and
 Type of beneficiary = Child and Date of Birth (no of days)&gt;42 d</t>
  </si>
  <si>
    <t>From Individual subject type</t>
  </si>
  <si>
    <t>Educational Qualification of Pregnant women/Mother</t>
  </si>
  <si>
    <t>Type of beneficiary = Preg Women or Mother</t>
  </si>
  <si>
    <t>Does not know to read or write
1st-5th
6th-8th
9th-12th
UG
PG
Others</t>
  </si>
  <si>
    <t>If others, specify</t>
  </si>
  <si>
    <t>Educational Qualification of Pregnant women/Mother = Others</t>
  </si>
  <si>
    <t>Pregnant women/Mother's Occupation</t>
  </si>
  <si>
    <t>if Type of beneficiaries = 1. Pregnant Women
2. Mother
or
Child and Date of Birth (no of days)&gt;42 days</t>
  </si>
  <si>
    <t>Homemaker
Government Employee
Private Sector Employee
Self-employed/Business
Farmer/Agricultural Worker
Daily Wages/Laborer
Others</t>
  </si>
  <si>
    <t>Preg women/Mother's Contact Number</t>
  </si>
  <si>
    <t>Numeric</t>
  </si>
  <si>
    <t>WhatsApp No of Pregnant women/Mother for IEC sharing</t>
  </si>
  <si>
    <t>Aadhar card of Pregnant women/Mother</t>
  </si>
  <si>
    <t>Husband/Father's Details</t>
  </si>
  <si>
    <t>Husband's/Father's Name</t>
  </si>
  <si>
    <t>Husband's/Father's Age</t>
  </si>
  <si>
    <t>Husband's/Father's Occupation</t>
  </si>
  <si>
    <t>Husband's/Father's Contact Number</t>
  </si>
  <si>
    <t>Child's Details</t>
  </si>
  <si>
    <t>Child's Name</t>
  </si>
  <si>
    <t>Type of Beneficiaries =child</t>
  </si>
  <si>
    <t>Child's Date of Birth</t>
  </si>
  <si>
    <t>Cannot be before date of delivery</t>
  </si>
  <si>
    <t>Child's Age (in completed months)</t>
  </si>
  <si>
    <t>Child's Gender</t>
  </si>
  <si>
    <t>1. Male
2. Female</t>
  </si>
  <si>
    <t>Comfortable sharing the Date of Marriage?</t>
  </si>
  <si>
    <t>Common Details</t>
  </si>
  <si>
    <t>Date of Marriage</t>
  </si>
  <si>
    <t>Type of beneficiary = Preg Women or Mother
Comfortable sharing the Date of Marriage? = Yes</t>
  </si>
  <si>
    <t>Average Monthly Family Income</t>
  </si>
  <si>
    <t>Number of Family Members (excluding the primary beneficiary)</t>
  </si>
  <si>
    <t>Address (House no, building name, street name)</t>
  </si>
  <si>
    <t>Facility Tracking Details</t>
  </si>
  <si>
    <t>Autocapture</t>
  </si>
  <si>
    <t>Location properties</t>
  </si>
  <si>
    <t>HSC name</t>
  </si>
  <si>
    <t>AWC name</t>
  </si>
  <si>
    <t>VHN In-charge name</t>
  </si>
  <si>
    <t>Allow only Text not number</t>
  </si>
  <si>
    <t>VHN In-charge contact number</t>
  </si>
  <si>
    <t>AWW In-charge name</t>
  </si>
  <si>
    <t>AWW In-charge contact number</t>
  </si>
  <si>
    <t>Decision Rule</t>
  </si>
  <si>
    <t>units</t>
  </si>
  <si>
    <t>Low High Absolute</t>
  </si>
  <si>
    <t xml:space="preserve">Low High Normal </t>
  </si>
  <si>
    <t>Basic Details</t>
  </si>
  <si>
    <t>Have you registered for PICME number?</t>
  </si>
  <si>
    <t>yes</t>
  </si>
  <si>
    <t>PICME Number</t>
  </si>
  <si>
    <t>no</t>
  </si>
  <si>
    <t>Have you registered for PICME number? = yes</t>
  </si>
  <si>
    <t xml:space="preserve">Max 12 digits numbers </t>
  </si>
  <si>
    <t>Pregnancy Month at the time of PICME registration</t>
  </si>
  <si>
    <t>Min 1 month max 9</t>
  </si>
  <si>
    <t>Last Menstrual Period (LMP)</t>
  </si>
  <si>
    <t>Cannot be future date</t>
  </si>
  <si>
    <t>Expected Date of Delivery (EDD)</t>
  </si>
  <si>
    <t>Autocalculate</t>
  </si>
  <si>
    <t>Pregnancy Month at the time of Ekam enrollment</t>
  </si>
  <si>
    <t>Calculate the month from LMP date to enrolment date</t>
  </si>
  <si>
    <t>Only if Pregnancy, not to be shown for Mother Enrolment
Min 1 month max 9</t>
  </si>
  <si>
    <t xml:space="preserve">Month of First antenatal check up </t>
  </si>
  <si>
    <t>Did you take Folic Acid tablet in the first trimester</t>
  </si>
  <si>
    <t>Yes 
No
Don't know</t>
  </si>
  <si>
    <t>Blood group</t>
  </si>
  <si>
    <t>A+, A-, B+, B-, AB+, AB-, O+, and O-</t>
  </si>
  <si>
    <t>Rh Factor</t>
  </si>
  <si>
    <t>Autopopulate 
if A+, B+, AB+, O+ = Rh Positive
if A-, B-, AB-, O- = Rh Negative</t>
  </si>
  <si>
    <t xml:space="preserve">Rh Negative 
Rh Positive </t>
  </si>
  <si>
    <t>Date of Delivery (DOD)</t>
  </si>
  <si>
    <t>if type of beneficiary =mother</t>
  </si>
  <si>
    <t xml:space="preserve">Primi (Pregnancy for the first time)  </t>
  </si>
  <si>
    <t>Yes 
No</t>
  </si>
  <si>
    <t xml:space="preserve">Gravida (No. of pregnancies earlier) </t>
  </si>
  <si>
    <t>If Primi is No ask this question</t>
  </si>
  <si>
    <t>Should not be more than sum of (Para (No. of deliveries) +
Live (No. of children alive at present) +
Aborta (No. of abortions)+ 1)
show error 'Sum of pregnancy outcomes must equal to Gravida'</t>
  </si>
  <si>
    <t>Para (No. of deliveries)</t>
  </si>
  <si>
    <t>cannot be more than Gravida (No. of pregnancies earlier) 
And
Addition of "(Para (No. of deliveries) +
Live (No. of children alive at present) +
Aborta (No. of abortions)" cannot be more than Gravida
show error 'Sum of pregnancy outcomes must equal to Gravida'</t>
  </si>
  <si>
    <t>Live (No. of children alive at present)</t>
  </si>
  <si>
    <t>Aborta (No. of abortions)</t>
  </si>
  <si>
    <t>Weight at the time of Pregnancy confirmation (in kg)</t>
  </si>
  <si>
    <t>min 30  max 150</t>
  </si>
  <si>
    <t>kgs</t>
  </si>
  <si>
    <t>30-150 kgs</t>
  </si>
  <si>
    <t>50-90 kgs</t>
  </si>
  <si>
    <t>Height at the time of Pregnancy confirmation (in cms)</t>
  </si>
  <si>
    <t>cms</t>
  </si>
  <si>
    <t>50-250 cms</t>
  </si>
  <si>
    <t>147-250 cms</t>
  </si>
  <si>
    <t>BMI (autocalculate)
"Underweight less than 18.5
Normal (18.5 -22.9)
Overweight (23.9 - 24.9)
Obesity (25 and above)"</t>
  </si>
  <si>
    <t>Underweight less than 18.5
Normal (18.5 -22.9)
Overweight (23.9 - 24.9)
Obesity (25 and above)</t>
  </si>
  <si>
    <t>Underweight (also show the BMI values achieved from Height and Weight,)
Normal (also show the BMI values achieved from Height and Weight,)
Overweight (also show the BMI values achieved from Height and Weight,)
Obesity (also show the BMI values achieved from Height and Weight,)</t>
  </si>
  <si>
    <t>auto calulate from height and weight</t>
  </si>
  <si>
    <t>Did the you have a delivery within the last three years</t>
  </si>
  <si>
    <t xml:space="preserve">Td Booster </t>
  </si>
  <si>
    <t>If within last 3 years delivery=Yes</t>
  </si>
  <si>
    <t xml:space="preserve">Td1 vaccine </t>
  </si>
  <si>
    <t>If Last 3 years delivery=No</t>
  </si>
  <si>
    <t>Td2 vaccine</t>
  </si>
  <si>
    <t>Deworming Status</t>
  </si>
  <si>
    <t>Complete
Incomplete</t>
  </si>
  <si>
    <t>Dental Checkup</t>
  </si>
  <si>
    <t>Family History</t>
  </si>
  <si>
    <t>Are there any family members with 
Communicable disease</t>
  </si>
  <si>
    <t xml:space="preserve">If yes, specify </t>
  </si>
  <si>
    <t>"Are there any family members with 
Communicable disease" = yes</t>
  </si>
  <si>
    <t>Substance Abuse</t>
  </si>
  <si>
    <t>if yes, whom?</t>
  </si>
  <si>
    <t>Substance Abuse = yes</t>
  </si>
  <si>
    <t>Smoking History</t>
  </si>
  <si>
    <t>Smoking History = yes</t>
  </si>
  <si>
    <t>Medical History</t>
  </si>
  <si>
    <t>Do you have a history of?</t>
  </si>
  <si>
    <t>Multiple select</t>
  </si>
  <si>
    <t>Hypertension 
Diabetes 
Asthma 
Thyroid 
HIV +ve 
Syphilis 
Cancer 
Hepatitis B 
Sickle cell disease 
Epilepsy
Tuberculosis 
Heart disease  
Others</t>
  </si>
  <si>
    <t>if any of the options selected
High Risk Pregnancy</t>
  </si>
  <si>
    <t>If others, please mention</t>
  </si>
  <si>
    <t>Do you have a history of? = others</t>
  </si>
  <si>
    <t>Previous Obsteteric History</t>
  </si>
  <si>
    <t>Obsteteric Complications in Previous Pregnancy:</t>
  </si>
  <si>
    <t>if gravida &gt; 1</t>
  </si>
  <si>
    <t>Antepartum Hemorrhage (APH)
Eclampsia
Pregnancy Induced Hyptertension(PIH)
Anemia
Obstructed Labor
Postpartum Hemorrhage (PPH)
Gestational diabetes
LSCS
Miscarriage
Abortion
Still Birth
Pre-term
Congenital anomaly in baby
Infection
Sepsis
Others</t>
  </si>
  <si>
    <t>Obsteteric Complications in Previous Pregnancy: = others</t>
  </si>
  <si>
    <t>Maternal and Child Health Schemes and Services</t>
  </si>
  <si>
    <t>Are you aware about these schemes?</t>
  </si>
  <si>
    <t>None</t>
  </si>
  <si>
    <t xml:space="preserve">None
Dr. Muthulakshmi Maternity Benefit Scheme (MRMBS)
 Janani Suraksha Yojana (JSY)
 Janani Shishu Suraksha Karyakram (JSSK)
 Pradhan Mantri Surakshit Matritva Abhiyan (PMSMA)
 Pradhan Mantri Matru Vandana Yojana (PMMVY)
 Chief Minister's Insurance Scheme
</t>
  </si>
  <si>
    <t>Do you know about
these services?</t>
  </si>
  <si>
    <t xml:space="preserve">No
108 Ambulance service
104 Helpline
102 Helpline
14416 Tele-MANAS
Incentives for family planning </t>
  </si>
  <si>
    <t>Are you eligible for MRMBS scheme?</t>
  </si>
  <si>
    <t>Are you availing MRMBS benefits?</t>
  </si>
  <si>
    <t>Delivery Plan</t>
  </si>
  <si>
    <t>Planned place of Delivery</t>
  </si>
  <si>
    <t>If beneficiary =Pregnant women</t>
  </si>
  <si>
    <t>1. Govt Hospital
2. PHC Hospital
3. Private Hospital
4. Delivery at Home
5. Others</t>
  </si>
  <si>
    <t>Is the address of stay post delivery same as the registered address?</t>
  </si>
  <si>
    <t>Place of stay in the first two months post delivery</t>
  </si>
  <si>
    <t>Is the address of stay post delivery same as the registered address? = No</t>
  </si>
  <si>
    <t>1. Marital place 
2. Mother's place
3. Migration to other place
Others</t>
  </si>
  <si>
    <t>Other Place of stay , please specify</t>
  </si>
  <si>
    <t>Place of stay in the first two months post delivery = Other</t>
  </si>
  <si>
    <t>New Address details</t>
  </si>
  <si>
    <t>ask if any option of Q3 chosen</t>
  </si>
  <si>
    <t>Mandatory</t>
  </si>
  <si>
    <t>Pregnancy Follow-Up Details</t>
  </si>
  <si>
    <t>Date of Visit</t>
  </si>
  <si>
    <t xml:space="preserve">Mode of Visit </t>
  </si>
  <si>
    <t>Direct visit
Phone followup</t>
  </si>
  <si>
    <t>Gestational Age (Current month of pregnancy)</t>
  </si>
  <si>
    <t xml:space="preserve"> (derived from woman LMP from pregnancy enrollment form:(((lmp date+279)-current date)/30)))
and 
 can be till 9</t>
  </si>
  <si>
    <t>Weight (Kg)</t>
  </si>
  <si>
    <t>If there is no weight gain in the subsequent month, create an alert, recommended weight gain is __ per month</t>
  </si>
  <si>
    <t>Kgs</t>
  </si>
  <si>
    <t>Blood pressure (mmHg)</t>
  </si>
  <si>
    <t>Hemoglobin (gm/dL)</t>
  </si>
  <si>
    <t>Cannot be negative and decimal</t>
  </si>
  <si>
    <t>Urine Albumin</t>
  </si>
  <si>
    <t>1. Positive
2. Negative
3. Not Taken
4. Does not Know</t>
  </si>
  <si>
    <t>Blood sugar</t>
  </si>
  <si>
    <t>1. Positive
2. Negative
3. Not Taken</t>
  </si>
  <si>
    <t>Ultrasonography</t>
  </si>
  <si>
    <t>No of ANC check ups in a month</t>
  </si>
  <si>
    <t>Take home rations received</t>
  </si>
  <si>
    <t>Nutrition kit received from Ekam?</t>
  </si>
  <si>
    <t>No.of days IFA tablets have been consumed till now(1st visit) or last month(2nd visit onwards)</t>
  </si>
  <si>
    <t>To be asked 4th Month onwards only</t>
  </si>
  <si>
    <t>No.of days calcium tablets have been consumed till now(1st visit) or last month(2nd visit onwards)</t>
  </si>
  <si>
    <t>Danger Signs During Pregnancy</t>
  </si>
  <si>
    <t>Danger signs if any?</t>
  </si>
  <si>
    <t>1. Yes
2. No</t>
  </si>
  <si>
    <t>Multi select</t>
  </si>
  <si>
    <t>Danger signs if any? = Yes</t>
  </si>
  <si>
    <t>High fever/chills
Severe abdominal pain
Severe headaches with blurred vision
Severe Epigastric pain
Difficulty in breathing
Swelling of fingers, face and legs
Convulsions/ fits
Vaginal bleeding
Vaginal discharge with itching/foul smell
Watery vaginal discharge
Difficulty/pain in passing urine, decreased urine output
Severe vomiting
Absence or reduced fetal movements
Other</t>
  </si>
  <si>
    <t>Other danger signs, please specify</t>
  </si>
  <si>
    <t>Danger Signs During Pregnancy = Other</t>
  </si>
  <si>
    <t>Do you think the pregnant women needs further referral ?</t>
  </si>
  <si>
    <t>If yes then refferal</t>
  </si>
  <si>
    <t>Health Education</t>
  </si>
  <si>
    <t xml:space="preserve">Select the Health education topics completed </t>
  </si>
  <si>
    <t>No training done</t>
  </si>
  <si>
    <t xml:space="preserve">1.Antenatal Care Checkups
2.Fetal development and Bonding
3.Danger Signs during pregnancy
4.Birth preparedness and Complication Readiness
5.Early initiation of breast feeding 
A.Nutrition - Dietary Diversity and Supplementation
B.Self-Hygiene and Sanitation
C.Maternal Benefit schemes/services
D.Family Planning and Birth Spacing
E.Maternal Mental Health
F. No training done
</t>
  </si>
  <si>
    <t xml:space="preserve">Should not be able to select a topic again in the next ANC, after once it is selected
Topic A, B , C, D, E if covered in ANC do not show in PNC
</t>
  </si>
  <si>
    <t>Is Family Counseling Provided?</t>
  </si>
  <si>
    <t>Family Counselling</t>
  </si>
  <si>
    <t>Which all family members were counselled?</t>
  </si>
  <si>
    <t>If Family Counseling Provided? = Yes</t>
  </si>
  <si>
    <t>Husband,Mother, Mother-in-law, Others</t>
  </si>
  <si>
    <t>Other member counselled, please specify</t>
  </si>
  <si>
    <t>Which all family members were counselled? = Others</t>
  </si>
  <si>
    <t>Topic on which counselling was given</t>
  </si>
  <si>
    <t xml:space="preserve">1.Antenatal Care Checkups
2.Fetal development and Bonding
3.Danger Signs during pregnancy
4.Birth preparedness and Complication Readiness
5.Early initiation of breast feeding 
A.Nutrition - Dietary Diversity and Supplementation
B.Self-Hygiene and Sanitation
C.Maternal Benefit schemes/services
D.Family Planning and Birth Spacing
E.Maternal Mental Health
</t>
  </si>
  <si>
    <t>Birth Preparedness and 
Delivery Plans(7th month onwards)</t>
  </si>
  <si>
    <t xml:space="preserve">Availability of Birth Kit </t>
  </si>
  <si>
    <t>only if preg month&gt;=7 or more
and if yes is selected once don't show in next ANC</t>
  </si>
  <si>
    <t>If yes, upload the birth kit photo</t>
  </si>
  <si>
    <t>Image</t>
  </si>
  <si>
    <t>Availability of Birth Kit  = Yes</t>
  </si>
  <si>
    <t>Availability of written birth plan</t>
  </si>
  <si>
    <t>If yes, upload the written birth plan copy</t>
  </si>
  <si>
    <t>Availability of written birth plan = yes</t>
  </si>
  <si>
    <t>High Risk Pregnancy Categorization</t>
  </si>
  <si>
    <t xml:space="preserve"> Does the pregnant women have a high risk condition?</t>
  </si>
  <si>
    <t>yes, No</t>
  </si>
  <si>
    <t>Type of high risk condition</t>
  </si>
  <si>
    <t>1. High priority condition                   2. Moderate priority condition          3. Low priority condition</t>
  </si>
  <si>
    <t>High-priority Conditions</t>
  </si>
  <si>
    <t>Type of high risk condition = High priority condition</t>
  </si>
  <si>
    <t>Ectopic pregnancy
PIH/Preeclampsia
Severe Anaemia (&lt;7 gm)
Heart Diseases Complicating Pregnancy
APH-Placenta Previa, Abruptio Placenta
Abnormal Presenatation &gt; 37 weeks (Transvers Lie, breech etc)
Hypothyroidism
Bad Obstetric History (BOH)
Haemoglobinopathy
Active Tuberculosis (TB) in pregancy
Auto Immune Diseases (SLE)
HIV/AIDS
Pyrexia in pregancy (Malaria, Dengue, Scrub typhus, Typhoid H1N1)
Jaundice/Hepatits B
Renal Diseases Complicating Pregnancy
Congenital Malformation
Elderly Primi (&gt;35yrs)
GDM
Previous LSCS/Assisted
Other</t>
  </si>
  <si>
    <t>Other High-priority Condition</t>
  </si>
  <si>
    <t>High-priority Conditions = Other</t>
  </si>
  <si>
    <t>Moderate-priority Conditions</t>
  </si>
  <si>
    <t>if resp is Moderate priority condition</t>
  </si>
  <si>
    <t>Multiple Pregnancy
Epilepsy
Short Primi (Height less than 145 cm)
Intra Uterine Growth Restriction (IUGR)
Hydramnios (Poly/Oligo) &gt; 28 weeks
Multipara (&gt;/Gravida 4 )/HoB
Hyperthyrodism
Differently Abled Mother
Pregnancy After Prolonged Infertility.
IVF
Teenage Pregnancy (&lt;19years)
Mild anemia (Hb &gt; 9 grm)
Intra Uterine Death(IUD)
Post Dated Pregnancy (Beyond 42 weeks)
Pregnacy Due to Contraceptive Failure
Moderate anaemia (Hb7 to 9 grm)
Vesicular Mole
Rh Isoimmunization
Diabetes Mellitus
Other</t>
  </si>
  <si>
    <t>Other Moderate-priority Conditions</t>
  </si>
  <si>
    <t>Moderate-priority Conditions = Other</t>
  </si>
  <si>
    <t>Low-priority Conditions</t>
  </si>
  <si>
    <t>if resp is low priorty  condition</t>
  </si>
  <si>
    <t>1. Cephalopelvic dispropotion
2. Weight Above 70 Kg
3. Weight Below 40 kg
4. Other</t>
  </si>
  <si>
    <t>Other Low-priority Conditions</t>
  </si>
  <si>
    <t>Low-priority Conditions = Other</t>
  </si>
  <si>
    <t>Photo</t>
  </si>
  <si>
    <t>high</t>
  </si>
  <si>
    <t>BIRTH PREPAREDNESS AND DELIVERY PLANS:</t>
  </si>
  <si>
    <t>7th month</t>
  </si>
  <si>
    <r>
      <rPr>
        <rFont val="Calibri"/>
        <b/>
        <color theme="1"/>
        <sz val="11.0"/>
      </rPr>
      <t xml:space="preserve">Display order - </t>
    </r>
    <r>
      <rPr>
        <rFont val="Calibri"/>
        <b/>
        <color rgb="FF000000"/>
        <sz val="11.0"/>
      </rPr>
      <t>Forms</t>
    </r>
  </si>
  <si>
    <t>Field Name (Quetsions)</t>
  </si>
  <si>
    <t>Mandatory (default false)</t>
  </si>
  <si>
    <t>Low-High Absolute</t>
  </si>
  <si>
    <t>Low-High Normal</t>
  </si>
  <si>
    <t>Question</t>
  </si>
  <si>
    <t>Reason for cancellation</t>
  </si>
  <si>
    <t>Single Select</t>
  </si>
  <si>
    <t>1. Abortion
2. Death
3.Temporary Migration
4. Permanent Migration
5. Refuses service
6. Unable to reach in-person/phone call
7. Others</t>
  </si>
  <si>
    <t>Other reason, please specify</t>
  </si>
  <si>
    <t>Reason for cancellation = Other, refuses service</t>
  </si>
  <si>
    <t>`</t>
  </si>
  <si>
    <t>Postnatal Mother Follow-up</t>
  </si>
  <si>
    <t>Date of Visit (mm/dd/yy)</t>
  </si>
  <si>
    <t>Mode of Visit</t>
  </si>
  <si>
    <t>Direct Visit
Phone followup</t>
  </si>
  <si>
    <t>Day of visit from mother's delivery/discharge</t>
  </si>
  <si>
    <t>Autocalculate from delivery date
1st day, 2nd day etc</t>
  </si>
  <si>
    <t>Did the VHN/AWC/Asha/Ekam_Community Health workers visit within 3 days of your delivery?</t>
  </si>
  <si>
    <t>Who visited you?</t>
  </si>
  <si>
    <t>Did the VHN/AWC/Asha/Ekam_Community Health workers visit within 3 days of your delivery? = Yes</t>
  </si>
  <si>
    <t>VHN
AWC
Asha
Community Health workers</t>
  </si>
  <si>
    <t>Paleness</t>
  </si>
  <si>
    <t>Blood pressure (mm/Hg)</t>
  </si>
  <si>
    <t>Adequate water intake</t>
  </si>
  <si>
    <t>IFA tablet consumption</t>
  </si>
  <si>
    <t>Calcium consumption</t>
  </si>
  <si>
    <t>Take home ration consumption</t>
  </si>
  <si>
    <t>Does the mother receive Nutrition support from Ekam?</t>
  </si>
  <si>
    <t>Are there any danger signs during followup?</t>
  </si>
  <si>
    <t>None
High Fever/Chills
Severe abdominal pain
Severe headache/blurring of vision
Severe epigastric pain
Severe vomiting
Difficulty/Pain in passing urine/Decresed urine output
Excessive tiredness
Convulsions/Fits
Vaginal bleeding
Vaginal discharge
Episiotomy Stitch Status
Caesarean Wound Inspection
Postpartum Depression Signs
Other</t>
  </si>
  <si>
    <t>Are there any danger signs during followup? = Other</t>
  </si>
  <si>
    <t>Do you think mother needs further referral ?</t>
  </si>
  <si>
    <t>Advice given/Remarks</t>
  </si>
  <si>
    <t>Health Education for mothers</t>
  </si>
  <si>
    <r>
      <rPr>
        <rFont val="Arial"/>
        <color theme="1"/>
        <sz val="10.0"/>
      </rPr>
      <t xml:space="preserve">1. Postnatal Care Checkups 
2. Danger Signs post delivery
3. Home-based Newborn Care
4. Lactation Counselling
5. Bonding with the Baby
6. Holistic Child growth and develpment
A.Nutrition - Dietary Diversity and Supplementation
B. Self-Hygiene and Sanitation
C. Maternal Benefit schemes/services
D. Family Planning and Birth Spacing
E. Maternal Mental Health
</t>
    </r>
    <r>
      <rPr>
        <rFont val="Arial"/>
        <b/>
        <color rgb="FF0000FF"/>
        <sz val="10.0"/>
      </rPr>
      <t>F. No training done</t>
    </r>
  </si>
  <si>
    <t xml:space="preserve">Should not be able to select a topic again in the next PNC if already done in one PNC
Topic A, B , C, D, E if covered in ANC do not show in PNC
</t>
  </si>
  <si>
    <t>Husband
Mother
Mother-in-Law
Other</t>
  </si>
  <si>
    <t>Other family members counselled, please specify</t>
  </si>
  <si>
    <t>Which all family members were counselled? = Other</t>
  </si>
  <si>
    <t>1. Postnatal Care Checkups 
2. Danger Signs post delivery
3. Home-based Newborn Care
4. Lactation Counselling
5. Bonding with the Baby
6. Holistic Child growth and develpment
A.Nutrition - Dietary Diversity and Supplementation
B.Self-Hygiene and Sanitation
C.Maternal Benefit schemes/services
D.Family Planning and Birth Spacing
E.Maternal Mental Health</t>
  </si>
  <si>
    <t>Do you need to visit again for Counselling?</t>
  </si>
  <si>
    <t>Show from the 4th PNC onwards</t>
  </si>
  <si>
    <t>When you want to visit?</t>
  </si>
  <si>
    <t xml:space="preserve">Do you need to visit again for Counselling? = Yes
Schedule the next visit based on the date selected </t>
  </si>
  <si>
    <t>Cannot be past or current date</t>
  </si>
  <si>
    <t>Breast Examination and Challenges</t>
  </si>
  <si>
    <t xml:space="preserve">Do you want to do breastfeeding Assessment </t>
  </si>
  <si>
    <t xml:space="preserve">Yes
No
</t>
  </si>
  <si>
    <t>Breast feeding challenges if any</t>
  </si>
  <si>
    <t>Do you want to do breastfeeding Assessment  = yes</t>
  </si>
  <si>
    <t>If yes, specify</t>
  </si>
  <si>
    <t>Breast feeding challenges if any = yes</t>
  </si>
  <si>
    <t>Breast Assessment</t>
  </si>
  <si>
    <t xml:space="preserve">
Breast Engorgement 
Blocked duct and Mastitis
Flat nipples  
Cracked nipples
Sore nipples and nipple fissure 
Nipple discharge
No secretion
Very less milk supply
Other</t>
  </si>
  <si>
    <t>Other breast assessment, please specify</t>
  </si>
  <si>
    <t>Breast Assessment = Other</t>
  </si>
  <si>
    <t xml:space="preserve">Essential knowledge assessment (Total score of 8) </t>
  </si>
  <si>
    <t>Importance of Foremilk and hindmilk (score out of 2)</t>
  </si>
  <si>
    <t>Max number allow 2</t>
  </si>
  <si>
    <t>Mother has to feed 12 times in 24 hours (score out of 2)</t>
  </si>
  <si>
    <t>Mother knows that out of 12 feeds, 3-4 feeds are at night time(score out of 2)</t>
  </si>
  <si>
    <t>She switches to the other side when only a few drops of thick milk comes (score out of 2)</t>
  </si>
  <si>
    <t>Baby's position assessment (Total score of 12)</t>
  </si>
  <si>
    <t>Hips are well supported (score out of 4)</t>
  </si>
  <si>
    <t>Max number allow 4</t>
  </si>
  <si>
    <t>Nare is in front of the nipple (score out of 4)</t>
  </si>
  <si>
    <t>Baby's chin is forward (score out of 4)</t>
  </si>
  <si>
    <t>Breast hold assessment (Total score of 15)</t>
  </si>
  <si>
    <t>Fingers are parallel to babies lips (score out of 5)</t>
  </si>
  <si>
    <t>Max number allow 5</t>
  </si>
  <si>
    <t>3 finger distance away from the nipple (score out of 5)</t>
  </si>
  <si>
    <t>Breast is contoured well (score out of 5)</t>
  </si>
  <si>
    <t xml:space="preserve">Latching Score Assessment (Total score of 45) </t>
  </si>
  <si>
    <t>Mother brushes the upper lip of the baby to her nipple (score out of 5)</t>
  </si>
  <si>
    <t>Mouth of the baby is wide open 120 -160 degree(score out of 5)</t>
  </si>
  <si>
    <t>Babies chin and lips not seen when observed [Embedded in the breast ] (score out of 10)</t>
  </si>
  <si>
    <t>Max number allow 10</t>
  </si>
  <si>
    <t>Upper lip is at the border of the nipple (score out of 5)</t>
  </si>
  <si>
    <t>The baby’s lower lip is at the border of the areola in case of a big areola and on the breast if the areola is small (score out of 5)</t>
  </si>
  <si>
    <t>The baby’s cheeks look full and rounded. There are no dimples in the cheeks (score out of 10)</t>
  </si>
  <si>
    <t>After the latch is checked, mother brings the hand across to support the baby (score out of 5)</t>
  </si>
  <si>
    <t>Completion Observation (Total score of 20)</t>
  </si>
  <si>
    <t>Mother checks by manually expressing breast milk with her hand (score out of 20</t>
  </si>
  <si>
    <t>Max number allow 20</t>
  </si>
  <si>
    <t>Lactation total score</t>
  </si>
  <si>
    <t>Sum of scored entered in
Mother brushes the upper lip of the baby to her nipple (score out of 5)
Mouth of the baby is wide open 120 -160 degree(score out of 5)
Babies chin and lips not seen when observed [Embedded in the breast ] (score out of 10)
Upper lip is at the border of the nipple (score out of 5)
The baby’s lower lip is at the border of the areola in case of a big areola and on the breast if the areola is small (score out of 5)
The baby’s cheeks look full and rounded. There are no dimples in the cheeks (score out of 10)
After the latch is checked, mother brings the hand across to support the baby (score out of 5)
Mother checks by manually expressing breast milk with her hand (score out of 20</t>
  </si>
  <si>
    <t>Asssessment score comparision</t>
  </si>
  <si>
    <r>
      <rPr/>
      <t xml:space="preserve">Initial Breast Feeding Assement Scrore
Ref doc </t>
    </r>
    <r>
      <rPr>
        <color rgb="FF1155CC"/>
        <u/>
      </rPr>
      <t>https://docs.google.com/spreadsheets/d/1rOnsSg-4CDalnftB1kQbDiEBH62JXM7Y/edit?gid=31319909#gid=31319909</t>
    </r>
  </si>
  <si>
    <t xml:space="preserve">Show in the 1st PNC
</t>
  </si>
  <si>
    <t>Sum of all the scores from question 
"Importance of Foremilk and hindmilk (score out of 2)" to 
"Mother checks by manually expressing breast milk with her hand (score out of 20)"</t>
  </si>
  <si>
    <t>Final Breast Feeding Assement Scrore</t>
  </si>
  <si>
    <t xml:space="preserve">Do you need to visit again for Counselling? = No
</t>
  </si>
  <si>
    <t>Sum of values entered in each of the PNC from question
"Importance of Foremilk and hindmilk (score out of 2)" to 
"Mother checks by manually expressing breast milk with her hand (score out of 20)"</t>
  </si>
  <si>
    <t>reference doc for breastfeeding assessment</t>
  </si>
  <si>
    <t>1.Death
2.Migration
3.Unable to reach in-person/phone call
4.Others</t>
  </si>
  <si>
    <t>Reason for cancellation = Other</t>
  </si>
  <si>
    <t>Reason for cancellation = Death, Migration</t>
  </si>
  <si>
    <t xml:space="preserve">Ask </t>
  </si>
  <si>
    <t>Have you faced any mental health problem in the past ?
(such as severe stress, depression, or received any treatment) including in 
any one of your pregnancies?</t>
  </si>
  <si>
    <t>Once answered don't show again in the next encounter show as read only</t>
  </si>
  <si>
    <t>Do you feel stressed in this pregnancy due to lack of emotional support at home (family, husband, friends) or work?</t>
  </si>
  <si>
    <t>"Have you faced any mental health problem in the past 
(such as severe stress, depression, or received any treatment) including in 
any one of your pregnancies?" = Yes</t>
  </si>
  <si>
    <t>Are you excessively worried about your financial situation?</t>
  </si>
  <si>
    <t>In the current pregnancy, are you facing pressure to have a male child?</t>
  </si>
  <si>
    <t>In the past one year, have you faced any domestic violence?</t>
  </si>
  <si>
    <t>Do you feel stressed because of lack of support for household chores?</t>
  </si>
  <si>
    <t>In the past one year, have you faced any loss (death of near one, financial loss, miscarriage, or abortion)?</t>
  </si>
  <si>
    <t xml:space="preserve">Observe </t>
  </si>
  <si>
    <t>Do you observe any signs and symptoms of mental illness?</t>
  </si>
  <si>
    <t>Signs and Symptoms of mental illness</t>
  </si>
  <si>
    <t>Do you observe any signs and symptoms of mental illness? = Yes</t>
  </si>
  <si>
    <t>1.Face being dull not smiling
2.Crying easily
3.Excessive worries, tension and fears
4.Not talking much
5.Signs of severe mental illness like being dishevelled, muttering or smiling to self</t>
  </si>
  <si>
    <t>Measure</t>
  </si>
  <si>
    <t>A</t>
  </si>
  <si>
    <t>How often have you been bothered by little interest or pleasure in doing things?</t>
  </si>
  <si>
    <t xml:space="preserve">1. Not at all in the last two weeks 
2. Several days in the last two weeks 
3. More than half of the days in the last two weeks
4. Nearly every day in the last two weeks </t>
  </si>
  <si>
    <t>THE SCORE IS REQUIRED FOR THE BELOW HIGH RISK QUESTION CALCULATION
1. Not at all in the last two weeks (score 0)
2. Several days in the last two weeks ((score 1)
3. More than half of the days in the last two weeks((score 2)
4. Nearly every day in the last two weeks ((score 3)</t>
  </si>
  <si>
    <t>B</t>
  </si>
  <si>
    <t>How often have you been bothered by feeling down, depressed or hopeless?</t>
  </si>
  <si>
    <t xml:space="preserve">1. Not at all in the last two weeks
2. Several days in the last two weeks 
3. More than half of the days in the last two weeks
4. Nearly every day in the last two weeks </t>
  </si>
  <si>
    <t>THE SCORE IS REQUIRED FOR THE BELOW HIGH RISK QUESTION CALCULATION
"1. Not at all in the last two weeks (score 0)
2. Several days in the last two weeks ((score 1)
3. More than half of the days in the last two weeks((score 2)
4. Nearly every day in the last two weeks ((score 3)"</t>
  </si>
  <si>
    <t>C</t>
  </si>
  <si>
    <t>How often have you been bothered by feeling nervous, anxious or on edge?</t>
  </si>
  <si>
    <t>1. Not at all in the last two weeks 
2. Several days in the last two weeks
3. More than half of the days in the last two weeks
4. Nearly every day in the last two weeks</t>
  </si>
  <si>
    <t>THE SCORE IS REQUIRED FOR THE BELOW HIGH RISK QUESTION CALCULATION
1. Not at all in the last two weeks (score 0)
2. Several days in the last two weeks ((score 1)
3. More than half of the days in the last two weeks((score 2)
4. Nearly every day in the last two weeks ((score 3)</t>
  </si>
  <si>
    <t>D</t>
  </si>
  <si>
    <t>How often have you been bothered by not being able to stop or control worrying?</t>
  </si>
  <si>
    <t>E</t>
  </si>
  <si>
    <t>Have you been bothered by the thoughts that you would be better or of hurting yourself in some way?</t>
  </si>
  <si>
    <t>F</t>
  </si>
  <si>
    <t>Have these problems made it difficult for you at work, take care of things at home, and to get along with other people?</t>
  </si>
  <si>
    <t>Decission Rule</t>
  </si>
  <si>
    <r>
      <rPr>
        <rFont val="Arial"/>
        <color theme="1"/>
      </rPr>
      <t xml:space="preserve">
</t>
    </r>
    <r>
      <rPr>
        <rFont val="Arial"/>
        <b/>
        <color theme="1"/>
      </rPr>
      <t>Show as High Risk if:</t>
    </r>
    <r>
      <rPr>
        <rFont val="Arial"/>
        <color theme="1"/>
      </rPr>
      <t xml:space="preserve">
In the ASK section, the answer to any question is YES
AND one of the following conditions is met in the MEASURE section:
The sum of B + C ≥ 3, OR
The sum of C + D ≥ 3, OR
Both E and F = YES
</t>
    </r>
    <r>
      <rPr>
        <rFont val="Arial"/>
        <b/>
        <color theme="1"/>
      </rPr>
      <t xml:space="preserve">
Show as Moderate Risk if:</t>
    </r>
    <r>
      <rPr>
        <rFont val="Arial"/>
        <color theme="1"/>
      </rPr>
      <t xml:space="preserve">
In the ASK section, the answer to any question is YES
AND one of the following conditions is met in the MEASURE section:
The sum of B + C = 2, OR
The sum of C + D = 2, OR
E = No and F = YES
</t>
    </r>
    <r>
      <rPr>
        <rFont val="Arial"/>
        <b/>
        <color theme="1"/>
      </rPr>
      <t xml:space="preserve">SHOW AS NORMAL
</t>
    </r>
    <r>
      <rPr>
        <rFont val="Arial"/>
        <color theme="1"/>
      </rPr>
      <t xml:space="preserve">IF The sum of B + C = IS LESS THAN 2
OR
The sum of C + D IS LESS THAN 2
</t>
    </r>
  </si>
  <si>
    <t>Refer docs  to calculate the high risk conditions using Measure</t>
  </si>
  <si>
    <r>
      <rPr>
        <rFont val="&quot;Google Sans&quot;, Roboto, sans-serif"/>
        <color rgb="FF444746"/>
        <sz val="11.0"/>
      </rPr>
      <t xml:space="preserve"> </t>
    </r>
    <r>
      <rPr>
        <rFont val="Arial"/>
        <color rgb="FF1155CC"/>
        <sz val="11.0"/>
        <u/>
      </rPr>
      <t>https://drive.google.com/file/d/1Zf3pDeoecV-7z1iyUjgOCzoCxUEb3OsD/</t>
    </r>
  </si>
  <si>
    <t>Delivery Details</t>
  </si>
  <si>
    <t>Date of delivery</t>
  </si>
  <si>
    <t>Gestational Age at the time of delivery</t>
  </si>
  <si>
    <t>" (derived from woman LMP from pregnancy enrollment form:(((lmp date+279)-current date)/30)))
and 
 can be till 9"</t>
  </si>
  <si>
    <t>Place of Delivery</t>
  </si>
  <si>
    <t>single Select</t>
  </si>
  <si>
    <t>Home, Primary Health Centre, Government Hospital, Private Hospital</t>
  </si>
  <si>
    <t>Remarks</t>
  </si>
  <si>
    <t>Type of Delivery</t>
  </si>
  <si>
    <t>Normal delivery (Vaginal delivery)
a) Spontaneous b) Assisted (Forceps, Vaccum Extraction)
Cesearean section (Planned C-section, emergency C-section)
Vaginal Birth After Cesarean
Induced Labor
Other</t>
  </si>
  <si>
    <t>Others, specify</t>
  </si>
  <si>
    <t>Type of Delivery = Other</t>
  </si>
  <si>
    <t>Delivery Outcome</t>
  </si>
  <si>
    <t xml:space="preserve">Full Term baby (37 to &lt;42 weeks)
Pre-term baby (&lt;37 weeks) 
Miscarriage
Abortion
Birth defects
Still birth
</t>
  </si>
  <si>
    <t>Multiple Gestation</t>
  </si>
  <si>
    <t>Yes/No</t>
  </si>
  <si>
    <t>Multiple Gestation Details</t>
  </si>
  <si>
    <t>Multiple Gestation = Yes</t>
  </si>
  <si>
    <t>Twins
Triplets
Other</t>
  </si>
  <si>
    <t>Other Multiple Gestation, please specify</t>
  </si>
  <si>
    <t>Multiple Gestation Details = Other</t>
  </si>
  <si>
    <t>Birth Order</t>
  </si>
  <si>
    <t>First 
Second
Third
Fourth 
Others</t>
  </si>
  <si>
    <t>Other Birth Order, please specify</t>
  </si>
  <si>
    <t>Birth Order = Other</t>
  </si>
  <si>
    <t>Status of Mother and Baby</t>
  </si>
  <si>
    <t>Status of Mother</t>
  </si>
  <si>
    <t>Alive
Dead</t>
  </si>
  <si>
    <t>Date of death</t>
  </si>
  <si>
    <t>Ask if Status of Mother = Dead</t>
  </si>
  <si>
    <t xml:space="preserve">Reason for Death </t>
  </si>
  <si>
    <t>Status of Baby</t>
  </si>
  <si>
    <t>Ask if Status of Baby = Dead</t>
  </si>
  <si>
    <t>Reason for Death</t>
  </si>
  <si>
    <t>Post delivery complications, if any for the mother</t>
  </si>
  <si>
    <t>If yes specify</t>
  </si>
  <si>
    <t>Post delivery complications, if any for the mother = yes</t>
  </si>
  <si>
    <t>Post delivery complications, if any for baby</t>
  </si>
  <si>
    <t>Post delivery complications, if any for baby = yes</t>
  </si>
  <si>
    <t>Mother Referral to a higher center for delivery complications</t>
  </si>
  <si>
    <t>Ask only if Post delivery complications = Yes</t>
  </si>
  <si>
    <t>Yes, No</t>
  </si>
  <si>
    <t>If yes, details</t>
  </si>
  <si>
    <t>Ask only if Mother Referral to a higher center for delivery complications = Yes</t>
  </si>
  <si>
    <t>Baby Referral to a higher center for delivery complications</t>
  </si>
  <si>
    <t>Ask only if Post delivery complications</t>
  </si>
  <si>
    <t>Baby Referral to a higher center for delivery complications = Yes</t>
  </si>
  <si>
    <t>Why are you removing the case?</t>
  </si>
  <si>
    <t>Death
PNC period over
Miscarriage
Abortion
Other</t>
  </si>
  <si>
    <t>If others, specify`</t>
  </si>
  <si>
    <t>Reason for death</t>
  </si>
  <si>
    <t>Why are you removing the case? = death</t>
  </si>
  <si>
    <t>Details</t>
  </si>
  <si>
    <t xml:space="preserve">Is child enrollment for capturing Infant death </t>
  </si>
  <si>
    <t xml:space="preserve">Date of death </t>
  </si>
  <si>
    <t>Is child enrollment for capturing Infant death = Yes</t>
  </si>
  <si>
    <t xml:space="preserve">Reasons for death </t>
  </si>
  <si>
    <t>Child Details</t>
  </si>
  <si>
    <t>Birth-Weight  (in grams)</t>
  </si>
  <si>
    <t>cannot be 0 oe negative</t>
  </si>
  <si>
    <t>grams</t>
  </si>
  <si>
    <t>Birth-Weight status</t>
  </si>
  <si>
    <t>Extremely Low-Birth Weight Less than 1000 g (&lt; 1 kg)
Very Low-Birth Weight (Less than 1500 g (1.5 kg)
Low-Birth Weight (Less than 2500 g (2.5 kg)
Normal Weight (2500 g or greater (≥ 2.5 kg)</t>
  </si>
  <si>
    <t>autocalculate from Birth-Weight  (in grams)</t>
  </si>
  <si>
    <t>Pre-lacteals any given?</t>
  </si>
  <si>
    <r>
      <rPr>
        <rFont val="Arial"/>
        <color theme="1"/>
        <sz val="10.0"/>
      </rPr>
      <t xml:space="preserve">Honey
Ghee 
Sugar water
Animal milk
Formula feed
</t>
    </r>
    <r>
      <rPr>
        <rFont val="Arial"/>
        <b/>
        <color rgb="FF0000FF"/>
        <sz val="10.0"/>
      </rPr>
      <t>None</t>
    </r>
    <r>
      <rPr>
        <rFont val="Arial"/>
        <color theme="1"/>
        <sz val="10.0"/>
      </rPr>
      <t xml:space="preserve">
Others</t>
    </r>
  </si>
  <si>
    <t>If response to Pre-lacteals any given? = Others</t>
  </si>
  <si>
    <t>Initiated breastfeeding within 1 hour of birth</t>
  </si>
  <si>
    <t>Yes
No
Don't Know</t>
  </si>
  <si>
    <t>Was Vitamin K injection administered for the child</t>
  </si>
  <si>
    <t>Did the baby cry immediately after birth</t>
  </si>
  <si>
    <t>Delivery Details(only for children who are enrolled after PNC of mother got over and mother is not getting enrolled)</t>
  </si>
  <si>
    <t>Is the Mother Registered?</t>
  </si>
  <si>
    <t>Mother Name</t>
  </si>
  <si>
    <t>Individual Subject data type</t>
  </si>
  <si>
    <t>If delivery form against the mother is filled
Is child enrollment for capturing Infant death = Yes</t>
  </si>
  <si>
    <t xml:space="preserve">12 digits numbers </t>
  </si>
  <si>
    <t>Gravida (No. of pregnancies)</t>
  </si>
  <si>
    <t xml:space="preserve">LMP should not be greater than 10 months (300 days) when back CALCULATED from date of birth of the child. </t>
  </si>
  <si>
    <t>cannot be before LMP</t>
  </si>
  <si>
    <t xml:space="preserve">Gestational Age 
</t>
  </si>
  <si>
    <t>autocalculated based on Date of Delivery</t>
  </si>
  <si>
    <t>Others type of Delivery, specify</t>
  </si>
  <si>
    <t>If yes, Twins, Triplets, Others</t>
  </si>
  <si>
    <t>Birth Order = Others</t>
  </si>
  <si>
    <t>Status of Mother (only for children who are enrolled after PNC of mother got over and mother is not getting enrolled)</t>
  </si>
  <si>
    <t>Status of Mother = Alive</t>
  </si>
  <si>
    <t>Post delivery complications, if any for baby = Yes</t>
  </si>
  <si>
    <t>Post delivery complications, if any for the mother = Yes</t>
  </si>
  <si>
    <t>Mother Referral to a higher center for delivery complications= Yes</t>
  </si>
  <si>
    <t>Child's delivery outcomes(only for children who are enrolled after PNC of mother got over and mother is not getting enrolled)</t>
  </si>
  <si>
    <t>Child Follow up</t>
  </si>
  <si>
    <t>Date of visit</t>
  </si>
  <si>
    <t>Direct visit
Phone follow up</t>
  </si>
  <si>
    <t>Current age of the baby (in months)</t>
  </si>
  <si>
    <t>Auto Calculate</t>
  </si>
  <si>
    <t>Autocalculate from registration</t>
  </si>
  <si>
    <t>Is the child being currently Breastfed?</t>
  </si>
  <si>
    <t>If no , reason</t>
  </si>
  <si>
    <t>If, Breastfeeding status of the child = No</t>
  </si>
  <si>
    <t>Take Home Ration consumption</t>
  </si>
  <si>
    <t>Does the child receive Nutrition support from Ekam?</t>
  </si>
  <si>
    <t>Any defects, deficiencies, dieases or disabilites identified requiring further referral?</t>
  </si>
  <si>
    <t>Does the child have any development delays based on Trivandrum screening scale requiring further referral</t>
  </si>
  <si>
    <t>Does the baby have any danger signs during followup?</t>
  </si>
  <si>
    <t xml:space="preserve">Danger Signs </t>
  </si>
  <si>
    <t>If, Does the baby have any danger signs during followup? = Yes</t>
  </si>
  <si>
    <t>Jaundice
Not passed urine in 24 hours
Not Passed stool within 48 hours
Fever
Chest-in-drawing
Vomiting
Diarrhea
Breathing difficulty (Fast/Slow)
Convulsions
Umbilicus – Red/draining pus
Ear discharge (pus)
Lethargic
Unconscious
Skin Pustules
Skin Rashes
Thrush</t>
  </si>
  <si>
    <t>Does the baby have any danger signs 
needing referral</t>
  </si>
  <si>
    <t xml:space="preserve">Yes No </t>
  </si>
  <si>
    <t xml:space="preserve">KMC tracking 
</t>
  </si>
  <si>
    <t>Did the KMC happen?</t>
  </si>
  <si>
    <t>KMC started on</t>
  </si>
  <si>
    <t>Did the KMC happen? = No</t>
  </si>
  <si>
    <t>Once filled don't show in the next encounter once filled</t>
  </si>
  <si>
    <r>
      <rPr>
        <rFont val="Calibri"/>
        <color theme="1"/>
        <sz val="11.0"/>
      </rPr>
      <t>KMC DAY (Show the count as</t>
    </r>
    <r>
      <rPr>
        <rFont val="Calibri"/>
        <b/>
        <color rgb="FF0000FF"/>
        <sz val="11.0"/>
      </rPr>
      <t xml:space="preserve"> Day 1 (Date)
, Day 2 (Date)....</t>
    </r>
    <r>
      <rPr>
        <rFont val="Calibri"/>
        <color theme="1"/>
        <sz val="11.0"/>
      </rPr>
      <t xml:space="preserve">
DAY # (Read Only)
KMC Hours this day (Mandatory ,  Numeric, Greater than Equal to zero)</t>
    </r>
  </si>
  <si>
    <t>RQG</t>
  </si>
  <si>
    <t xml:space="preserve">Inputs: PrevEncounterDateTime, CurrentEncounterDateTime, WFA status (Normal/ SAM/ MAM)
Outputs: StartDateIndex (0 or 7, 21, 42, etc), EndDateIndex (6, 13, 41, etc) based on the difference in CurrentEncounterDatea and PrevEncounterDate, Denominator for Average (diff value of the 2 dates +1 ?)
NOTE:
Mother is given a sheet to write it down how long each day she has given KMC. 
Day 1 – 1 hour
Day 2 – 1.5 hours
Day 3 – 2 hours
At the end of the week when the Health Worker is going to record each day what was the KMC given and calculates the average daily KMC for the week:
Example:
If Total hours KMC Give in 7 days = 10 hours
Average per day = 10 ÷ 7 = 1.4 hours/day
This will be captured till 7 weeks. 
</t>
  </si>
  <si>
    <t xml:space="preserve">Average Hours of KMC per day
. 
</t>
  </si>
  <si>
    <t>EXAMPLE
If Total hours KMC Give in 7 days = 10 hours
Average per day = 10 ÷ 7 = 1.4 hours/day
This will be captured till 7 weeks</t>
  </si>
  <si>
    <t>Baby breastfeeding status</t>
  </si>
  <si>
    <t xml:space="preserve">Currently breastfeeding only (exclusive breastfeeding)
Breastfeeding plus formula feed (mixed feeding)
Formula feed only (no breastfeeding)
Expressed breast milk feeding (bottle/cup-fed)
Wet nursing or donor human milk
Animal milk (e.g., cow/buffalo/goat milk)
</t>
  </si>
  <si>
    <t>Anthropometery (monthly entry)</t>
  </si>
  <si>
    <t>Is child's measurements taken?</t>
  </si>
  <si>
    <t>Weight</t>
  </si>
  <si>
    <t>if answer is yes for child's measurements taken</t>
  </si>
  <si>
    <t>should be less than 25.0</t>
  </si>
  <si>
    <t>Height</t>
  </si>
  <si>
    <t>40cm-110cm</t>
  </si>
  <si>
    <t>Does the child have bilateral pitting edema?</t>
  </si>
  <si>
    <r>
      <rPr>
        <rFont val="Calibri"/>
        <color theme="1"/>
        <sz val="11.0"/>
      </rPr>
      <t>Weight for height (</t>
    </r>
    <r>
      <rPr>
        <rFont val="Calibri"/>
        <b/>
        <color theme="1"/>
        <sz val="11.0"/>
      </rPr>
      <t xml:space="preserve">Wasting </t>
    </r>
    <r>
      <rPr>
        <rFont val="Calibri"/>
        <color theme="1"/>
        <sz val="11.0"/>
      </rPr>
      <t>status) in kgs</t>
    </r>
  </si>
  <si>
    <t>System generated
If Does the child have bilateral pitting edema? Yes show as SAM irrespective of any weight and height</t>
  </si>
  <si>
    <t>SAM, MAM, NORMAL,overweight,obese</t>
  </si>
  <si>
    <t>Severe Acute Malnutrition (SAM): z-score &lt; -3
Moderate Acute Malnutrition (MAM): z-score ≥ -3 to &lt; -2
Normal: z-score ≥ -2 to ≤ +2
Overweight: z-score &gt; +2 SD to ≤ +3 SD
Obese: &gt; +3 SD</t>
  </si>
  <si>
    <t xml:space="preserve">in "kgs" </t>
  </si>
  <si>
    <t xml:space="preserve"> </t>
  </si>
  <si>
    <r>
      <rPr>
        <rFont val="Calibri"/>
        <color theme="1"/>
        <sz val="11.0"/>
      </rPr>
      <t>Weight for age (</t>
    </r>
    <r>
      <rPr>
        <rFont val="Calibri"/>
        <b/>
        <color theme="1"/>
        <sz val="11.0"/>
      </rPr>
      <t xml:space="preserve">Underweight </t>
    </r>
    <r>
      <rPr>
        <rFont val="Calibri"/>
        <color theme="1"/>
        <sz val="11.0"/>
      </rPr>
      <t xml:space="preserve">status) </t>
    </r>
  </si>
  <si>
    <t>SAM, MAM, NORMAL, OVERWEIGHT,obese</t>
  </si>
  <si>
    <t>Severe Underweight (SAM): z-score &lt; -3
Moderate Underweight (MAM): z-score ≥ -3 to &lt; -2
Normal: z-score ≥ -2 to ≤ +2
Overweight: z-score &gt; +2 SD to ≤ +3 SD
Obese: &gt; +3 SD</t>
  </si>
  <si>
    <t>Height for age  (Stunting status):</t>
  </si>
  <si>
    <t xml:space="preserve">
If Does the child have bilateral pitting edema? Yes show as SAM irrespective of any weight and height</t>
  </si>
  <si>
    <t>Severely Stunted, Moderately Stunted, Normal</t>
  </si>
  <si>
    <r>
      <rPr>
        <rFont val="Arial"/>
        <color theme="1"/>
        <sz val="10.0"/>
      </rPr>
      <t xml:space="preserve">Severely Stunted: z-score &lt; -3
Moderately Stunted: z-score ≥ -3 to &lt; -2
Normal: z-score ≥ -2 </t>
    </r>
    <r>
      <rPr>
        <rFont val="Arial"/>
        <strike/>
        <color theme="1"/>
        <sz val="10.0"/>
      </rPr>
      <t>to ≤ +3</t>
    </r>
    <r>
      <rPr>
        <rFont val="Arial"/>
        <color theme="1"/>
        <sz val="10.0"/>
      </rPr>
      <t xml:space="preserve">
</t>
    </r>
    <r>
      <rPr>
        <rFont val="Arial"/>
        <strike/>
        <color theme="1"/>
        <sz val="10.0"/>
      </rPr>
      <t>Over height (Tall): z-score &gt; +3</t>
    </r>
    <r>
      <rPr>
        <rFont val="Arial"/>
        <color theme="1"/>
        <sz val="10.0"/>
      </rPr>
      <t xml:space="preserve">
</t>
    </r>
  </si>
  <si>
    <t>At the end of six months (This entire group of question will be shown only when child age is greater than 6 months</t>
  </si>
  <si>
    <t>Did you exclusively breasfeed your child till 6 months?</t>
  </si>
  <si>
    <t>Yes,No</t>
  </si>
  <si>
    <t>Have you started your child on complementary feeding?</t>
  </si>
  <si>
    <t>Did you exclusively breasfeed your child till 6 months? = Yes</t>
  </si>
  <si>
    <t xml:space="preserve">Yes 
No
</t>
  </si>
  <si>
    <t>If No, has counselling been given</t>
  </si>
  <si>
    <t>Have you started your child on complementary feeding? = No</t>
  </si>
  <si>
    <t>Which month was complementary feeding started then?</t>
  </si>
  <si>
    <t>IFA Administration</t>
  </si>
  <si>
    <t>Are you giving your child IFA syrup regularly?</t>
  </si>
  <si>
    <t xml:space="preserve">Yes 
No
</t>
  </si>
  <si>
    <t>Are you giving your child IFA syrup regularly? = No</t>
  </si>
  <si>
    <t>IFA syrup weekly twice</t>
  </si>
  <si>
    <t>Are you giving your child IFA syrup regularly? = Yes</t>
  </si>
  <si>
    <t>Starting from 0.5 years till 2.5 years every 6 months</t>
  </si>
  <si>
    <t>Vitamin A and Deworming</t>
  </si>
  <si>
    <t>VItamin A (Once in six months)</t>
  </si>
  <si>
    <t>Starting from 1.5 years till 5 years every 6 months</t>
  </si>
  <si>
    <t>Deworming</t>
  </si>
  <si>
    <t>Mothers counselling for Child Health</t>
  </si>
  <si>
    <t>Exclusive Breastfeeding</t>
  </si>
  <si>
    <t>1.Exclusive Breastfeeding
2.Lactation Counselling
3.Bonding with the Baby
4.Danger Signs in Neonates and Infants
5.Immunization
6.Complementary feeding
7.Diarrhea Management
8.Importance of Vitamin A, IFA Supplementation, and Deworming
9.Early Childhood development and Milestones
10.Holistic Development and Positive Parenting
A Nutrition - Dietary Diversity and Supplementation
B Self-Hygiene and Sanitation
C.Maternal Benefit schemes/services
D.Family Planning and Birth Spacing
E.Mental Health and Well-being</t>
  </si>
  <si>
    <t xml:space="preserve">Should not be able to select a topic again in the next Child Followup, after once it is selected
</t>
  </si>
  <si>
    <t>Husband
Mother
Mother-in-Law
Others</t>
  </si>
  <si>
    <t>Other Family member, please specify</t>
  </si>
  <si>
    <t xml:space="preserve">Follow up scheduling </t>
  </si>
  <si>
    <t>Danger Signs post delivery</t>
  </si>
  <si>
    <t>Follow Up Required</t>
  </si>
  <si>
    <t>If Current Date is not between 40 and 80 days and Weight for Age not = 'Severe Underweight (SAM)'</t>
  </si>
  <si>
    <t xml:space="preserve">When do you want to do the next visit ? </t>
  </si>
  <si>
    <t>Follow Up Required = Yes</t>
  </si>
  <si>
    <r>
      <rPr>
        <rFont val="Calibri"/>
        <b/>
        <color theme="1"/>
        <sz val="11.0"/>
      </rPr>
      <t xml:space="preserve">Display order - </t>
    </r>
    <r>
      <rPr>
        <rFont val="Calibri"/>
        <b/>
        <color rgb="FF000000"/>
        <sz val="11.0"/>
      </rPr>
      <t>Forms</t>
    </r>
  </si>
  <si>
    <t>Temporarily Migrated 
Death 
Not known 
Other</t>
  </si>
  <si>
    <t>Show from Follow up 6: 42nd Day</t>
  </si>
  <si>
    <t>Child died
Neonatal period completed
1 year completed
Others</t>
  </si>
  <si>
    <t>Reason for child's death</t>
  </si>
  <si>
    <t>Why are you removing the case? = death of child'</t>
  </si>
  <si>
    <t>Pre-term birth complications
Birth Asphyxia/Trauma
Pneumonia
Respiratory Tract Infections
Diarrhea
Malaria
Congenital Heart Disease
Congenital Anomalies
Accidents
Reason not known
Others</t>
  </si>
  <si>
    <t>if other reason is selected in the previous question</t>
  </si>
  <si>
    <t>Date of child's death</t>
  </si>
  <si>
    <t>BCG (after birth)</t>
  </si>
  <si>
    <t>OPV-Polio 0  (after birth)</t>
  </si>
  <si>
    <t>Hepatitis B (after birth)</t>
  </si>
  <si>
    <t>OPV-Polio 1 (after 1.5 month)</t>
  </si>
  <si>
    <t>IPV 1 (after 1.5 month)</t>
  </si>
  <si>
    <t>Pentavalent  1 (after 1.5 month)</t>
  </si>
  <si>
    <t>PCV 1  (after 1.5 month)</t>
  </si>
  <si>
    <t>Rota 1  (after 1.5 month)</t>
  </si>
  <si>
    <t>OPV Polio-2 (2.5 months)</t>
  </si>
  <si>
    <t>Pentavalent - 2 (2.5 months)</t>
  </si>
  <si>
    <t>Rota - 2 (2.5 months)</t>
  </si>
  <si>
    <t>OPV Polio-3 (3.5 months)</t>
  </si>
  <si>
    <t>IPV- 2 (3.5 months)</t>
  </si>
  <si>
    <t>Pentavalent - 3 (3.5 months)</t>
  </si>
  <si>
    <t>PCV - 2 (3.5 months)</t>
  </si>
  <si>
    <t>Rota - 3 (3.5 months)</t>
  </si>
  <si>
    <t>IPV- 3 (9 months)</t>
  </si>
  <si>
    <t>PCV- 3 (9 months)</t>
  </si>
  <si>
    <t>Measles and Rubella(After 9 month)</t>
  </si>
  <si>
    <t>JE (After 9 month)</t>
  </si>
  <si>
    <t>OPV Polio-4 (16-24 months)</t>
  </si>
  <si>
    <t>Measles and Rubella(16-24 months)</t>
  </si>
  <si>
    <t>JE-2 (16-24 months)</t>
  </si>
  <si>
    <t>DPT-1 (16-24 months)</t>
  </si>
  <si>
    <t>Name of Vaccine</t>
  </si>
  <si>
    <t xml:space="preserve">Recommended Age </t>
  </si>
  <si>
    <t>Due by (days)</t>
  </si>
  <si>
    <t>Critical (days)</t>
  </si>
  <si>
    <t>Overdue (days)</t>
  </si>
  <si>
    <t>Expired (days)</t>
  </si>
  <si>
    <t>Notes</t>
  </si>
  <si>
    <t>At Birth</t>
  </si>
  <si>
    <t>Day 28</t>
  </si>
  <si>
    <t>Day 90</t>
  </si>
  <si>
    <t>Day 365</t>
  </si>
  <si>
    <t>1 Year of Age</t>
  </si>
  <si>
    <t>Universally Mandatory</t>
  </si>
  <si>
    <t>(0 - 28) Due, (28 - 90) Critical, (90 - 365) Over Due</t>
  </si>
  <si>
    <t>Birth</t>
  </si>
  <si>
    <t>At Birth (within 15 days)</t>
  </si>
  <si>
    <t>Day 15</t>
  </si>
  <si>
    <t>5 Years of Age</t>
  </si>
  <si>
    <t>At Birth (within 24 hrs)</t>
  </si>
  <si>
    <t>Day 7</t>
  </si>
  <si>
    <t>Cannot be given after Day 28</t>
  </si>
  <si>
    <t>6 Weeks (Day 42)</t>
  </si>
  <si>
    <t>Day 70</t>
  </si>
  <si>
    <t>Day 112</t>
  </si>
  <si>
    <t>(42 -70) Due, (70 - 112) Critical, (112 - 365) Over Due</t>
  </si>
  <si>
    <t>5 Years of Age (Booster at 9 months)</t>
  </si>
  <si>
    <t xml:space="preserve">Conditional/Area-Specific but rolled out in Phased Manner </t>
  </si>
  <si>
    <t>Day 270</t>
  </si>
  <si>
    <t>Induced/Mandatory but Rolled out in a Phased Manner</t>
  </si>
  <si>
    <t>10 Weeks (Day 70)</t>
  </si>
  <si>
    <t>Day 98</t>
  </si>
  <si>
    <t>Day 140</t>
  </si>
  <si>
    <t>14 Weeks (Day 98)</t>
  </si>
  <si>
    <t>Day 126</t>
  </si>
  <si>
    <t>Day 182</t>
  </si>
  <si>
    <t>3.5 months)</t>
  </si>
  <si>
    <t xml:space="preserve">1 Year of Age </t>
  </si>
  <si>
    <t>9 Months</t>
  </si>
  <si>
    <t>12 months</t>
  </si>
  <si>
    <t>15 Months</t>
  </si>
  <si>
    <t>24 Months</t>
  </si>
  <si>
    <t>9 months</t>
  </si>
  <si>
    <t>252-365</t>
  </si>
  <si>
    <t>9-12 Months</t>
  </si>
  <si>
    <t>15 Years of Age (Conditional)</t>
  </si>
  <si>
    <t>Conditional/Area-Specific</t>
  </si>
  <si>
    <t>after 9 months</t>
  </si>
  <si>
    <t>16–24 Months</t>
  </si>
  <si>
    <t>27 months</t>
  </si>
  <si>
    <t>30 Months</t>
  </si>
  <si>
    <t>5 Years</t>
  </si>
  <si>
    <t>7 Years of Age</t>
  </si>
  <si>
    <t>448-730</t>
  </si>
  <si>
    <t>16-24 months</t>
  </si>
  <si>
    <t xml:space="preserve">Vaccine Tracking </t>
  </si>
  <si>
    <t>Definition</t>
  </si>
  <si>
    <t>Purpose</t>
  </si>
  <si>
    <t>Example</t>
  </si>
  <si>
    <t>Recommended Age</t>
  </si>
  <si>
    <t>The ideal age or time (in days/weeks/months) when the vaccine should be given to maximize its effectiveness</t>
  </si>
  <si>
    <t>Sets the official schedule for maximum immunological benefit</t>
  </si>
  <si>
    <t>The end of a narrow, initial window immediately following the recommended age</t>
  </si>
  <si>
    <t>Indicates the period of ideal timeliness; used for planning daily sessions</t>
  </si>
  <si>
    <t>(0 - 28)</t>
  </si>
  <si>
    <t>Critical (Days)</t>
  </si>
  <si>
    <t>The window immediately before the vaccine is considered overdue</t>
  </si>
  <si>
    <t>Flags the next high-priority period for the health worker to retrieve the child</t>
  </si>
  <si>
    <t>(29 - 90)</t>
  </si>
  <si>
    <t>Overdue (Days)</t>
  </si>
  <si>
    <t>The period after the critical window, but before the final expiry date</t>
  </si>
  <si>
    <t>Identifies children who are defaulting and requires intensive follow-up and tracking (e.g., in the PICME system)</t>
  </si>
  <si>
    <t>(91 - 365)</t>
  </si>
  <si>
    <t>Expired (Days/Age)</t>
  </si>
  <si>
    <t>The maximum age/date beyond which the vaccine cannot be administered under the routine schedule.</t>
  </si>
  <si>
    <t>Marks the absolute deadline; after this, the dose is considered invalid and the child is permanently missed for that specific antigen</t>
  </si>
  <si>
    <t>Note</t>
  </si>
  <si>
    <t>Name of the beneficiary</t>
  </si>
  <si>
    <t>Subject</t>
  </si>
  <si>
    <t>Type of beneficiary</t>
  </si>
  <si>
    <t>Preg Women, Mother, Child</t>
  </si>
  <si>
    <t>Type of Referral</t>
  </si>
  <si>
    <r>
      <rPr>
        <rFont val="Arial"/>
        <color theme="1"/>
      </rPr>
      <t xml:space="preserve">1. ANC PNC and Child Care
2. High Risk Follow-Up
2. Danger Sign 
3. Mental Health 
</t>
    </r>
    <r>
      <rPr>
        <rFont val="Arial"/>
        <color rgb="FF0000FF"/>
      </rPr>
      <t>4. Other</t>
    </r>
  </si>
  <si>
    <t>Other type of referral, please specify</t>
  </si>
  <si>
    <t>Type of Referral = Other</t>
  </si>
  <si>
    <t>Reason for referral</t>
  </si>
  <si>
    <t>Place of Referral</t>
  </si>
  <si>
    <t>Does this case need another follow up visit or additional help for this issue?</t>
  </si>
  <si>
    <t>Yes, no</t>
  </si>
  <si>
    <t>Kindly fill the exit form</t>
  </si>
  <si>
    <t>Text ReadOnly</t>
  </si>
  <si>
    <t>If no is selected in 'does this case need another follow up visit or additional help for this issue'</t>
  </si>
  <si>
    <t>Date of next follow up visit</t>
  </si>
  <si>
    <t>If yes is selected in 'does this case need another follow up visit or additional help for this issue'</t>
  </si>
  <si>
    <t>Cannot be past date</t>
  </si>
  <si>
    <t xml:space="preserve">Accompanied by </t>
  </si>
  <si>
    <t>Multi Select</t>
  </si>
  <si>
    <t>Aanganwadi worker
Supervisor
ASHA worker
None
Ekam Staff
VHN
Ambulance Staff 
Other</t>
  </si>
  <si>
    <t>Accompanied by others, please specify</t>
  </si>
  <si>
    <t>Accompanied by  = Other</t>
  </si>
  <si>
    <t>Did you go to the place referred?</t>
  </si>
  <si>
    <t>Yes, referred place
Yes, another place
Went to take service but didn't get service
No</t>
  </si>
  <si>
    <t>Date of visit to the Referred Place</t>
  </si>
  <si>
    <t>If, Did you go to the place referred? = Yes</t>
  </si>
  <si>
    <t>Reason for not going to the referred place</t>
  </si>
  <si>
    <t>Did you go to the place referred? = Went to take service but didn't get service or
No</t>
  </si>
  <si>
    <t>Other, please specify</t>
  </si>
  <si>
    <t>Accompanied by = Other</t>
  </si>
  <si>
    <t>Referral Remarks during the visit</t>
  </si>
  <si>
    <t xml:space="preserve">Beneficiary Refferal status </t>
  </si>
  <si>
    <t>Dropped, Resolved,Open</t>
  </si>
  <si>
    <t>Resolution Remark</t>
  </si>
  <si>
    <t>Beneficiary Refferal status =Resolved</t>
  </si>
  <si>
    <t>Reason for dropping the case</t>
  </si>
  <si>
    <t>Beneficiary Refferal status =Dropped</t>
  </si>
  <si>
    <t>Beneficiary Refferal status = Open</t>
  </si>
  <si>
    <t>Do you want to upload any photos, videos, attendance sheet, testimonials etc?</t>
  </si>
  <si>
    <t xml:space="preserve">If Refferal status =Resolved </t>
  </si>
  <si>
    <t>Link to upload relevant documents (pdf, photos and videos)</t>
  </si>
  <si>
    <t>File</t>
  </si>
  <si>
    <t>Do you want to upload any photos, videos, attendance sheet, testimonials etc? = Yes</t>
  </si>
  <si>
    <t>Does this case need another follow up visit or additional help for this issue? = Yes</t>
  </si>
  <si>
    <r>
      <rPr>
        <rFont val="Calibri"/>
        <b/>
        <color theme="1"/>
        <sz val="11.0"/>
      </rPr>
      <t xml:space="preserve">Display order - </t>
    </r>
    <r>
      <rPr>
        <rFont val="Calibri"/>
        <b/>
        <color rgb="FF000000"/>
        <sz val="11.0"/>
      </rPr>
      <t>Forms</t>
    </r>
  </si>
  <si>
    <t>Reason for exit</t>
  </si>
  <si>
    <t>Dropped
Resolved</t>
  </si>
  <si>
    <t>Name of the child</t>
  </si>
  <si>
    <t xml:space="preserve">Individual registration. </t>
  </si>
  <si>
    <t>Date of Registration</t>
  </si>
  <si>
    <t>Father's Name</t>
  </si>
  <si>
    <t>Father's Occupation</t>
  </si>
  <si>
    <t>Mother's Name</t>
  </si>
  <si>
    <t>Mother's Occupation</t>
  </si>
  <si>
    <t>Average Family Monthly Income</t>
  </si>
  <si>
    <t xml:space="preserve">Address </t>
  </si>
  <si>
    <t>Contact Number</t>
  </si>
  <si>
    <t>Alternate Contact Number</t>
  </si>
  <si>
    <t>Treatment</t>
  </si>
  <si>
    <t>Previous Hospital Treated</t>
  </si>
  <si>
    <t>Treating Doctor Name</t>
  </si>
  <si>
    <t>Referred by</t>
  </si>
  <si>
    <t>1. Self or Family Members
2. Ekam Staff (Current)
3. Ekam Staff (Old)
4. Government Hospital (DEIC, SNCU, Doctors)
5. Private Hospital
6. Community stakeholders 
7. Volunteers
8. Committee Members
9. Other NGOs
10. Other</t>
  </si>
  <si>
    <t>Other reffered, please specify</t>
  </si>
  <si>
    <t>Referred by = Other</t>
  </si>
  <si>
    <t>Name of Ekam Staff</t>
  </si>
  <si>
    <t>if Reffered by if option 2 and 3</t>
  </si>
  <si>
    <t>Medical Opinion obtained</t>
  </si>
  <si>
    <t>Medical Opinion given by (Doctor's Name)</t>
  </si>
  <si>
    <t>If Medical Opinion obtained = Yes</t>
  </si>
  <si>
    <t>Disease Category</t>
  </si>
  <si>
    <t>Blood Disorders
Cardiac Diseases
Dental Disorders
Ear Nose Throat Disorders
Endocrine Disorders
Eye Disorders
Gastrointestinal Disorders
Genito Urinary Problem
Neurological Diseases
Respiratory Diseases
Other</t>
  </si>
  <si>
    <t>Other disease, please specify</t>
  </si>
  <si>
    <t>Disease Category = Other</t>
  </si>
  <si>
    <t>Supporting Medical Documents of the child</t>
  </si>
  <si>
    <t>Diagnosis</t>
  </si>
  <si>
    <t>Treatment Recommended</t>
  </si>
  <si>
    <t>Type of Support Requested</t>
  </si>
  <si>
    <t>Drug and Injection
Hospitalization
Lab Investigation
Equipment Support</t>
  </si>
  <si>
    <t>Date of followup</t>
  </si>
  <si>
    <t>Mode of follow-up</t>
  </si>
  <si>
    <t>Physical Followup
Phone Followup</t>
  </si>
  <si>
    <t>Person who followed up</t>
  </si>
  <si>
    <t>Follow up Remarks</t>
  </si>
  <si>
    <t xml:space="preserve">Source of Support </t>
  </si>
  <si>
    <t>Ekam
Ekam and Other Organization
Ekam and Govt Insurance
Govt Hospital and Govt Insurance
Other organisation
Private Hospital and Govt Insurance
Self Support</t>
  </si>
  <si>
    <t>Other Organisation, please specify</t>
  </si>
  <si>
    <t>Source of Support  = Other organisation</t>
  </si>
  <si>
    <t>Fund Amount supported by Ekam</t>
  </si>
  <si>
    <t>If Source of Support = If Ekam
Ekam  and Other Organization
Ekam and Govt Insurance is selected for source of support</t>
  </si>
  <si>
    <t>Cannot be negative</t>
  </si>
  <si>
    <t>Project under which child funding is supported</t>
  </si>
  <si>
    <t>Organisation under which child funding is supported</t>
  </si>
  <si>
    <t>Treatment Status</t>
  </si>
  <si>
    <t>Treatment completed
Treatment initiated
Treatment on Hold
Waiting for treatment
Treatment followup stopped</t>
  </si>
  <si>
    <t>Date of Admission</t>
  </si>
  <si>
    <t xml:space="preserve">If Treatment status = Treatment completed </t>
  </si>
  <si>
    <t>Was there a surgery done?</t>
  </si>
  <si>
    <t>Date of Surgery</t>
  </si>
  <si>
    <t>If Was there a surgery done?= yes</t>
  </si>
  <si>
    <t xml:space="preserve">Date of Discharge </t>
  </si>
  <si>
    <t>Treatment Resolution Remarks</t>
  </si>
  <si>
    <t>if Treatment completed or Treatment followup stopped</t>
  </si>
  <si>
    <t>Treament completed
Treatment Followup stopped
Other</t>
  </si>
  <si>
    <t>Reason for exit = Other</t>
  </si>
  <si>
    <t>Name: 
Project Name_Type of meeting</t>
  </si>
  <si>
    <t>Address</t>
  </si>
  <si>
    <t>Project Name</t>
  </si>
  <si>
    <t>1. HCL Project 
2. Cognizant Project
3. Sonalika Project
4. Five Star Project
5. Virudhunagar Project
6. ATMG Project 
7. Other</t>
  </si>
  <si>
    <t>Other Project, please specify</t>
  </si>
  <si>
    <t>Project Name =Other</t>
  </si>
  <si>
    <t>Stakeholder Attending meeting</t>
  </si>
  <si>
    <t>Populate with Individual list</t>
  </si>
  <si>
    <t>Number of Stakholder Attending meeting</t>
  </si>
  <si>
    <t>auto populate with number of selected individual</t>
  </si>
  <si>
    <t>Place</t>
  </si>
  <si>
    <t>Time from</t>
  </si>
  <si>
    <t>Time</t>
  </si>
  <si>
    <t>Time To</t>
  </si>
  <si>
    <t>cannot be before Time From</t>
  </si>
  <si>
    <t>Duration (autopopulated)</t>
  </si>
  <si>
    <t>Autocalculate from Time From
Time To</t>
  </si>
  <si>
    <t>Type of meeting</t>
  </si>
  <si>
    <t>Donor Meeting
Stakeholder Meeting
Committee Meeting
VHSNC Meeting
Internal Review Meeting
Other</t>
  </si>
  <si>
    <t>Other type of meeting, please specify</t>
  </si>
  <si>
    <t>Type of meeting = Other</t>
  </si>
  <si>
    <t>Type of Stakeholders</t>
  </si>
  <si>
    <r>
      <rPr>
        <rFont val="Arial"/>
        <strike/>
        <color theme="1"/>
      </rPr>
      <t xml:space="preserve">Pregnant women
Mothers
Family members
Primary School Children
Adolescents
Community members
Doctors
</t>
    </r>
    <r>
      <rPr>
        <rFont val="Arial"/>
        <b/>
        <strike/>
        <color rgb="FF0000FF"/>
      </rPr>
      <t>Nurses (Staff nurses, SHN, CHN, VHN)</t>
    </r>
    <r>
      <rPr>
        <rFont val="Arial"/>
        <strike/>
        <color theme="1"/>
      </rPr>
      <t xml:space="preserve"> 
Anganwadi workers 
</t>
    </r>
    <r>
      <rPr>
        <rFont val="Arial"/>
        <b/>
        <strike/>
        <color rgb="FF0000FF"/>
      </rPr>
      <t>Frontline workers (MLHP, WHV)</t>
    </r>
    <r>
      <rPr>
        <rFont val="Arial"/>
        <strike/>
        <color theme="1"/>
      </rPr>
      <t xml:space="preserve">
Self-Help Group
Panchayat stakeholders
Other
</t>
    </r>
  </si>
  <si>
    <t>Other type of Stakeholder,please specify</t>
  </si>
  <si>
    <t>Type of Stakeholders = Other</t>
  </si>
  <si>
    <t>Number of participants by beneficairy type</t>
  </si>
  <si>
    <t>Question Group. 
Need to ask for each of the stakeholder selected.</t>
  </si>
  <si>
    <t>Meeting Minutes file with action points (excel)</t>
  </si>
  <si>
    <t>Allow only 5 files</t>
  </si>
  <si>
    <t xml:space="preserve">Date of issue discussed </t>
  </si>
  <si>
    <t xml:space="preserve">Issue (Repeatable Question Group)
</t>
  </si>
  <si>
    <t xml:space="preserve">Issue discussed </t>
  </si>
  <si>
    <t>Village Infrastructure
ICDS Infrastructure
HSC Infrastructure
PHC Infrastructure
Water and Sanitation Issues
School Infrastructure
Social Issues
Service Provision Issues
Community Sensitization and Awareness
Financial Support and Guidance
Other</t>
  </si>
  <si>
    <t>Others Specify</t>
  </si>
  <si>
    <t>Issue discussed  = Other</t>
  </si>
  <si>
    <t>Status of the issue</t>
  </si>
  <si>
    <t xml:space="preserve">Solved 
Ongoing
Dropped
</t>
  </si>
  <si>
    <t>These details will be filled for all the Issues selected in the Issue question</t>
  </si>
  <si>
    <t>Action taken (solved)</t>
  </si>
  <si>
    <t xml:space="preserve">If status =Solved 
</t>
  </si>
  <si>
    <t xml:space="preserve">Issue closed date 
</t>
  </si>
  <si>
    <t>Date (Cannot be before Issue Discussed date)</t>
  </si>
  <si>
    <t>Status of the issue =  solved or dropped</t>
  </si>
  <si>
    <t>Duration of issued solved</t>
  </si>
  <si>
    <t>Auto calculated (issue close date- date of issue discussed)</t>
  </si>
  <si>
    <t xml:space="preserve">Reasons for Dropped </t>
  </si>
  <si>
    <t xml:space="preserve">If status = dropped </t>
  </si>
  <si>
    <t>Upload of relevant docs for action taken if status is solved</t>
  </si>
  <si>
    <t>if status = solved</t>
  </si>
  <si>
    <t>Name: 
Project Name_Type of Awareness</t>
  </si>
  <si>
    <t>Participant</t>
  </si>
  <si>
    <t>Number of Attendees</t>
  </si>
  <si>
    <t xml:space="preserve">Government Medical College Hospital
Government Hospital
Block PHC
PHC
HSC
AWC
Community
School
</t>
  </si>
  <si>
    <t>Time From</t>
  </si>
  <si>
    <t>time</t>
  </si>
  <si>
    <t>Type of Awareness</t>
  </si>
  <si>
    <t xml:space="preserve">Maternal and Child Health Awareness
Adolecent Awareness
Awareness for Eligible Couples
Health-marker Day
Others, specify
</t>
  </si>
  <si>
    <t>Awareness Topic</t>
  </si>
  <si>
    <t xml:space="preserve">Antenatal and Postnatal Care
Danger signs in Pregnant women and Mothers
Birth preparedness and Complication Readiness
Home-based Newborn Care
Kangaroo Mother Care
Anemia
Nutrition
Lactation counselling
Child Safety, POSCO Act
Adolescent Health and Hygiene
Prenatal Counselling for Eligible Couples
Awarness on NCD in Pregnant women and mothers
Government Schemes and Services related to MCH
AYUSH awareness
Maternal Mental Health and Wellbeing
Others, specify
</t>
  </si>
  <si>
    <t>Trainer name</t>
  </si>
  <si>
    <t>Trainer Details</t>
  </si>
  <si>
    <t>Ekam Staff 
Doctor
Sector Health Nurse, Community Health Nurse, Village Health Nurse
Anganwadi Worker
RBSK Doctor
School teacher
Expert trainer of Ekam
Trainer from Other NGO
Others, place to specify</t>
  </si>
  <si>
    <t>Type of beneficiaries</t>
  </si>
  <si>
    <t>Pregnant women
Mothers
Family members
Primary School Children
Adolescents
Community members
Doctors
Nurses (SHN, CHN, VHN)
Anganwadi workers 
Frontline workers (MLHP, WHV)
Self-Help Group
Panchayat stakeholders
Others, specify</t>
  </si>
  <si>
    <t>Question Group start (Repeatable)</t>
  </si>
  <si>
    <t xml:space="preserve"> Fixed based on above selected types</t>
  </si>
  <si>
    <t>Question group end</t>
  </si>
  <si>
    <t>Link for uploading photos, videos, attendance sheet, testimonials etc</t>
  </si>
  <si>
    <t xml:space="preserve">Do you want to upload any photos, videos, attendance sheet, testimonials etc? = Yes
Make it Multiselect and allow only 5 files </t>
  </si>
  <si>
    <t xml:space="preserve">Project Name </t>
  </si>
  <si>
    <t>Place of benefit</t>
  </si>
  <si>
    <t>List of items</t>
  </si>
  <si>
    <t>Vendor quotation 1 (sealed and signed)</t>
  </si>
  <si>
    <t>Vendor quotation 2 (sealed and signed)</t>
  </si>
  <si>
    <t>Vendor quotation 3 (sealed and signed)</t>
  </si>
  <si>
    <t>Finalized vendor quotation</t>
  </si>
  <si>
    <t xml:space="preserve">Mail approvals </t>
  </si>
  <si>
    <t>Purchase orders</t>
  </si>
  <si>
    <t>Invoice copies</t>
  </si>
  <si>
    <t>Delivery and installation details</t>
  </si>
  <si>
    <t>Hospital Acknowledgement letters and testimonials</t>
  </si>
  <si>
    <t>Impact numbers sheet</t>
  </si>
  <si>
    <t>Beneficiary Count</t>
  </si>
  <si>
    <t>Should be only Integer</t>
  </si>
  <si>
    <t>Name: 
Project Name_Type of training</t>
  </si>
  <si>
    <t>Project name</t>
  </si>
  <si>
    <t>Other Project name, please specify</t>
  </si>
  <si>
    <t>If Project Name= Other</t>
  </si>
  <si>
    <t>Place type</t>
  </si>
  <si>
    <t>Government Medical College Hospital
Government Hospital
Block PHC
PHC
HSC
AWC
Community
School
Other</t>
  </si>
  <si>
    <t>Other place, please specify</t>
  </si>
  <si>
    <t>Place type = Other</t>
  </si>
  <si>
    <t>Time To cannot be before Time From</t>
  </si>
  <si>
    <t>Autocaculate</t>
  </si>
  <si>
    <t>Trainer Name</t>
  </si>
  <si>
    <t>Type of training</t>
  </si>
  <si>
    <t>Stakeholder training
Staff training
Volunteer training
Other</t>
  </si>
  <si>
    <t>Other training type,please specify</t>
  </si>
  <si>
    <t>Type of training = Other</t>
  </si>
  <si>
    <t>Training Topic</t>
  </si>
  <si>
    <t>Participant Details</t>
  </si>
  <si>
    <t>Types of participants</t>
  </si>
  <si>
    <r>
      <rPr>
        <rFont val="Arial"/>
        <strike/>
        <color theme="1"/>
      </rPr>
      <t xml:space="preserve">Community Health Workers
Committee Members
</t>
    </r>
    <r>
      <rPr>
        <rFont val="Arial"/>
        <b/>
        <strike/>
        <color rgb="FF0000FF"/>
      </rPr>
      <t xml:space="preserve">Community Members </t>
    </r>
    <r>
      <rPr>
        <rFont val="Arial"/>
        <strike/>
        <color theme="1"/>
      </rPr>
      <t xml:space="preserve">
Interns
College students
School students
Doctors
Nurses </t>
    </r>
    <r>
      <rPr>
        <rFont val="Arial"/>
        <b/>
        <strike/>
        <color rgb="FF0000FF"/>
      </rPr>
      <t>(Staff nurses,</t>
    </r>
    <r>
      <rPr>
        <rFont val="Arial"/>
        <strike/>
        <color theme="1"/>
      </rPr>
      <t xml:space="preserve"> SHN, CHN, VHN) 
Anganwadi workers (PO, CDPO, AWC)
Frontline workers (</t>
    </r>
    <r>
      <rPr>
        <rFont val="Arial"/>
        <b/>
        <strike/>
        <color rgb="FF0000FF"/>
      </rPr>
      <t>ASHA's</t>
    </r>
    <r>
      <rPr>
        <rFont val="Arial"/>
        <strike/>
        <color theme="1"/>
      </rPr>
      <t xml:space="preserve"> , MLHP, WHV)
Self-Help Group
Panchayat stakeholders
Other
</t>
    </r>
  </si>
  <si>
    <t>Other participants, please specify</t>
  </si>
  <si>
    <t>Types of participants = other</t>
  </si>
  <si>
    <t>Repetable Question
for each of the participants</t>
  </si>
  <si>
    <t>This will be filled for each of the participants selected</t>
  </si>
  <si>
    <t xml:space="preserve">Link for uploading the training report, assessement forms (word/ pdf), and photos
</t>
  </si>
  <si>
    <t>File multi select</t>
  </si>
  <si>
    <t>Do you want to upload any photos, videos, attendance sheet, testimonials etc? = Yes
Allow only 5 files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</si>
</sst>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1">
    <font>
      <sz val="10.0"/>
      <color rgb="FF000000"/>
      <name val="Arial"/>
      <scheme val="minor"/>
    </font>
    <font>
      <color theme="1"/>
      <name val="Arial"/>
    </font>
    <font>
      <u/>
      <color theme="1"/>
      <name val="Arial"/>
    </font>
    <font>
      <u/>
      <color theme="1"/>
      <name val="Arial"/>
    </font>
    <font>
      <b/>
      <sz val="11.0"/>
      <color theme="1"/>
      <name val="Calibri"/>
    </font>
    <font>
      <sz val="11.0"/>
      <color theme="1"/>
      <name val="Calibri"/>
    </font>
    <font>
      <sz val="11.0"/>
      <color theme="1"/>
      <name val="Arial"/>
      <scheme val="minor"/>
    </font>
    <font>
      <sz val="11.0"/>
      <color theme="1"/>
      <name val="Arial"/>
    </font>
    <font>
      <b/>
      <sz val="18.0"/>
      <color theme="1"/>
      <name val="Arial"/>
      <scheme val="minor"/>
    </font>
    <font>
      <b/>
      <sz val="11.0"/>
      <color theme="1"/>
      <name val="Arial"/>
    </font>
    <font/>
    <font>
      <b/>
      <u/>
      <sz val="11.0"/>
      <color rgb="FF1155CC"/>
      <name val="Arial"/>
    </font>
    <font>
      <b/>
      <color theme="1"/>
      <name val="Arial"/>
    </font>
    <font>
      <color theme="1"/>
      <name val="Arial"/>
      <scheme val="minor"/>
    </font>
    <font>
      <color rgb="FF000000"/>
      <name val="Arial"/>
    </font>
    <font>
      <sz val="11.0"/>
      <color rgb="FF434343"/>
      <name val="Arial"/>
    </font>
    <font>
      <b/>
      <sz val="9.0"/>
      <color theme="1"/>
      <name val="Arial"/>
      <scheme val="minor"/>
    </font>
    <font>
      <sz val="9.0"/>
      <color theme="1"/>
      <name val="Arial"/>
      <scheme val="minor"/>
    </font>
    <font>
      <sz val="9.0"/>
      <color rgb="FF000000"/>
      <name val="Arial"/>
      <scheme val="minor"/>
    </font>
    <font>
      <b/>
      <sz val="9.0"/>
      <color rgb="FF000000"/>
      <name val="Arial"/>
      <scheme val="minor"/>
    </font>
    <font>
      <sz val="10.0"/>
      <color theme="1"/>
      <name val="Arial"/>
    </font>
    <font>
      <b/>
      <sz val="15.0"/>
      <color theme="1"/>
      <name val="Arial"/>
    </font>
    <font>
      <b/>
      <sz val="10.0"/>
      <color theme="1"/>
      <name val="Arial"/>
    </font>
    <font>
      <b/>
      <strike/>
      <sz val="10.0"/>
      <color theme="1"/>
      <name val="Arial"/>
    </font>
    <font>
      <strike/>
      <sz val="10.0"/>
      <color theme="1"/>
      <name val="Arial"/>
    </font>
    <font>
      <strike/>
      <color theme="1"/>
      <name val="Arial"/>
      <scheme val="minor"/>
    </font>
    <font>
      <sz val="11.0"/>
      <color rgb="FF000000"/>
      <name val="Calibri"/>
    </font>
    <font>
      <strike/>
      <sz val="11.0"/>
      <color rgb="FF000000"/>
      <name val="Calibri"/>
    </font>
    <font>
      <b/>
      <sz val="10.0"/>
      <color rgb="FF0000FF"/>
      <name val="Arial"/>
    </font>
    <font>
      <b/>
      <color theme="1"/>
      <name val="Arial"/>
      <scheme val="minor"/>
    </font>
    <font>
      <u/>
      <color rgb="FF0000FF"/>
    </font>
    <font>
      <b/>
      <color rgb="FFFF0000"/>
      <name val="Arial"/>
      <scheme val="minor"/>
    </font>
    <font>
      <u/>
      <sz val="11.0"/>
      <color rgb="FF444746"/>
      <name val="&quot;Google Sans&quot;"/>
    </font>
    <font>
      <sz val="10.0"/>
      <color rgb="FFFF0000"/>
      <name val="Arial"/>
    </font>
    <font>
      <b/>
      <color rgb="FF000000"/>
      <name val="Arial"/>
    </font>
    <font>
      <color rgb="FF000000"/>
      <name val="Bahnschrift"/>
    </font>
    <font>
      <sz val="15.0"/>
      <color theme="1"/>
      <name val="Arial"/>
    </font>
    <font>
      <strike/>
      <sz val="11.0"/>
      <color theme="1"/>
      <name val="Calibri"/>
    </font>
    <font>
      <strike/>
      <color theme="1"/>
      <name val="Arial"/>
    </font>
    <font>
      <sz val="11.0"/>
      <color rgb="FF444746"/>
      <name val="&quot;Google Sans&quot;"/>
    </font>
    <font>
      <b/>
      <strike/>
      <color theme="1"/>
      <name val="Arial"/>
      <scheme val="minor"/>
    </font>
  </fonts>
  <fills count="12">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6F8F9"/>
        <bgColor rgb="FFF6F8F9"/>
      </patternFill>
    </fill>
    <fill>
      <patternFill patternType="solid">
        <fgColor rgb="FFF3F3F3"/>
        <bgColor rgb="FFF3F3F3"/>
      </patternFill>
    </fill>
    <fill>
      <patternFill patternType="solid">
        <fgColor rgb="FFDDEBF7"/>
        <bgColor rgb="FFDDEBF7"/>
      </patternFill>
    </fill>
    <fill>
      <patternFill patternType="solid">
        <fgColor rgb="FF00FFFF"/>
        <bgColor rgb="FF00FFFF"/>
      </patternFill>
    </fill>
    <fill>
      <patternFill patternType="solid">
        <fgColor rgb="FFB7B7B7"/>
        <bgColor rgb="FFB7B7B7"/>
      </patternFill>
    </fill>
    <fill>
      <patternFill patternType="solid">
        <fgColor rgb="FFFF0000"/>
        <bgColor rgb="FFFF0000"/>
      </patternFill>
    </fill>
    <fill>
      <patternFill patternType="solid">
        <fgColor rgb="FFCCA677"/>
        <bgColor rgb="FFCCA677"/>
      </patternFill>
    </fill>
    <fill>
      <patternFill patternType="solid">
        <fgColor rgb="FFF8F2EB"/>
        <bgColor rgb="FFF8F2EB"/>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
      <bottom style="thin">
        <color rgb="FF000000"/>
      </bottom>
    </border>
    <border>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38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0" fillId="0" fontId="3" numFmtId="0" xfId="0" applyAlignment="1" applyFont="1">
      <alignment vertical="bottom"/>
    </xf>
    <xf borderId="1" fillId="0" fontId="4" numFmtId="0" xfId="0" applyAlignment="1" applyBorder="1" applyFont="1">
      <alignment shrinkToFit="0" vertical="top"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0" fontId="4" numFmtId="0" xfId="0" applyAlignment="1" applyBorder="1" applyFont="1">
      <alignment readingOrder="0" shrinkToFit="0" vertical="top" wrapText="1"/>
    </xf>
    <xf borderId="0" fillId="0" fontId="6" numFmtId="0" xfId="0" applyFont="1"/>
    <xf borderId="1" fillId="0" fontId="7" numFmtId="0" xfId="0" applyAlignment="1" applyBorder="1" applyFont="1">
      <alignment readingOrder="0" shrinkToFit="0" vertical="bottom" wrapText="1"/>
    </xf>
    <xf borderId="1" fillId="0" fontId="7" numFmtId="0" xfId="0" applyAlignment="1" applyBorder="1" applyFont="1">
      <alignment shrinkToFit="0" vertical="bottom" wrapText="1"/>
    </xf>
    <xf borderId="1" fillId="0" fontId="6" numFmtId="0" xfId="0" applyAlignment="1" applyBorder="1" applyFont="1">
      <alignment readingOrder="0"/>
    </xf>
    <xf borderId="0" fillId="0" fontId="6" numFmtId="0" xfId="0" applyAlignment="1" applyFont="1">
      <alignment readingOrder="0"/>
    </xf>
    <xf borderId="0" fillId="0" fontId="6" numFmtId="164" xfId="0" applyAlignment="1" applyFont="1" applyNumberFormat="1">
      <alignment readingOrder="0"/>
    </xf>
    <xf borderId="1" fillId="0" fontId="7" numFmtId="0" xfId="0" applyAlignment="1" applyBorder="1" applyFont="1">
      <alignment shrinkToFit="0" vertical="bottom" wrapText="1"/>
    </xf>
    <xf borderId="1" fillId="0" fontId="6" numFmtId="0" xfId="0" applyAlignment="1" applyBorder="1" applyFont="1">
      <alignment readingOrder="0" shrinkToFit="0" wrapText="1"/>
    </xf>
    <xf borderId="1" fillId="0" fontId="6" numFmtId="0" xfId="0" applyAlignment="1" applyBorder="1" applyFont="1">
      <alignment shrinkToFit="0" wrapText="1"/>
    </xf>
    <xf borderId="1" fillId="0" fontId="7" numFmtId="0" xfId="0" applyAlignment="1" applyBorder="1" applyFont="1">
      <alignment vertical="bottom"/>
    </xf>
    <xf borderId="0" fillId="0" fontId="1" numFmtId="0" xfId="0" applyAlignment="1" applyFont="1">
      <alignment vertical="bottom"/>
    </xf>
    <xf borderId="1" fillId="2" fontId="6" numFmtId="0" xfId="0" applyAlignment="1" applyBorder="1" applyFill="1" applyFont="1">
      <alignment readingOrder="0" shrinkToFit="0" wrapText="1"/>
    </xf>
    <xf borderId="1" fillId="0" fontId="6" numFmtId="0" xfId="0" applyBorder="1" applyFont="1"/>
    <xf borderId="0" fillId="0" fontId="8" numFmtId="0" xfId="0" applyAlignment="1" applyFont="1">
      <alignment horizontal="center" readingOrder="0"/>
    </xf>
    <xf borderId="1" fillId="0" fontId="9" numFmtId="0" xfId="0" applyAlignment="1" applyBorder="1" applyFont="1">
      <alignment shrinkToFit="0" vertical="top" wrapText="1"/>
    </xf>
    <xf borderId="1" fillId="0" fontId="7" numFmtId="0" xfId="0" applyAlignment="1" applyBorder="1" applyFont="1">
      <alignment shrinkToFit="0" vertical="top" wrapText="1"/>
    </xf>
    <xf borderId="1" fillId="0" fontId="7" numFmtId="0" xfId="0" applyAlignment="1" applyBorder="1" applyFont="1">
      <alignment vertical="top"/>
    </xf>
    <xf borderId="2" fillId="0" fontId="7" numFmtId="0" xfId="0" applyAlignment="1" applyBorder="1" applyFont="1">
      <alignment shrinkToFit="0" wrapText="1"/>
    </xf>
    <xf borderId="3" fillId="0" fontId="10" numFmtId="0" xfId="0" applyBorder="1" applyFont="1"/>
    <xf borderId="4" fillId="0" fontId="10" numFmtId="0" xfId="0" applyBorder="1" applyFont="1"/>
    <xf borderId="5" fillId="0" fontId="9" numFmtId="0" xfId="0" applyAlignment="1" applyBorder="1" applyFont="1">
      <alignment shrinkToFit="0" vertical="top" wrapText="1"/>
    </xf>
    <xf borderId="6" fillId="0" fontId="10" numFmtId="0" xfId="0" applyBorder="1" applyFont="1"/>
    <xf borderId="2" fillId="0" fontId="7" numFmtId="0" xfId="0" applyAlignment="1" applyBorder="1" applyFont="1">
      <alignment horizontal="center" shrinkToFit="0" wrapText="1"/>
    </xf>
    <xf borderId="1" fillId="0" fontId="11" numFmtId="0" xfId="0" applyAlignment="1" applyBorder="1" applyFont="1">
      <alignment shrinkToFit="0" vertical="top" wrapText="1"/>
    </xf>
    <xf borderId="1" fillId="0" fontId="7" numFmtId="0" xfId="0" applyBorder="1" applyFont="1"/>
    <xf borderId="1" fillId="0" fontId="12" numFmtId="0" xfId="0" applyAlignment="1" applyBorder="1" applyFont="1">
      <alignment readingOrder="0" shrinkToFit="0" vertical="center" wrapText="1"/>
    </xf>
    <xf borderId="1" fillId="0" fontId="12" numFmtId="0" xfId="0" applyAlignment="1" applyBorder="1" applyFont="1">
      <alignment shrinkToFit="0" vertical="center" wrapText="1"/>
    </xf>
    <xf borderId="1" fillId="0" fontId="1" numFmtId="0" xfId="0" applyAlignment="1" applyBorder="1" applyFont="1">
      <alignment readingOrder="0" shrinkToFit="0" vertical="center" wrapText="1"/>
    </xf>
    <xf borderId="1" fillId="0" fontId="13" numFmtId="0" xfId="0" applyAlignment="1" applyBorder="1" applyFont="1">
      <alignment readingOrder="0" shrinkToFit="0" vertical="center" wrapText="1"/>
    </xf>
    <xf borderId="1" fillId="0" fontId="13" numFmtId="0" xfId="0" applyAlignment="1" applyBorder="1" applyFont="1">
      <alignment shrinkToFit="0" vertical="center" wrapText="1"/>
    </xf>
    <xf borderId="1" fillId="2" fontId="1"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1" fillId="0" fontId="13" numFmtId="0" xfId="0" applyAlignment="1" applyBorder="1" applyFont="1">
      <alignment readingOrder="0" shrinkToFit="0" wrapText="1"/>
    </xf>
    <xf borderId="0" fillId="0" fontId="1" numFmtId="0" xfId="0" applyFont="1"/>
    <xf borderId="0" fillId="0" fontId="13" numFmtId="0" xfId="0" applyAlignment="1" applyFont="1">
      <alignment readingOrder="0"/>
    </xf>
    <xf borderId="1" fillId="0" fontId="12" numFmtId="0" xfId="0" applyAlignment="1" applyBorder="1" applyFont="1">
      <alignment horizontal="center" shrinkToFit="0" vertical="bottom" wrapText="1"/>
    </xf>
    <xf borderId="1" fillId="0" fontId="1" numFmtId="0" xfId="0" applyAlignment="1" applyBorder="1" applyFont="1">
      <alignment vertical="bottom"/>
    </xf>
    <xf borderId="5" fillId="0" fontId="12" numFmtId="0" xfId="0" applyAlignment="1" applyBorder="1" applyFont="1">
      <alignment horizontal="center" shrinkToFit="0" vertical="bottom" wrapText="1"/>
    </xf>
    <xf borderId="7" fillId="0" fontId="10" numFmtId="0" xfId="0" applyBorder="1" applyFont="1"/>
    <xf borderId="1" fillId="0" fontId="1" numFmtId="0" xfId="0" applyAlignment="1" applyBorder="1" applyFont="1">
      <alignment horizontal="center" shrinkToFit="0" vertical="bottom" wrapText="1"/>
    </xf>
    <xf borderId="2" fillId="0" fontId="12" numFmtId="0" xfId="0" applyAlignment="1" applyBorder="1" applyFont="1">
      <alignment horizontal="center" shrinkToFit="0" vertical="top" wrapText="1"/>
    </xf>
    <xf borderId="1" fillId="3" fontId="7" numFmtId="0" xfId="0" applyAlignment="1" applyBorder="1" applyFill="1" applyFont="1">
      <alignment shrinkToFit="0" wrapText="1"/>
    </xf>
    <xf borderId="1" fillId="4" fontId="1" numFmtId="0" xfId="0" applyAlignment="1" applyBorder="1" applyFill="1" applyFont="1">
      <alignment horizontal="center" shrinkToFit="0" vertical="bottom" wrapText="1"/>
    </xf>
    <xf borderId="1" fillId="4" fontId="1" numFmtId="0" xfId="0" applyAlignment="1" applyBorder="1" applyFont="1">
      <alignment vertical="bottom"/>
    </xf>
    <xf borderId="2" fillId="4" fontId="1" numFmtId="0" xfId="0" applyAlignment="1" applyBorder="1" applyFont="1">
      <alignment horizontal="center" readingOrder="0" shrinkToFit="0" vertical="top" wrapText="1"/>
    </xf>
    <xf borderId="2" fillId="0" fontId="1" numFmtId="0" xfId="0" applyAlignment="1" applyBorder="1" applyFont="1">
      <alignment vertical="bottom"/>
    </xf>
    <xf borderId="1" fillId="4" fontId="7" numFmtId="0" xfId="0" applyAlignment="1" applyBorder="1" applyFont="1">
      <alignment shrinkToFit="0" wrapText="1"/>
    </xf>
    <xf borderId="1" fillId="0" fontId="1" numFmtId="0" xfId="0" applyAlignment="1" applyBorder="1" applyFont="1">
      <alignment horizontal="center" shrinkToFit="0" vertical="bottom" wrapText="1"/>
    </xf>
    <xf borderId="1" fillId="4" fontId="1" numFmtId="0" xfId="0" applyAlignment="1" applyBorder="1" applyFont="1">
      <alignment vertical="bottom"/>
    </xf>
    <xf borderId="3" fillId="3" fontId="10" numFmtId="0" xfId="0" applyBorder="1" applyFont="1"/>
    <xf borderId="3" fillId="4" fontId="10" numFmtId="0" xfId="0" applyBorder="1" applyFont="1"/>
    <xf borderId="1" fillId="4" fontId="15" numFmtId="0" xfId="0" applyAlignment="1" applyBorder="1" applyFont="1">
      <alignment shrinkToFit="0" wrapText="1"/>
    </xf>
    <xf borderId="1" fillId="3" fontId="1" numFmtId="0" xfId="0" applyAlignment="1" applyBorder="1" applyFont="1">
      <alignment vertical="bottom"/>
    </xf>
    <xf borderId="1" fillId="3" fontId="15" numFmtId="0" xfId="0" applyAlignment="1" applyBorder="1" applyFont="1">
      <alignment shrinkToFit="0" wrapText="1"/>
    </xf>
    <xf borderId="1" fillId="3" fontId="1" numFmtId="0" xfId="0" applyAlignment="1" applyBorder="1" applyFont="1">
      <alignment horizontal="center" shrinkToFit="0" vertical="bottom" wrapText="1"/>
    </xf>
    <xf borderId="1" fillId="4" fontId="1" numFmtId="0" xfId="0" applyAlignment="1" applyBorder="1" applyFont="1">
      <alignment horizontal="center" shrinkToFit="0" vertical="bottom" wrapText="1"/>
    </xf>
    <xf borderId="4" fillId="4" fontId="10" numFmtId="0" xfId="0" applyBorder="1" applyFont="1"/>
    <xf borderId="2" fillId="0" fontId="1" numFmtId="0" xfId="0" applyAlignment="1" applyBorder="1" applyFont="1">
      <alignment horizontal="center" shrinkToFit="0" vertical="top" wrapText="1"/>
    </xf>
    <xf borderId="0" fillId="3" fontId="1" numFmtId="0" xfId="0" applyAlignment="1" applyFont="1">
      <alignment shrinkToFit="0" vertical="bottom" wrapText="1"/>
    </xf>
    <xf borderId="0" fillId="0" fontId="5" numFmtId="0" xfId="0" applyAlignment="1" applyFont="1">
      <alignment vertical="bottom"/>
    </xf>
    <xf borderId="0" fillId="0" fontId="5" numFmtId="0" xfId="0" applyAlignment="1" applyFont="1">
      <alignment readingOrder="0" vertical="bottom"/>
    </xf>
    <xf borderId="1" fillId="5" fontId="4" numFmtId="0" xfId="0" applyAlignment="1" applyBorder="1" applyFill="1" applyFont="1">
      <alignment vertical="top"/>
    </xf>
    <xf borderId="1" fillId="5" fontId="4" numFmtId="0" xfId="0" applyAlignment="1" applyBorder="1" applyFont="1">
      <alignment shrinkToFit="0" vertical="top" wrapText="1"/>
    </xf>
    <xf borderId="1" fillId="5" fontId="1" numFmtId="0" xfId="0" applyAlignment="1" applyBorder="1" applyFont="1">
      <alignment readingOrder="0" shrinkToFit="0" vertical="top" wrapText="1"/>
    </xf>
    <xf borderId="1" fillId="5" fontId="1" numFmtId="0" xfId="0" applyAlignment="1" applyBorder="1" applyFont="1">
      <alignment vertical="top"/>
    </xf>
    <xf borderId="0" fillId="3" fontId="7" numFmtId="0" xfId="0" applyAlignment="1" applyFont="1">
      <alignment readingOrder="0" shrinkToFit="0" wrapText="1"/>
    </xf>
    <xf borderId="0" fillId="0" fontId="13" numFmtId="0" xfId="0" applyAlignment="1" applyFont="1">
      <alignment readingOrder="0"/>
    </xf>
    <xf borderId="0" fillId="5" fontId="5" numFmtId="0" xfId="0" applyAlignment="1" applyFont="1">
      <alignment readingOrder="0" vertical="top"/>
    </xf>
    <xf borderId="0" fillId="5" fontId="5" numFmtId="0" xfId="0" applyAlignment="1" applyFont="1">
      <alignment vertical="top"/>
    </xf>
    <xf borderId="0" fillId="5" fontId="5" numFmtId="0" xfId="0" applyAlignment="1" applyFont="1">
      <alignment shrinkToFit="0" vertical="top" wrapText="1"/>
    </xf>
    <xf borderId="0" fillId="5" fontId="1" numFmtId="0" xfId="0" applyAlignment="1" applyFont="1">
      <alignment readingOrder="0" shrinkToFit="0" vertical="top" wrapText="1"/>
    </xf>
    <xf borderId="0" fillId="4" fontId="7" numFmtId="0" xfId="0" applyAlignment="1" applyFont="1">
      <alignment readingOrder="0" shrinkToFit="0" wrapText="1"/>
    </xf>
    <xf borderId="0" fillId="0" fontId="13" numFmtId="0" xfId="0" applyFont="1"/>
    <xf borderId="0" fillId="5" fontId="5" numFmtId="0" xfId="0" applyAlignment="1" applyFont="1">
      <alignment readingOrder="0" shrinkToFit="0" vertical="top" wrapText="1"/>
    </xf>
    <xf borderId="1" fillId="2" fontId="7" numFmtId="0" xfId="0" applyAlignment="1" applyBorder="1" applyFont="1">
      <alignment readingOrder="0" shrinkToFit="0" wrapText="1"/>
    </xf>
    <xf borderId="1" fillId="0" fontId="7" numFmtId="0" xfId="0" applyAlignment="1" applyBorder="1" applyFont="1">
      <alignment readingOrder="0" shrinkToFit="0" wrapText="1"/>
    </xf>
    <xf borderId="1" fillId="3" fontId="7" numFmtId="0" xfId="0" applyAlignment="1" applyBorder="1" applyFont="1">
      <alignment readingOrder="0" shrinkToFit="0" wrapText="1"/>
    </xf>
    <xf borderId="1" fillId="3" fontId="15" numFmtId="0" xfId="0" applyAlignment="1" applyBorder="1" applyFont="1">
      <alignment readingOrder="0" shrinkToFit="0" wrapText="1"/>
    </xf>
    <xf borderId="1" fillId="4" fontId="7" numFmtId="0" xfId="0" applyAlignment="1" applyBorder="1" applyFont="1">
      <alignment readingOrder="0" shrinkToFit="0" wrapText="1"/>
    </xf>
    <xf borderId="0" fillId="5" fontId="4" numFmtId="0" xfId="0" applyAlignment="1" applyFont="1">
      <alignment readingOrder="0" vertical="top"/>
    </xf>
    <xf borderId="0" fillId="3" fontId="7" numFmtId="0" xfId="0" applyAlignment="1" applyFont="1">
      <alignment readingOrder="0" shrinkToFit="0" wrapText="1"/>
    </xf>
    <xf borderId="0" fillId="5" fontId="1" numFmtId="0" xfId="0" applyAlignment="1" applyFont="1">
      <alignment readingOrder="0" shrinkToFit="0" vertical="top" wrapText="1"/>
    </xf>
    <xf borderId="0" fillId="4" fontId="7" numFmtId="0" xfId="0" applyAlignment="1" applyFont="1">
      <alignment readingOrder="0" shrinkToFit="0" wrapText="1"/>
    </xf>
    <xf borderId="0" fillId="4" fontId="15" numFmtId="0" xfId="0" applyAlignment="1" applyFont="1">
      <alignment readingOrder="0" shrinkToFit="0" wrapText="1"/>
    </xf>
    <xf borderId="0" fillId="3" fontId="15" numFmtId="0" xfId="0" applyAlignment="1" applyFont="1">
      <alignment readingOrder="0" shrinkToFit="0" wrapText="1"/>
    </xf>
    <xf borderId="0" fillId="0" fontId="13" numFmtId="0" xfId="0" applyFont="1"/>
    <xf borderId="1" fillId="0" fontId="16" numFmtId="0" xfId="0" applyAlignment="1" applyBorder="1" applyFont="1">
      <alignment readingOrder="0" vertical="top"/>
    </xf>
    <xf borderId="1" fillId="0" fontId="16" numFmtId="0" xfId="0" applyAlignment="1" applyBorder="1" applyFont="1">
      <alignment vertical="top"/>
    </xf>
    <xf borderId="1" fillId="0" fontId="16" numFmtId="0" xfId="0" applyAlignment="1" applyBorder="1" applyFont="1">
      <alignment readingOrder="0"/>
    </xf>
    <xf borderId="1" fillId="0" fontId="17" numFmtId="0" xfId="0" applyAlignment="1" applyBorder="1" applyFont="1">
      <alignment vertical="top"/>
    </xf>
    <xf borderId="0" fillId="0" fontId="17" numFmtId="0" xfId="0" applyAlignment="1" applyFont="1">
      <alignment vertical="bottom"/>
    </xf>
    <xf borderId="0" fillId="0" fontId="17" numFmtId="0" xfId="0" applyFont="1"/>
    <xf borderId="1" fillId="6" fontId="18" numFmtId="0" xfId="0" applyAlignment="1" applyBorder="1" applyFill="1" applyFont="1">
      <alignment readingOrder="0" shrinkToFit="0" vertical="center" wrapText="0"/>
    </xf>
    <xf borderId="2" fillId="0" fontId="18" numFmtId="0" xfId="0" applyAlignment="1" applyBorder="1" applyFont="1">
      <alignment horizontal="center" readingOrder="0" shrinkToFit="0" vertical="center" wrapText="0"/>
    </xf>
    <xf borderId="2" fillId="0" fontId="18" numFmtId="0" xfId="0" applyAlignment="1" applyBorder="1" applyFont="1">
      <alignment horizontal="left" readingOrder="0" shrinkToFit="0" vertical="center" wrapText="0"/>
    </xf>
    <xf borderId="1" fillId="0" fontId="18" numFmtId="0" xfId="0" applyAlignment="1" applyBorder="1" applyFont="1">
      <alignment readingOrder="0" shrinkToFit="0" vertical="center" wrapText="0"/>
    </xf>
    <xf borderId="1" fillId="0" fontId="18" numFmtId="0" xfId="0" applyAlignment="1" applyBorder="1" applyFont="1">
      <alignment shrinkToFit="0" vertical="center" wrapText="0"/>
    </xf>
    <xf borderId="1" fillId="0" fontId="17" numFmtId="0" xfId="0" applyAlignment="1" applyBorder="1" applyFont="1">
      <alignment readingOrder="0" shrinkToFit="0" vertical="center" wrapText="0"/>
    </xf>
    <xf borderId="1" fillId="6" fontId="18" numFmtId="0" xfId="0" applyAlignment="1" applyBorder="1" applyFont="1">
      <alignment readingOrder="0" shrinkToFit="0" vertical="bottom" wrapText="0"/>
    </xf>
    <xf borderId="1" fillId="6" fontId="18" numFmtId="0" xfId="0" applyAlignment="1" applyBorder="1" applyFont="1">
      <alignment readingOrder="0" vertical="bottom"/>
    </xf>
    <xf borderId="2" fillId="0" fontId="18" numFmtId="0" xfId="0" applyAlignment="1" applyBorder="1" applyFont="1">
      <alignment horizontal="center" readingOrder="0" shrinkToFit="0" wrapText="0"/>
    </xf>
    <xf borderId="2" fillId="0" fontId="18" numFmtId="0" xfId="0" applyAlignment="1" applyBorder="1" applyFont="1">
      <alignment horizontal="left" readingOrder="0" shrinkToFit="0" wrapText="0"/>
    </xf>
    <xf borderId="1" fillId="0" fontId="18" numFmtId="0" xfId="0" applyAlignment="1" applyBorder="1" applyFont="1">
      <alignment readingOrder="0" vertical="bottom"/>
    </xf>
    <xf borderId="1" fillId="0" fontId="18" numFmtId="0" xfId="0" applyAlignment="1" applyBorder="1" applyFont="1">
      <alignment readingOrder="0" shrinkToFit="0" wrapText="0"/>
    </xf>
    <xf borderId="3" fillId="0" fontId="18" numFmtId="0" xfId="0" applyAlignment="1" applyBorder="1" applyFont="1">
      <alignment horizontal="center" readingOrder="0" shrinkToFit="0" wrapText="0"/>
    </xf>
    <xf borderId="1" fillId="0" fontId="18" numFmtId="0" xfId="0" applyAlignment="1" applyBorder="1" applyFont="1">
      <alignment vertical="bottom"/>
    </xf>
    <xf borderId="1" fillId="0" fontId="18" numFmtId="0" xfId="0" applyAlignment="1" applyBorder="1" applyFont="1">
      <alignment readingOrder="0"/>
    </xf>
    <xf borderId="1" fillId="0" fontId="18" numFmtId="0" xfId="0" applyBorder="1" applyFont="1"/>
    <xf borderId="3" fillId="0" fontId="18" numFmtId="0" xfId="0" applyAlignment="1" applyBorder="1" applyFont="1">
      <alignment horizontal="center" readingOrder="0" shrinkToFit="0" vertical="bottom" wrapText="0"/>
    </xf>
    <xf borderId="3" fillId="0" fontId="18" numFmtId="0" xfId="0" applyAlignment="1" applyBorder="1" applyFont="1">
      <alignment horizontal="left" readingOrder="0"/>
    </xf>
    <xf borderId="1" fillId="0" fontId="17" numFmtId="0" xfId="0" applyAlignment="1" applyBorder="1" applyFont="1">
      <alignment readingOrder="0" vertical="bottom"/>
    </xf>
    <xf borderId="1" fillId="0" fontId="17" numFmtId="0" xfId="0" applyAlignment="1" applyBorder="1" applyFont="1">
      <alignment vertical="bottom"/>
    </xf>
    <xf borderId="2" fillId="0" fontId="18" numFmtId="0" xfId="0" applyAlignment="1" applyBorder="1" applyFont="1">
      <alignment horizontal="center" readingOrder="0" shrinkToFit="0" vertical="bottom" wrapText="0"/>
    </xf>
    <xf borderId="3" fillId="0" fontId="18" numFmtId="0" xfId="0" applyAlignment="1" applyBorder="1" applyFont="1">
      <alignment horizontal="center" readingOrder="0"/>
    </xf>
    <xf borderId="1" fillId="6" fontId="19" numFmtId="0" xfId="0" applyAlignment="1" applyBorder="1" applyFont="1">
      <alignment readingOrder="0" shrinkToFit="0" vertical="bottom" wrapText="0"/>
    </xf>
    <xf borderId="3" fillId="0" fontId="19" numFmtId="0" xfId="0" applyAlignment="1" applyBorder="1" applyFont="1">
      <alignment horizontal="center" readingOrder="0" shrinkToFit="0" wrapText="0"/>
    </xf>
    <xf borderId="1" fillId="0" fontId="18" numFmtId="0" xfId="0" applyAlignment="1" applyBorder="1" applyFont="1">
      <alignment horizontal="left" readingOrder="0" shrinkToFit="0" wrapText="0"/>
    </xf>
    <xf borderId="1" fillId="3" fontId="17" numFmtId="0" xfId="0" applyAlignment="1" applyBorder="1" applyFont="1">
      <alignment horizontal="left" readingOrder="0" shrinkToFit="0" wrapText="0"/>
    </xf>
    <xf borderId="1" fillId="0" fontId="18" numFmtId="0" xfId="0" applyAlignment="1" applyBorder="1" applyFont="1">
      <alignment shrinkToFit="0" vertical="bottom" wrapText="0"/>
    </xf>
    <xf borderId="3" fillId="0" fontId="19" numFmtId="0" xfId="0" applyAlignment="1" applyBorder="1" applyFont="1">
      <alignment horizontal="center" readingOrder="0"/>
    </xf>
    <xf borderId="1" fillId="3" fontId="18" numFmtId="0" xfId="0" applyAlignment="1" applyBorder="1" applyFont="1">
      <alignment readingOrder="0" shrinkToFit="0" vertical="bottom" wrapText="0"/>
    </xf>
    <xf borderId="3" fillId="3" fontId="19" numFmtId="0" xfId="0" applyAlignment="1" applyBorder="1" applyFont="1">
      <alignment horizontal="center" readingOrder="0"/>
    </xf>
    <xf borderId="1" fillId="3" fontId="18" numFmtId="0" xfId="0" applyAlignment="1" applyBorder="1" applyFont="1">
      <alignment horizontal="left" readingOrder="0"/>
    </xf>
    <xf borderId="0" fillId="6" fontId="18" numFmtId="0" xfId="0" applyAlignment="1" applyFont="1">
      <alignment readingOrder="0" shrinkToFit="0" vertical="center" wrapText="0"/>
    </xf>
    <xf borderId="0" fillId="2" fontId="20" numFmtId="0" xfId="0" applyAlignment="1" applyFont="1">
      <alignment readingOrder="0" shrinkToFit="0" wrapText="1"/>
    </xf>
    <xf borderId="1" fillId="2" fontId="20" numFmtId="0" xfId="0" applyAlignment="1" applyBorder="1" applyFont="1">
      <alignment readingOrder="0" shrinkToFit="0" wrapText="1"/>
    </xf>
    <xf borderId="1" fillId="0" fontId="20" numFmtId="0" xfId="0" applyAlignment="1" applyBorder="1" applyFont="1">
      <alignment readingOrder="0" shrinkToFit="0" wrapText="1"/>
    </xf>
    <xf borderId="0" fillId="0" fontId="21" numFmtId="0" xfId="0" applyAlignment="1" applyFont="1">
      <alignment vertical="bottom"/>
    </xf>
    <xf borderId="1" fillId="0" fontId="5" numFmtId="0" xfId="0" applyAlignment="1" applyBorder="1" applyFont="1">
      <alignment shrinkToFit="0" vertical="top" wrapText="1"/>
    </xf>
    <xf borderId="1" fillId="0" fontId="5" numFmtId="0" xfId="0" applyAlignment="1" applyBorder="1" applyFont="1">
      <alignment readingOrder="0" shrinkToFit="0" vertical="top" wrapText="1"/>
    </xf>
    <xf borderId="1" fillId="0" fontId="13" numFmtId="0" xfId="0" applyBorder="1" applyFont="1"/>
    <xf borderId="1" fillId="0" fontId="1" numFmtId="0" xfId="0" applyAlignment="1" applyBorder="1" applyFont="1">
      <alignment vertical="top"/>
    </xf>
    <xf borderId="1" fillId="0" fontId="1" numFmtId="0" xfId="0" applyAlignment="1" applyBorder="1" applyFont="1">
      <alignment readingOrder="0" vertical="top"/>
    </xf>
    <xf borderId="1" fillId="0" fontId="13" numFmtId="0" xfId="0" applyAlignment="1" applyBorder="1" applyFont="1">
      <alignment readingOrder="0"/>
    </xf>
    <xf borderId="0" fillId="7" fontId="21" numFmtId="0" xfId="0" applyAlignment="1" applyFill="1" applyFont="1">
      <alignment vertical="bottom"/>
    </xf>
    <xf borderId="0" fillId="7" fontId="1" numFmtId="0" xfId="0" applyAlignment="1" applyFont="1">
      <alignment vertical="bottom"/>
    </xf>
    <xf borderId="1" fillId="8" fontId="4" numFmtId="0" xfId="0" applyAlignment="1" applyBorder="1" applyFill="1" applyFont="1">
      <alignment shrinkToFit="0" vertical="top"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0" fillId="0" fontId="20" numFmtId="0" xfId="0" applyFont="1"/>
    <xf borderId="2" fillId="0" fontId="22" numFmtId="0" xfId="0" applyAlignment="1" applyBorder="1" applyFont="1">
      <alignment readingOrder="0" shrinkToFit="0" vertical="center" wrapText="1"/>
    </xf>
    <xf borderId="1" fillId="0" fontId="20" numFmtId="0" xfId="0" applyBorder="1" applyFont="1"/>
    <xf borderId="1" fillId="0" fontId="20" numFmtId="0" xfId="0" applyAlignment="1" applyBorder="1" applyFont="1">
      <alignment readingOrder="0" shrinkToFit="0" vertical="top" wrapText="1"/>
    </xf>
    <xf borderId="1" fillId="0" fontId="20" numFmtId="0" xfId="0" applyAlignment="1" applyBorder="1" applyFont="1">
      <alignment readingOrder="0" vertical="top"/>
    </xf>
    <xf borderId="1" fillId="0" fontId="20" numFmtId="0" xfId="0" applyAlignment="1" applyBorder="1" applyFont="1">
      <alignment vertical="top"/>
    </xf>
    <xf borderId="0" fillId="0" fontId="13" numFmtId="0" xfId="0" applyAlignment="1" applyFont="1">
      <alignment vertical="top"/>
    </xf>
    <xf borderId="1" fillId="0" fontId="20" numFmtId="0" xfId="0" applyAlignment="1" applyBorder="1" applyFont="1">
      <alignment readingOrder="0"/>
    </xf>
    <xf borderId="1" fillId="2" fontId="22" numFmtId="0" xfId="0" applyAlignment="1" applyBorder="1" applyFont="1">
      <alignment readingOrder="0" shrinkToFit="0" vertical="center" wrapText="1"/>
    </xf>
    <xf borderId="1" fillId="2" fontId="20" numFmtId="0" xfId="0" applyBorder="1" applyFont="1"/>
    <xf borderId="1" fillId="2" fontId="20" numFmtId="0" xfId="0" applyAlignment="1" applyBorder="1" applyFont="1">
      <alignment readingOrder="0" shrinkToFit="0" vertical="top" wrapText="1"/>
    </xf>
    <xf borderId="1" fillId="2" fontId="20" numFmtId="0" xfId="0" applyAlignment="1" applyBorder="1" applyFont="1">
      <alignment readingOrder="0" vertical="top"/>
    </xf>
    <xf borderId="1" fillId="2" fontId="20" numFmtId="0" xfId="0" applyAlignment="1" applyBorder="1" applyFont="1">
      <alignment vertical="top"/>
    </xf>
    <xf borderId="1" fillId="2" fontId="20" numFmtId="0" xfId="0" applyAlignment="1" applyBorder="1" applyFont="1">
      <alignment readingOrder="0"/>
    </xf>
    <xf borderId="0" fillId="2" fontId="13" numFmtId="0" xfId="0" applyFont="1"/>
    <xf borderId="2" fillId="2" fontId="22" numFmtId="0" xfId="0" applyAlignment="1" applyBorder="1" applyFont="1">
      <alignment readingOrder="0" shrinkToFit="0" vertical="center" wrapText="1"/>
    </xf>
    <xf borderId="2" fillId="0" fontId="23" numFmtId="0" xfId="0" applyAlignment="1" applyBorder="1" applyFont="1">
      <alignment readingOrder="0" shrinkToFit="0" vertical="center" wrapText="1"/>
    </xf>
    <xf borderId="1" fillId="0" fontId="24" numFmtId="0" xfId="0" applyBorder="1" applyFont="1"/>
    <xf borderId="1" fillId="0" fontId="24" numFmtId="0" xfId="0" applyAlignment="1" applyBorder="1" applyFont="1">
      <alignment readingOrder="0" shrinkToFit="0" vertical="top" wrapText="1"/>
    </xf>
    <xf borderId="1" fillId="0" fontId="24" numFmtId="0" xfId="0" applyAlignment="1" applyBorder="1" applyFont="1">
      <alignment readingOrder="0" vertical="top"/>
    </xf>
    <xf borderId="1" fillId="0" fontId="24" numFmtId="0" xfId="0" applyAlignment="1" applyBorder="1" applyFont="1">
      <alignment vertical="top"/>
    </xf>
    <xf borderId="0" fillId="0" fontId="25" numFmtId="0" xfId="0" applyFont="1"/>
    <xf borderId="1" fillId="0" fontId="24" numFmtId="0" xfId="0" applyAlignment="1" applyBorder="1" applyFont="1">
      <alignment readingOrder="0"/>
    </xf>
    <xf borderId="1" fillId="0" fontId="22" numFmtId="0" xfId="0" applyAlignment="1" applyBorder="1" applyFont="1">
      <alignment readingOrder="0" shrinkToFit="0" vertical="center" wrapText="1"/>
    </xf>
    <xf borderId="0" fillId="2" fontId="20" numFmtId="0" xfId="0" applyFont="1"/>
    <xf borderId="2" fillId="0" fontId="12" numFmtId="0" xfId="0" applyAlignment="1" applyBorder="1" applyFont="1">
      <alignment shrinkToFit="0" vertical="center" wrapText="1"/>
    </xf>
    <xf borderId="1" fillId="0" fontId="13" numFmtId="0" xfId="0" applyAlignment="1" applyBorder="1" applyFont="1">
      <alignment vertical="top"/>
    </xf>
    <xf borderId="1" fillId="0" fontId="25" numFmtId="0" xfId="0" applyBorder="1" applyFont="1"/>
    <xf borderId="1" fillId="0" fontId="25" numFmtId="0" xfId="0" applyAlignment="1" applyBorder="1" applyFont="1">
      <alignment vertical="top"/>
    </xf>
    <xf borderId="1" fillId="0" fontId="25" numFmtId="0" xfId="0" applyAlignment="1" applyBorder="1" applyFont="1">
      <alignment readingOrder="0"/>
    </xf>
    <xf borderId="1" fillId="0" fontId="20" numFmtId="0" xfId="0" applyAlignment="1" applyBorder="1" applyFont="1">
      <alignment shrinkToFit="0" vertical="top" wrapText="1"/>
    </xf>
    <xf borderId="0" fillId="0" fontId="13" numFmtId="0" xfId="0" applyAlignment="1" applyFont="1">
      <alignment shrinkToFit="0" wrapText="1"/>
    </xf>
    <xf borderId="0" fillId="0" fontId="13" numFmtId="0" xfId="0" applyAlignment="1" applyFont="1">
      <alignment shrinkToFit="0" vertical="top" wrapText="1"/>
    </xf>
    <xf borderId="0" fillId="0" fontId="13" numFmtId="0" xfId="0" applyAlignment="1" applyFont="1">
      <alignment readingOrder="0" shrinkToFit="0" vertical="top" wrapText="1"/>
    </xf>
    <xf borderId="1" fillId="0" fontId="4" numFmtId="0" xfId="0" applyAlignment="1" applyBorder="1" applyFont="1">
      <alignment shrinkToFit="0" vertical="center" wrapText="1"/>
    </xf>
    <xf borderId="1" fillId="0" fontId="22" numFmtId="0" xfId="0" applyAlignment="1" applyBorder="1" applyFont="1">
      <alignment horizontal="center"/>
    </xf>
    <xf borderId="2" fillId="0" fontId="22" numFmtId="0" xfId="0" applyAlignment="1" applyBorder="1" applyFont="1">
      <alignment horizontal="center" readingOrder="0" vertical="center"/>
    </xf>
    <xf borderId="1" fillId="0" fontId="1" numFmtId="0" xfId="0" applyAlignment="1" applyBorder="1" applyFont="1">
      <alignment readingOrder="0" shrinkToFit="0" vertical="bottom" wrapText="1"/>
    </xf>
    <xf borderId="1" fillId="0" fontId="1" numFmtId="0" xfId="0" applyAlignment="1" applyBorder="1" applyFont="1">
      <alignment vertical="bottom"/>
    </xf>
    <xf borderId="1" fillId="2" fontId="1" numFmtId="0" xfId="0" applyAlignment="1" applyBorder="1" applyFont="1">
      <alignment horizontal="right" readingOrder="0" vertical="bottom"/>
    </xf>
    <xf borderId="1" fillId="2" fontId="1" numFmtId="0" xfId="0" applyAlignment="1" applyBorder="1" applyFont="1">
      <alignment shrinkToFit="0" vertical="bottom" wrapText="1"/>
    </xf>
    <xf borderId="1" fillId="2" fontId="1" numFmtId="0" xfId="0" applyAlignment="1" applyBorder="1" applyFont="1">
      <alignment vertical="bottom"/>
    </xf>
    <xf borderId="1" fillId="2" fontId="1" numFmtId="0" xfId="0" applyAlignment="1" applyBorder="1" applyFont="1">
      <alignment vertical="bottom"/>
    </xf>
    <xf borderId="1" fillId="0" fontId="1" numFmtId="0" xfId="0" applyAlignment="1" applyBorder="1" applyFont="1">
      <alignment vertical="bottom"/>
    </xf>
    <xf borderId="1" fillId="2" fontId="1" numFmtId="0" xfId="0" applyAlignment="1" applyBorder="1" applyFont="1">
      <alignment readingOrder="0" shrinkToFit="0" vertical="bottom" wrapText="1"/>
    </xf>
    <xf borderId="1" fillId="0" fontId="20" numFmtId="0" xfId="0" applyAlignment="1" applyBorder="1" applyFont="1">
      <alignment shrinkToFit="0" wrapText="1"/>
    </xf>
    <xf borderId="1" fillId="2" fontId="20" numFmtId="0" xfId="0" applyAlignment="1" applyBorder="1" applyFont="1">
      <alignment shrinkToFit="0" wrapText="1"/>
    </xf>
    <xf borderId="1" fillId="0" fontId="24" numFmtId="0" xfId="0" applyAlignment="1" applyBorder="1" applyFont="1">
      <alignment readingOrder="0" shrinkToFit="0" wrapText="1"/>
    </xf>
    <xf borderId="1" fillId="9" fontId="24" numFmtId="0" xfId="0" applyAlignment="1" applyBorder="1" applyFill="1" applyFont="1">
      <alignment readingOrder="0"/>
    </xf>
    <xf borderId="3" fillId="0" fontId="22" numFmtId="0" xfId="0" applyAlignment="1" applyBorder="1" applyFont="1">
      <alignment horizontal="center" readingOrder="0" vertical="center"/>
    </xf>
    <xf borderId="2" fillId="0" fontId="22" numFmtId="0" xfId="0" applyAlignment="1" applyBorder="1" applyFont="1">
      <alignment horizontal="center" vertical="center"/>
    </xf>
    <xf borderId="1" fillId="0" fontId="1" numFmtId="0" xfId="0" applyAlignment="1" applyBorder="1" applyFont="1">
      <alignment readingOrder="0" vertical="bottom"/>
    </xf>
    <xf borderId="2" fillId="0" fontId="22" numFmtId="0" xfId="0" applyAlignment="1" applyBorder="1" applyFont="1">
      <alignment horizontal="center" readingOrder="0" shrinkToFit="0" vertical="center" wrapText="1"/>
    </xf>
    <xf borderId="1" fillId="0" fontId="14" numFmtId="0" xfId="0" applyAlignment="1" applyBorder="1" applyFont="1">
      <alignment readingOrder="0" vertical="bottom"/>
    </xf>
    <xf borderId="0" fillId="0" fontId="13" numFmtId="0" xfId="0" applyAlignment="1" applyFont="1">
      <alignment vertical="center"/>
    </xf>
    <xf borderId="0" fillId="0" fontId="13" numFmtId="0" xfId="0" applyAlignment="1" applyFont="1">
      <alignment readingOrder="0" shrinkToFit="0" wrapText="1"/>
    </xf>
    <xf borderId="1" fillId="0" fontId="24" numFmtId="0" xfId="0" applyAlignment="1" applyBorder="1" applyFont="1">
      <alignment shrinkToFit="0" wrapText="1"/>
    </xf>
    <xf borderId="1" fillId="0" fontId="24" numFmtId="0" xfId="0" applyAlignment="1" applyBorder="1" applyFont="1">
      <alignment shrinkToFit="0" vertical="center" wrapText="1"/>
    </xf>
    <xf borderId="1" fillId="0" fontId="5" numFmtId="0" xfId="0" applyAlignment="1" applyBorder="1" applyFont="1">
      <alignment readingOrder="0" shrinkToFit="0" vertical="center" wrapText="1"/>
    </xf>
    <xf borderId="1" fillId="0" fontId="13" numFmtId="0" xfId="0" applyAlignment="1" applyBorder="1" applyFont="1">
      <alignment shrinkToFit="0" wrapText="1"/>
    </xf>
    <xf borderId="1" fillId="0" fontId="20" numFmtId="0" xfId="0" applyAlignment="1" applyBorder="1" applyFont="1">
      <alignment readingOrder="0" shrinkToFit="0" vertical="center" wrapText="1"/>
    </xf>
    <xf borderId="1" fillId="0" fontId="26" numFmtId="0" xfId="0" applyAlignment="1" applyBorder="1" applyFont="1">
      <alignment readingOrder="0" shrinkToFit="0" vertical="bottom" wrapText="1"/>
    </xf>
    <xf borderId="1" fillId="0" fontId="20" numFmtId="0" xfId="0" applyAlignment="1" applyBorder="1" applyFont="1">
      <alignment shrinkToFit="0" vertical="center" wrapText="1"/>
    </xf>
    <xf borderId="1" fillId="0" fontId="5" numFmtId="0" xfId="0" applyAlignment="1" applyBorder="1" applyFont="1">
      <alignment shrinkToFit="0" vertical="center" wrapText="1"/>
    </xf>
    <xf borderId="1" fillId="0" fontId="1" numFmtId="0" xfId="0" applyAlignment="1" applyBorder="1" applyFont="1">
      <alignment shrinkToFit="0" vertical="bottom" wrapText="1"/>
    </xf>
    <xf borderId="3" fillId="0" fontId="22" numFmtId="0" xfId="0" applyAlignment="1" applyBorder="1" applyFont="1">
      <alignment shrinkToFit="0" vertical="center" wrapText="1"/>
    </xf>
    <xf borderId="2" fillId="0" fontId="22" numFmtId="0" xfId="0" applyAlignment="1" applyBorder="1" applyFont="1">
      <alignment shrinkToFit="0" vertical="center" wrapText="1"/>
    </xf>
    <xf borderId="3" fillId="0" fontId="22" numFmtId="0" xfId="0" applyAlignment="1" applyBorder="1" applyFont="1">
      <alignment readingOrder="0" shrinkToFit="0" vertical="center" wrapText="1"/>
    </xf>
    <xf borderId="0" fillId="0" fontId="22" numFmtId="0" xfId="0" applyFont="1"/>
    <xf borderId="0" fillId="0" fontId="1" numFmtId="0" xfId="0" applyAlignment="1" applyFont="1">
      <alignment shrinkToFit="0" vertical="bottom" wrapText="1"/>
    </xf>
    <xf borderId="0" fillId="0" fontId="1" numFmtId="0" xfId="0" applyAlignment="1" applyFont="1">
      <alignment readingOrder="0" shrinkToFit="0" vertical="bottom" wrapText="1"/>
    </xf>
    <xf borderId="1" fillId="0" fontId="4" numFmtId="0" xfId="0" applyAlignment="1" applyBorder="1" applyFont="1">
      <alignment horizontal="center" readingOrder="0" shrinkToFit="0" vertical="center" wrapText="1"/>
    </xf>
    <xf borderId="0" fillId="2" fontId="26" numFmtId="0" xfId="0" applyAlignment="1" applyFont="1">
      <alignment readingOrder="0" shrinkToFit="0" vertical="bottom" wrapText="1"/>
    </xf>
    <xf borderId="0" fillId="0" fontId="26" numFmtId="0" xfId="0" applyAlignment="1" applyFont="1">
      <alignment readingOrder="0" shrinkToFit="0" vertical="bottom" wrapText="1"/>
    </xf>
    <xf borderId="8" fillId="0" fontId="20" numFmtId="0" xfId="0" applyAlignment="1" applyBorder="1" applyFont="1">
      <alignment shrinkToFit="0" wrapText="1"/>
    </xf>
    <xf borderId="1" fillId="0" fontId="27" numFmtId="0" xfId="0" applyAlignment="1" applyBorder="1" applyFont="1">
      <alignment readingOrder="0" shrinkToFit="0" vertical="bottom" wrapText="1"/>
    </xf>
    <xf borderId="9" fillId="0" fontId="5" numFmtId="0" xfId="0" applyAlignment="1" applyBorder="1" applyFont="1">
      <alignment vertical="bottom"/>
    </xf>
    <xf borderId="1" fillId="0" fontId="1" numFmtId="0" xfId="0" applyAlignment="1" applyBorder="1" applyFont="1">
      <alignment shrinkToFit="0" vertical="bottom" wrapText="1"/>
    </xf>
    <xf borderId="9" fillId="0" fontId="1" numFmtId="0" xfId="0" applyAlignment="1" applyBorder="1" applyFont="1">
      <alignment vertical="bottom"/>
    </xf>
    <xf borderId="9" fillId="0" fontId="1" numFmtId="0" xfId="0" applyAlignment="1" applyBorder="1" applyFont="1">
      <alignment vertical="bottom"/>
    </xf>
    <xf borderId="1" fillId="0" fontId="22" numFmtId="0" xfId="0" applyAlignment="1" applyBorder="1" applyFont="1">
      <alignment horizontal="center" readingOrder="0" shrinkToFit="0" vertical="center" wrapText="1"/>
    </xf>
    <xf borderId="1" fillId="2" fontId="28" numFmtId="0" xfId="0" applyAlignment="1" applyBorder="1" applyFont="1">
      <alignment readingOrder="0"/>
    </xf>
    <xf borderId="2" fillId="0" fontId="4" numFmtId="0" xfId="0" applyAlignment="1" applyBorder="1" applyFont="1">
      <alignment horizontal="center" readingOrder="0" shrinkToFit="0" vertical="center" wrapText="1"/>
    </xf>
    <xf borderId="9" fillId="0" fontId="5" numFmtId="0" xfId="0" applyAlignment="1" applyBorder="1" applyFont="1">
      <alignment readingOrder="0" vertical="bottom"/>
    </xf>
    <xf borderId="9" fillId="0" fontId="20" numFmtId="0" xfId="0" applyAlignment="1" applyBorder="1" applyFont="1">
      <alignment readingOrder="0"/>
    </xf>
    <xf borderId="1" fillId="0" fontId="5" numFmtId="0" xfId="0" applyAlignment="1" applyBorder="1" applyFont="1">
      <alignment vertical="bottom"/>
    </xf>
    <xf borderId="1" fillId="0" fontId="5" numFmtId="0" xfId="0" applyAlignment="1" applyBorder="1" applyFont="1">
      <alignment vertical="bottom"/>
    </xf>
    <xf borderId="1" fillId="0" fontId="5" numFmtId="0" xfId="0" applyAlignment="1" applyBorder="1" applyFont="1">
      <alignment readingOrder="0" vertical="bottom"/>
    </xf>
    <xf borderId="9" fillId="0" fontId="5" numFmtId="0" xfId="0" applyAlignment="1" applyBorder="1" applyFont="1">
      <alignment vertical="bottom"/>
    </xf>
    <xf borderId="1" fillId="0" fontId="1" numFmtId="0" xfId="0" applyAlignment="1" applyBorder="1" applyFont="1">
      <alignment shrinkToFit="0" vertical="bottom" wrapText="1"/>
    </xf>
    <xf borderId="1" fillId="2" fontId="4" numFmtId="0" xfId="0" applyAlignment="1" applyBorder="1" applyFont="1">
      <alignment horizontal="center" readingOrder="0" shrinkToFit="0" vertical="center" wrapText="1"/>
    </xf>
    <xf borderId="1" fillId="2" fontId="5" numFmtId="0" xfId="0" applyAlignment="1" applyBorder="1" applyFont="1">
      <alignment vertical="bottom"/>
    </xf>
    <xf borderId="1" fillId="2" fontId="5" numFmtId="0" xfId="0" applyAlignment="1" applyBorder="1" applyFont="1">
      <alignment readingOrder="0" vertical="bottom"/>
    </xf>
    <xf borderId="9" fillId="2" fontId="5" numFmtId="0" xfId="0" applyAlignment="1" applyBorder="1" applyFont="1">
      <alignment vertical="bottom"/>
    </xf>
    <xf borderId="0" fillId="2" fontId="13" numFmtId="0" xfId="0" applyAlignment="1" applyFont="1">
      <alignment readingOrder="0"/>
    </xf>
    <xf borderId="1" fillId="2" fontId="13" numFmtId="0" xfId="0" applyBorder="1" applyFont="1"/>
    <xf borderId="2" fillId="0" fontId="29" numFmtId="0" xfId="0" applyAlignment="1" applyBorder="1" applyFont="1">
      <alignment horizontal="center" readingOrder="0" shrinkToFit="0" vertical="center" wrapText="1"/>
    </xf>
    <xf borderId="1" fillId="0" fontId="30" numFmtId="0" xfId="0" applyAlignment="1" applyBorder="1" applyFont="1">
      <alignment readingOrder="0" shrinkToFit="0" wrapText="1"/>
    </xf>
    <xf borderId="1" fillId="0" fontId="13" numFmtId="0" xfId="0" applyAlignment="1" applyBorder="1" applyFont="1">
      <alignment readingOrder="0" shrinkToFit="0" wrapText="1"/>
    </xf>
    <xf borderId="1" fillId="0" fontId="13" numFmtId="0" xfId="0" applyAlignment="1" applyBorder="1" applyFont="1">
      <alignment horizontal="center" readingOrder="0" shrinkToFit="0" vertical="center" wrapText="1"/>
    </xf>
    <xf borderId="0" fillId="0" fontId="13" numFmtId="0" xfId="0" applyAlignment="1" applyFont="1">
      <alignment readingOrder="0" shrinkToFit="0" wrapText="1"/>
    </xf>
    <xf borderId="0" fillId="0" fontId="13" numFmtId="0" xfId="0" applyAlignment="1" applyFont="1">
      <alignment horizontal="center" shrinkToFit="0" vertical="center" wrapText="1"/>
    </xf>
    <xf borderId="0" fillId="0" fontId="31" numFmtId="0" xfId="0" applyAlignment="1" applyFont="1">
      <alignment readingOrder="0" shrinkToFit="0" wrapText="1"/>
    </xf>
    <xf borderId="2" fillId="0" fontId="12" numFmtId="0" xfId="0" applyAlignment="1" applyBorder="1" applyFont="1">
      <alignment readingOrder="0" shrinkToFit="0" vertical="center" wrapText="1"/>
    </xf>
    <xf borderId="1" fillId="3" fontId="1" numFmtId="0" xfId="0" applyAlignment="1" applyBorder="1" applyFont="1">
      <alignment readingOrder="0" shrinkToFit="0" vertical="bottom" wrapText="1"/>
    </xf>
    <xf borderId="1" fillId="3" fontId="13" numFmtId="0" xfId="0" applyAlignment="1" applyBorder="1" applyFont="1">
      <alignment readingOrder="0" shrinkToFit="0" wrapText="1"/>
    </xf>
    <xf borderId="1" fillId="3" fontId="1" numFmtId="0" xfId="0" applyAlignment="1" applyBorder="1" applyFont="1">
      <alignment shrinkToFit="0" vertical="bottom" wrapText="1"/>
    </xf>
    <xf borderId="2" fillId="0" fontId="29" numFmtId="0" xfId="0" applyAlignment="1" applyBorder="1" applyFont="1">
      <alignment readingOrder="0" shrinkToFit="0" vertical="center" wrapText="1"/>
    </xf>
    <xf borderId="1" fillId="0" fontId="13" numFmtId="0" xfId="0" applyAlignment="1" applyBorder="1" applyFont="1">
      <alignment readingOrder="0" shrinkToFit="0" vertical="top" wrapText="1"/>
    </xf>
    <xf borderId="0" fillId="0" fontId="29" numFmtId="0" xfId="0" applyAlignment="1" applyFont="1">
      <alignment shrinkToFit="0" vertical="center" wrapText="1"/>
    </xf>
    <xf borderId="0" fillId="0" fontId="29" numFmtId="0" xfId="0" applyAlignment="1" applyFont="1">
      <alignment readingOrder="0" shrinkToFit="0" vertical="center" wrapText="1"/>
    </xf>
    <xf borderId="0" fillId="3" fontId="32" numFmtId="0" xfId="0" applyAlignment="1" applyFont="1">
      <alignment horizontal="left" readingOrder="0" shrinkToFit="0" wrapText="1"/>
    </xf>
    <xf borderId="1" fillId="0" fontId="4" numFmtId="0" xfId="0" applyAlignment="1" applyBorder="1" applyFont="1">
      <alignment horizontal="center" shrinkToFit="0" vertical="center" wrapText="1"/>
    </xf>
    <xf borderId="10" fillId="0" fontId="20" numFmtId="0" xfId="0" applyBorder="1" applyFont="1"/>
    <xf borderId="11" fillId="0" fontId="20" numFmtId="0" xfId="0" applyBorder="1" applyFont="1"/>
    <xf borderId="12" fillId="0" fontId="20" numFmtId="0" xfId="0" applyBorder="1" applyFont="1"/>
    <xf borderId="12" fillId="2" fontId="20" numFmtId="0" xfId="0" applyBorder="1" applyFont="1"/>
    <xf borderId="1" fillId="0" fontId="22" numFmtId="0" xfId="0" applyAlignment="1" applyBorder="1" applyFont="1">
      <alignment horizontal="center" readingOrder="0" vertical="center"/>
    </xf>
    <xf borderId="1" fillId="0" fontId="33" numFmtId="0" xfId="0" applyAlignment="1" applyBorder="1" applyFont="1">
      <alignment shrinkToFit="0" wrapText="1"/>
    </xf>
    <xf borderId="0" fillId="0" fontId="13" numFmtId="0" xfId="0" applyAlignment="1" applyFont="1">
      <alignment horizontal="center" vertical="center"/>
    </xf>
    <xf borderId="0" fillId="0" fontId="20" numFmtId="0" xfId="0" applyAlignment="1" applyFont="1">
      <alignment horizontal="center" vertical="center"/>
    </xf>
    <xf borderId="1" fillId="0" fontId="5" numFmtId="0" xfId="0" applyAlignment="1" applyBorder="1" applyFont="1">
      <alignment horizontal="right" shrinkToFit="0" vertical="top" wrapText="1"/>
    </xf>
    <xf borderId="1" fillId="0" fontId="1" numFmtId="0" xfId="0" applyAlignment="1" applyBorder="1" applyFont="1">
      <alignment vertical="top"/>
    </xf>
    <xf borderId="1" fillId="0" fontId="1" numFmtId="0" xfId="0" applyAlignment="1" applyBorder="1" applyFont="1">
      <alignment horizontal="right" vertical="bottom"/>
    </xf>
    <xf borderId="9" fillId="0" fontId="20" numFmtId="0" xfId="0" applyBorder="1" applyFont="1"/>
    <xf borderId="13" fillId="0" fontId="20" numFmtId="0" xfId="0" applyBorder="1" applyFont="1"/>
    <xf borderId="1" fillId="0" fontId="14" numFmtId="0" xfId="0" applyAlignment="1" applyBorder="1" applyFont="1">
      <alignment readingOrder="0" shrinkToFit="0" vertical="bottom" wrapText="1"/>
    </xf>
    <xf borderId="0" fillId="2" fontId="13" numFmtId="0" xfId="0" applyAlignment="1" applyFont="1">
      <alignment readingOrder="0" shrinkToFit="0" wrapText="1"/>
    </xf>
    <xf borderId="0" fillId="0" fontId="1" numFmtId="0" xfId="0" applyAlignment="1" applyFont="1">
      <alignment readingOrder="0" vertical="bottom"/>
    </xf>
    <xf borderId="1" fillId="0" fontId="34" numFmtId="0" xfId="0" applyAlignment="1" applyBorder="1" applyFont="1">
      <alignment readingOrder="0" shrinkToFit="0" vertical="bottom" wrapText="1"/>
    </xf>
    <xf borderId="1" fillId="0" fontId="35" numFmtId="0" xfId="0" applyAlignment="1" applyBorder="1" applyFont="1">
      <alignment readingOrder="0" shrinkToFit="0" vertical="bottom" wrapText="1"/>
    </xf>
    <xf borderId="0" fillId="0" fontId="4" numFmtId="0" xfId="0" applyAlignment="1" applyFont="1">
      <alignment shrinkToFit="0" vertical="center" wrapText="1"/>
    </xf>
    <xf borderId="0" fillId="0" fontId="4" numFmtId="0" xfId="0" applyAlignment="1" applyFont="1">
      <alignment shrinkToFit="0" vertical="top" wrapText="1"/>
    </xf>
    <xf borderId="0" fillId="0" fontId="22" numFmtId="0" xfId="0" applyAlignment="1" applyFont="1">
      <alignment horizontal="center"/>
    </xf>
    <xf borderId="2" fillId="0" fontId="4" numFmtId="0" xfId="0" applyAlignment="1" applyBorder="1" applyFont="1">
      <alignment readingOrder="0" shrinkToFit="0" vertical="center" wrapText="1"/>
    </xf>
    <xf borderId="1" fillId="0" fontId="27" numFmtId="0" xfId="0" applyAlignment="1" applyBorder="1" applyFont="1">
      <alignment readingOrder="0" shrinkToFit="0" vertical="top" wrapText="1"/>
    </xf>
    <xf borderId="2" fillId="0" fontId="12" numFmtId="0" xfId="0" applyAlignment="1" applyBorder="1" applyFont="1">
      <alignment horizontal="center" readingOrder="0" shrinkToFit="0" vertical="center" wrapText="1"/>
    </xf>
    <xf borderId="1" fillId="2" fontId="5" numFmtId="0" xfId="0" applyAlignment="1" applyBorder="1" applyFont="1">
      <alignment readingOrder="0" shrinkToFit="0" vertical="top" wrapText="1"/>
    </xf>
    <xf borderId="0" fillId="0" fontId="36" numFmtId="0" xfId="0" applyFont="1"/>
    <xf borderId="12" fillId="2" fontId="29" numFmtId="0" xfId="0" applyAlignment="1" applyBorder="1" applyFont="1">
      <alignment horizontal="center" readingOrder="0" shrinkToFit="0" vertical="center" wrapText="1"/>
    </xf>
    <xf borderId="12" fillId="0" fontId="10" numFmtId="0" xfId="0" applyBorder="1" applyFont="1"/>
    <xf borderId="3" fillId="0" fontId="29" numFmtId="0" xfId="0" applyAlignment="1" applyBorder="1" applyFont="1">
      <alignment horizontal="center" readingOrder="0" shrinkToFit="0" vertical="center" wrapText="1"/>
    </xf>
    <xf borderId="1" fillId="0" fontId="29" numFmtId="0" xfId="0" applyAlignment="1" applyBorder="1" applyFont="1">
      <alignment horizontal="center" readingOrder="0" shrinkToFit="0" vertical="center" wrapText="1"/>
    </xf>
    <xf borderId="1" fillId="2" fontId="13" numFmtId="0" xfId="0" applyAlignment="1" applyBorder="1" applyFont="1">
      <alignment readingOrder="0" shrinkToFit="0" wrapText="1"/>
    </xf>
    <xf borderId="0" fillId="0" fontId="29" numFmtId="0" xfId="0" applyAlignment="1" applyFont="1">
      <alignment readingOrder="0"/>
    </xf>
    <xf borderId="1" fillId="2" fontId="13" numFmtId="0" xfId="0" applyAlignment="1" applyBorder="1" applyFont="1">
      <alignment readingOrder="0"/>
    </xf>
    <xf borderId="0" fillId="0" fontId="1" numFmtId="0" xfId="0" applyAlignment="1" applyFont="1">
      <alignment horizontal="right" readingOrder="0" vertical="bottom"/>
    </xf>
    <xf borderId="1" fillId="0" fontId="1" numFmtId="0" xfId="0" applyAlignment="1" applyBorder="1" applyFont="1">
      <alignment horizontal="right" readingOrder="0" vertical="bottom"/>
    </xf>
    <xf borderId="1" fillId="0" fontId="5" numFmtId="0" xfId="0" applyAlignment="1" applyBorder="1" applyFont="1">
      <alignment horizontal="center" readingOrder="0" shrinkToFit="0" vertical="top" wrapText="1"/>
    </xf>
    <xf borderId="1" fillId="0" fontId="4" numFmtId="0" xfId="0" applyAlignment="1" applyBorder="1" applyFont="1">
      <alignment vertical="bottom"/>
    </xf>
    <xf borderId="1" fillId="0" fontId="4" numFmtId="0" xfId="0" applyAlignment="1" applyBorder="1" applyFont="1">
      <alignment readingOrder="0" vertical="bottom"/>
    </xf>
    <xf borderId="1" fillId="0" fontId="12" numFmtId="0" xfId="0" applyAlignment="1" applyBorder="1" applyFont="1">
      <alignment vertical="bottom"/>
    </xf>
    <xf borderId="6" fillId="0" fontId="12" numFmtId="0" xfId="0" applyAlignment="1" applyBorder="1" applyFont="1">
      <alignment vertical="bottom"/>
    </xf>
    <xf borderId="7" fillId="0" fontId="12" numFmtId="0" xfId="0" applyAlignment="1" applyBorder="1" applyFont="1">
      <alignment vertical="bottom"/>
    </xf>
    <xf borderId="0" fillId="0" fontId="12" numFmtId="0" xfId="0" applyAlignment="1" applyFont="1">
      <alignment vertical="bottom"/>
    </xf>
    <xf borderId="1" fillId="0" fontId="13" numFmtId="0" xfId="0" applyAlignment="1" applyBorder="1" applyFont="1">
      <alignment horizontal="right" readingOrder="0"/>
    </xf>
    <xf borderId="1" fillId="0" fontId="1" numFmtId="0" xfId="0" applyAlignment="1" applyBorder="1" applyFont="1">
      <alignment horizontal="right" vertical="bottom"/>
    </xf>
    <xf borderId="1" fillId="0" fontId="5" numFmtId="0" xfId="0" applyAlignment="1" applyBorder="1" applyFont="1">
      <alignment horizontal="right" readingOrder="0" vertical="bottom"/>
    </xf>
    <xf borderId="13" fillId="0" fontId="1" numFmtId="0" xfId="0" applyAlignment="1" applyBorder="1" applyFont="1">
      <alignment vertical="bottom"/>
    </xf>
    <xf borderId="13" fillId="0" fontId="1" numFmtId="0" xfId="0" applyAlignment="1" applyBorder="1" applyFont="1">
      <alignment horizontal="right" vertical="bottom"/>
    </xf>
    <xf borderId="9" fillId="0" fontId="1" numFmtId="0" xfId="0" applyAlignment="1" applyBorder="1" applyFont="1">
      <alignment horizontal="right" vertical="bottom"/>
    </xf>
    <xf borderId="1" fillId="0" fontId="1" numFmtId="0" xfId="0" applyAlignment="1" applyBorder="1" applyFont="1">
      <alignment horizontal="right" vertical="bottom"/>
    </xf>
    <xf borderId="0" fillId="0" fontId="1" numFmtId="0" xfId="0" applyAlignment="1" applyFont="1">
      <alignment horizontal="right" vertical="bottom"/>
    </xf>
    <xf borderId="0" fillId="0" fontId="9" numFmtId="0" xfId="0" applyAlignment="1" applyFont="1">
      <alignment horizontal="center"/>
    </xf>
    <xf borderId="2" fillId="0" fontId="9" numFmtId="0" xfId="0" applyAlignment="1" applyBorder="1" applyFont="1">
      <alignment horizontal="center"/>
    </xf>
    <xf borderId="0" fillId="0" fontId="13" numFmtId="0" xfId="0" applyAlignment="1" applyFont="1">
      <alignment horizontal="left" readingOrder="0"/>
    </xf>
    <xf borderId="0" fillId="0" fontId="29" numFmtId="0" xfId="0" applyAlignment="1" applyFont="1">
      <alignment horizontal="left" readingOrder="0"/>
    </xf>
    <xf borderId="0" fillId="0" fontId="9" numFmtId="0" xfId="0" applyAlignment="1" applyFont="1">
      <alignment horizontal="center" vertical="top"/>
    </xf>
    <xf borderId="0" fillId="0" fontId="29" numFmtId="0" xfId="0" applyAlignment="1" applyFont="1">
      <alignment horizontal="left" readingOrder="0" shrinkToFit="0" wrapText="1"/>
    </xf>
    <xf borderId="0" fillId="0" fontId="13" numFmtId="0" xfId="0" applyAlignment="1" applyFont="1">
      <alignment horizontal="left" readingOrder="0" shrinkToFit="0" wrapText="1"/>
    </xf>
    <xf borderId="1" fillId="0" fontId="9" numFmtId="0" xfId="0" applyAlignment="1" applyBorder="1" applyFont="1">
      <alignment horizontal="center" vertical="top"/>
    </xf>
    <xf borderId="2" fillId="0" fontId="9" numFmtId="0" xfId="0" applyAlignment="1" applyBorder="1" applyFont="1">
      <alignment horizontal="center" vertical="top"/>
    </xf>
    <xf borderId="0" fillId="0" fontId="20" numFmtId="0" xfId="0" applyAlignment="1" applyFont="1">
      <alignment readingOrder="0"/>
    </xf>
    <xf borderId="1" fillId="0" fontId="1" numFmtId="0" xfId="0" applyAlignment="1" applyBorder="1" applyFont="1">
      <alignment horizontal="center" readingOrder="0" vertical="bottom"/>
    </xf>
    <xf borderId="1" fillId="2" fontId="1" numFmtId="0" xfId="0" applyAlignment="1" applyBorder="1" applyFont="1">
      <alignment readingOrder="0" vertical="bottom"/>
    </xf>
    <xf borderId="1" fillId="0" fontId="1" numFmtId="0" xfId="0" applyAlignment="1" applyBorder="1" applyFont="1">
      <alignment horizontal="center" vertical="bottom"/>
    </xf>
    <xf borderId="1" fillId="0" fontId="22" numFmtId="0" xfId="0" applyAlignment="1" applyBorder="1" applyFont="1">
      <alignment horizontal="center" shrinkToFit="0" wrapText="1"/>
    </xf>
    <xf borderId="3" fillId="0" fontId="24" numFmtId="0" xfId="0" applyBorder="1" applyFont="1"/>
    <xf borderId="3" fillId="0" fontId="20" numFmtId="0" xfId="0" applyBorder="1" applyFont="1"/>
    <xf borderId="3" fillId="2" fontId="20" numFmtId="0" xfId="0" applyBorder="1" applyFont="1"/>
    <xf borderId="0" fillId="0" fontId="31" numFmtId="0" xfId="0" applyAlignment="1" applyFont="1">
      <alignment readingOrder="0"/>
    </xf>
    <xf borderId="1" fillId="0" fontId="37" numFmtId="0" xfId="0" applyAlignment="1" applyBorder="1" applyFont="1">
      <alignment horizontal="right" shrinkToFit="0" vertical="top" wrapText="1"/>
    </xf>
    <xf borderId="1" fillId="0" fontId="38" numFmtId="0" xfId="0" applyAlignment="1" applyBorder="1" applyFont="1">
      <alignment vertical="top"/>
    </xf>
    <xf borderId="1" fillId="0" fontId="38" numFmtId="0" xfId="0" applyAlignment="1" applyBorder="1" applyFont="1">
      <alignment vertical="bottom"/>
    </xf>
    <xf borderId="1" fillId="0" fontId="5" numFmtId="0" xfId="0" applyAlignment="1" applyBorder="1" applyFont="1">
      <alignment horizontal="right" readingOrder="0" shrinkToFit="0" vertical="top" wrapText="1"/>
    </xf>
    <xf borderId="0" fillId="9" fontId="25" numFmtId="0" xfId="0" applyFont="1"/>
    <xf borderId="1" fillId="9" fontId="25" numFmtId="0" xfId="0" applyAlignment="1" applyBorder="1" applyFont="1">
      <alignment readingOrder="0" shrinkToFit="0" wrapText="1"/>
    </xf>
    <xf borderId="1" fillId="9" fontId="25" numFmtId="0" xfId="0" applyBorder="1" applyFont="1"/>
    <xf borderId="1" fillId="9" fontId="25" numFmtId="0" xfId="0" applyAlignment="1" applyBorder="1" applyFont="1">
      <alignment readingOrder="0"/>
    </xf>
    <xf borderId="1" fillId="3" fontId="13" numFmtId="0" xfId="0" applyAlignment="1" applyBorder="1" applyFont="1">
      <alignment readingOrder="0"/>
    </xf>
    <xf borderId="1" fillId="3" fontId="20" numFmtId="0" xfId="0" applyAlignment="1" applyBorder="1" applyFont="1">
      <alignment readingOrder="0"/>
    </xf>
    <xf borderId="1" fillId="3" fontId="13" numFmtId="0" xfId="0" applyBorder="1" applyFont="1"/>
    <xf borderId="3" fillId="0" fontId="1" numFmtId="0" xfId="0" applyAlignment="1" applyBorder="1" applyFont="1">
      <alignment vertical="bottom"/>
    </xf>
    <xf borderId="1" fillId="0" fontId="25" numFmtId="0" xfId="0" applyAlignment="1" applyBorder="1" applyFont="1">
      <alignment shrinkToFit="0" wrapText="1"/>
    </xf>
    <xf borderId="0" fillId="0" fontId="25" numFmtId="0" xfId="0" applyAlignment="1" applyFont="1">
      <alignment readingOrder="0" shrinkToFit="0" wrapText="1"/>
    </xf>
    <xf borderId="0" fillId="0" fontId="25" numFmtId="0" xfId="0" applyAlignment="1" applyFont="1">
      <alignment readingOrder="0"/>
    </xf>
    <xf borderId="1" fillId="0" fontId="25" numFmtId="0" xfId="0" applyAlignment="1" applyBorder="1" applyFont="1">
      <alignment readingOrder="0" shrinkToFit="0" wrapText="1"/>
    </xf>
    <xf borderId="0" fillId="10" fontId="4" numFmtId="0" xfId="0" applyAlignment="1" applyFill="1" applyFont="1">
      <alignment shrinkToFit="0" vertical="top" wrapText="1"/>
    </xf>
    <xf borderId="0" fillId="10" fontId="22" numFmtId="0" xfId="0" applyAlignment="1" applyFont="1">
      <alignment horizontal="center"/>
    </xf>
    <xf borderId="0" fillId="10" fontId="22" numFmtId="0" xfId="0" applyAlignment="1" applyFont="1">
      <alignment readingOrder="0"/>
    </xf>
    <xf borderId="0" fillId="10" fontId="20" numFmtId="0" xfId="0" applyFont="1"/>
    <xf borderId="0" fillId="3" fontId="20" numFmtId="0" xfId="0" applyFont="1"/>
    <xf borderId="0" fillId="3" fontId="20" numFmtId="0" xfId="0" applyAlignment="1" applyFont="1">
      <alignment readingOrder="0"/>
    </xf>
    <xf borderId="0" fillId="3" fontId="20" numFmtId="0" xfId="0" applyAlignment="1" applyFont="1">
      <alignment shrinkToFit="0" wrapText="1"/>
    </xf>
    <xf borderId="0" fillId="3" fontId="13" numFmtId="0" xfId="0" applyFont="1"/>
    <xf borderId="0" fillId="11" fontId="20" numFmtId="0" xfId="0" applyFill="1" applyFont="1"/>
    <xf borderId="0" fillId="11" fontId="20" numFmtId="0" xfId="0" applyAlignment="1" applyFont="1">
      <alignment readingOrder="0"/>
    </xf>
    <xf borderId="0" fillId="11" fontId="20" numFmtId="0" xfId="0" applyAlignment="1" applyFont="1">
      <alignment shrinkToFit="0" wrapText="1"/>
    </xf>
    <xf borderId="0" fillId="11" fontId="20" numFmtId="0" xfId="0" applyAlignment="1" applyFont="1">
      <alignment readingOrder="0" shrinkToFit="0" wrapText="1"/>
    </xf>
    <xf borderId="0" fillId="11" fontId="13" numFmtId="0" xfId="0" applyFont="1"/>
    <xf borderId="0" fillId="3" fontId="29" numFmtId="0" xfId="0" applyAlignment="1" applyFont="1">
      <alignment readingOrder="0" vertical="top"/>
    </xf>
    <xf borderId="0" fillId="3" fontId="13" numFmtId="0" xfId="0" applyAlignment="1" applyFont="1">
      <alignment readingOrder="0"/>
    </xf>
    <xf borderId="0" fillId="3" fontId="20" numFmtId="0" xfId="0" applyAlignment="1" applyFont="1">
      <alignment readingOrder="0" shrinkToFit="0" wrapText="1"/>
    </xf>
    <xf borderId="0" fillId="3" fontId="39" numFmtId="0" xfId="0" applyAlignment="1" applyFont="1">
      <alignment horizontal="left" readingOrder="0" shrinkToFit="0" wrapText="1"/>
    </xf>
    <xf borderId="0" fillId="11" fontId="13" numFmtId="0" xfId="0" applyAlignment="1" applyFont="1">
      <alignment readingOrder="0"/>
    </xf>
    <xf borderId="0" fillId="11" fontId="13" numFmtId="0" xfId="0" applyAlignment="1" applyFont="1">
      <alignment readingOrder="0" shrinkToFit="0" wrapText="1"/>
    </xf>
    <xf borderId="0" fillId="3" fontId="13" numFmtId="0" xfId="0" applyAlignment="1" applyFont="1">
      <alignment readingOrder="0" shrinkToFit="0" wrapText="1"/>
    </xf>
    <xf borderId="0" fillId="3" fontId="13" numFmtId="0" xfId="0" applyAlignment="1" applyFont="1">
      <alignment shrinkToFit="0" wrapText="1"/>
    </xf>
    <xf borderId="0" fillId="11" fontId="13" numFmtId="0" xfId="0" applyAlignment="1" applyFont="1">
      <alignment shrinkToFit="0" wrapText="1"/>
    </xf>
    <xf borderId="0" fillId="3" fontId="29" numFmtId="0" xfId="0" applyAlignment="1" applyFont="1">
      <alignment readingOrder="0"/>
    </xf>
    <xf borderId="3" fillId="0" fontId="20" numFmtId="0" xfId="0" applyAlignment="1" applyBorder="1" applyFont="1">
      <alignment readingOrder="0"/>
    </xf>
    <xf borderId="0" fillId="0" fontId="24" numFmtId="0" xfId="0" applyFont="1"/>
    <xf borderId="0" fillId="0" fontId="29" numFmtId="0" xfId="0" applyFont="1"/>
    <xf borderId="1" fillId="0" fontId="22" numFmtId="0" xfId="0" applyBorder="1" applyFont="1"/>
    <xf borderId="1" fillId="2" fontId="40" numFmtId="0" xfId="0" applyAlignment="1" applyBorder="1" applyFont="1">
      <alignment readingOrder="0"/>
    </xf>
    <xf borderId="1" fillId="2" fontId="23" numFmtId="0" xfId="0" applyBorder="1" applyFont="1"/>
    <xf borderId="1" fillId="2" fontId="40" numFmtId="0" xfId="0" applyBorder="1" applyFont="1"/>
    <xf borderId="1" fillId="0" fontId="29" numFmtId="0" xfId="0" applyAlignment="1" applyBorder="1" applyFont="1">
      <alignment readingOrder="0"/>
    </xf>
    <xf borderId="1" fillId="0" fontId="29" numFmtId="0" xfId="0" applyBorder="1" applyFont="1"/>
    <xf borderId="1" fillId="2" fontId="25" numFmtId="0" xfId="0" applyAlignment="1" applyBorder="1" applyFont="1">
      <alignment readingOrder="0"/>
    </xf>
    <xf borderId="1" fillId="2" fontId="24" numFmtId="0" xfId="0" applyAlignment="1" applyBorder="1" applyFont="1">
      <alignment readingOrder="0"/>
    </xf>
    <xf borderId="1" fillId="2" fontId="25" numFmtId="0" xfId="0" applyBorder="1" applyFont="1"/>
    <xf borderId="1" fillId="0" fontId="22" numFmtId="0" xfId="0" applyAlignment="1" applyBorder="1" applyFont="1">
      <alignment readingOrder="0"/>
    </xf>
    <xf borderId="2" fillId="0" fontId="20" numFmtId="0" xfId="0" applyAlignment="1" applyBorder="1" applyFont="1">
      <alignment readingOrder="0" vertical="top"/>
    </xf>
  </cellXfs>
  <cellStyles count="1">
    <cellStyle xfId="0" name="Normal" builtinId="0"/>
  </cellStyles>
  <dxfs count="5">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CCA677"/>
          <bgColor rgb="FFCCA677"/>
        </patternFill>
      </fill>
      <border/>
    </dxf>
    <dxf>
      <font/>
      <fill>
        <patternFill patternType="solid">
          <fgColor rgb="FFF8F2EB"/>
          <bgColor rgb="FFF8F2EB"/>
        </patternFill>
      </fill>
      <border/>
    </dxf>
  </dxfs>
  <tableStyles count="9">
    <tableStyle count="2" pivot="0" name="Solution Review-style">
      <tableStyleElement dxfId="1" type="firstRowStripe"/>
      <tableStyleElement dxfId="2" type="secondRowStripe"/>
    </tableStyle>
    <tableStyle count="2" pivot="0" name="Solution Review-style 2">
      <tableStyleElement dxfId="1" type="firstRowStripe"/>
      <tableStyleElement dxfId="2" type="secondRowStripe"/>
    </tableStyle>
    <tableStyle count="2" pivot="0" name="Solution Review-style 3">
      <tableStyleElement dxfId="2" type="firstRowStripe"/>
      <tableStyleElement dxfId="1" type="secondRowStripe"/>
    </tableStyle>
    <tableStyle count="2" pivot="0" name="Solution Review-style 4">
      <tableStyleElement dxfId="1" type="firstRowStripe"/>
      <tableStyleElement dxfId="2" type="secondRowStripe"/>
    </tableStyle>
    <tableStyle count="3" pivot="0" name="Visit Scheduling-style">
      <tableStyleElement dxfId="3" type="headerRow"/>
      <tableStyleElement dxfId="2" type="firstRowStripe"/>
      <tableStyleElement dxfId="4" type="secondRowStripe"/>
    </tableStyle>
    <tableStyle count="2" pivot="0" name="Visit Scheduling-style 2">
      <tableStyleElement dxfId="2" type="firstRowStripe"/>
      <tableStyleElement dxfId="1" type="secondRowStripe"/>
    </tableStyle>
    <tableStyle count="2" pivot="0" name="Visit Scheduling-style 3">
      <tableStyleElement dxfId="2" type="firstRowStripe"/>
      <tableStyleElement dxfId="1" type="secondRowStripe"/>
    </tableStyle>
    <tableStyle count="3" pivot="0" name="Form Metadata &amp; User Group Perm-style">
      <tableStyleElement dxfId="3" type="headerRow"/>
      <tableStyleElement dxfId="2" type="firstRowStripe"/>
      <tableStyleElement dxfId="4" type="secondRowStripe"/>
    </tableStyle>
    <tableStyle count="2" pivot="0" name="Form Metadata &amp; User Group Perm-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a375ae0b-2523-4b9a-859e-50deef1c9ecb}">
    <Anchor>
      <Comment id="{9df0c90a-8cb9-4a27-b17d-84a29148b8f4}"/>
    </Anchor>
    <History>
      <Event time="2025-09-10T07:01:19.00" id="{62afe06b-5cfe-406f-a848-148a433d87c7}">
        <Attribution userId="placeholder@email.com" userName="Anjali Bhagabati" userProvider="google-sheets"/>
        <Anchor>
          <Comment id="{9df0c90a-8cb9-4a27-b17d-84a29148b8f4}"/>
        </Anchor>
        <Create/>
      </Event>
      <Event time="2025-09-10T07:01:19.00" id="{8994b741-ac13-4f7c-9b45-8ca2724d961e}">
        <Attribution userId="placeholder@email.com" userName="Anjali Bhagabati" userProvider="google-sheets"/>
        <Anchor>
          <Comment id="{9df0c90a-8cb9-4a27-b17d-84a29148b8f4}"/>
        </Anchor>
        <Assign userId="ashok.ku22@gmail.com" userName="ashok.ku22@gmail.com" userProvider="google-sheets"/>
      </Event>
    </History>
  </Task>
  <Task id="{a8a3b1ba-9c28-4714-a015-a8d0efb9d752}">
    <Anchor>
      <Comment id="{a58fd1f2-26d6-40af-ad9e-405981605520}"/>
    </Anchor>
    <History>
      <Event time="2025-09-10T12:40:07.00" id="{b6f237b6-514a-48be-904e-0f1f75518afa}">
        <Attribution userId="placeholder@email.com" userName="Anjali Bhagabati" userProvider="google-sheets"/>
        <Anchor>
          <Comment id="{a58fd1f2-26d6-40af-ad9e-405981605520}"/>
        </Anchor>
        <Create/>
      </Event>
      <Event time="2025-09-10T12:40:07.00" id="{b215049e-ec04-4323-945b-5848dfa7d5d2}">
        <Attribution userId="placeholder@email.com" userName="Anjali Bhagabati" userProvider="google-sheets"/>
        <Anchor>
          <Comment id="{a58fd1f2-26d6-40af-ad9e-405981605520}"/>
        </Anchor>
        <Assign userId="ashok.ku22@gmail.com" userName="ashok.ku22@gmail.com" userProvider="google-sheets"/>
      </Event>
    </History>
  </Task>
  <Task id="{2e09c9ce-fe0f-4dc6-9a53-60aa9b6e71cb}">
    <Anchor>
      <Comment id="{f5d07758-ba2e-4460-8c69-0d432501e305}"/>
    </Anchor>
    <History>
      <Event time="2025-09-11T11:13:00.00" id="{4a17308c-f9f4-4027-9abb-32ef111a1888}">
        <Attribution userId="placeholder@email.com" userName="Anjali Bhagabati" userProvider="google-sheets"/>
        <Anchor>
          <Comment id="{f5d07758-ba2e-4460-8c69-0d432501e305}"/>
        </Anchor>
        <Create/>
      </Event>
      <Event time="2025-09-11T11:13:00.00" id="{a508eca3-c8a9-4fcb-8b35-781c3c00cdd8}">
        <Attribution userId="placeholder@email.com" userName="Anjali Bhagabati" userProvider="google-sheets"/>
        <Anchor>
          <Comment id="{f5d07758-ba2e-4460-8c69-0d432501e305}"/>
        </Anchor>
        <Assign userId="ashok.ku22@gmail.com" userName="ashok.ku22@gmail.com" userProvider="google-sheets"/>
      </Event>
    </History>
  </Task>
  <Task id="{71b00d32-210d-4e05-a0aa-9f9cf0176ec6}">
    <Anchor>
      <Comment id="{af18cc7b-b565-4398-ad86-79bed707e189}"/>
    </Anchor>
    <History>
      <Event time="2025-09-11T11:07:58.00" id="{70decdd0-028f-4fdb-b912-2537115a5ff6}">
        <Attribution userId="placeholder@email.com" userName="Anjali Bhagabati" userProvider="google-sheets"/>
        <Anchor>
          <Comment id="{af18cc7b-b565-4398-ad86-79bed707e189}"/>
        </Anchor>
        <Create/>
      </Event>
      <Event time="2025-09-11T11:07:58.00" id="{8d94d768-9471-4126-b6de-5a097d069c0a}">
        <Attribution userId="placeholder@email.com" userName="Anjali Bhagabati" userProvider="google-sheets"/>
        <Anchor>
          <Comment id="{af18cc7b-b565-4398-ad86-79bed707e189}"/>
        </Anchor>
        <Assign userId="ashok.ku22@gmail.com" userName="ashok.ku22@gmail.com" userProvider="google-sheets"/>
      </Event>
    </History>
  </Task>
  <Task id="{71634e0e-098e-47c2-b895-77550c169d92}">
    <Anchor>
      <Comment id="{a3dce465-2fbb-4ac9-90a5-030790637c61}"/>
    </Anchor>
    <History>
      <Event time="2025-10-27T05:20:02.00" id="{5df576ca-42ed-4ec9-9b33-9d0bd0ed39fa}">
        <Attribution userId="placeholder@email.com" userName="Anjali Bhagabati" userProvider="google-sheets"/>
        <Anchor>
          <Comment id="{a3dce465-2fbb-4ac9-90a5-030790637c61}"/>
        </Anchor>
        <Create/>
      </Event>
      <Event time="2025-10-27T05:20:02.00" id="{b5c63c2f-f37f-488e-8e45-129b49dc17bf}">
        <Attribution userId="placeholder@email.com" userName="Anjali Bhagabati" userProvider="google-sheets"/>
        <Anchor>
          <Comment id="{a3dce465-2fbb-4ac9-90a5-030790637c61}"/>
        </Anchor>
        <Assign userId="mnedofficer@ekam.ngo" userName="mnedofficer@ekam.ngo" userProvider="google-sheets"/>
      </Event>
    </History>
  </Task>
</Tasks>
</file>

<file path=xl/documenttasks/documenttask2.xml><?xml version="1.0" encoding="utf-8"?>
<Tasks xmlns="http://schemas.microsoft.com/office/tasks/2019/documenttasks">
  <Task id="{ec288366-f1f7-4b52-bc0a-186a63b74e23}">
    <Anchor>
      <Comment id="{a931f18d-2805-4fb9-b2e2-69ef254babbb}"/>
    </Anchor>
    <History>
      <Event time="2025-10-22T03:49:35.00" id="{e9bea047-a12a-454b-9d49-d6a99624562c}">
        <Attribution userId="placeholder@email.com" userName="Anjali Bhagabati" userProvider="google-sheets"/>
        <Anchor>
          <Comment id="{a931f18d-2805-4fb9-b2e2-69ef254babbb}"/>
        </Anchor>
        <Create/>
      </Event>
      <Event time="2025-10-22T03:49:35.00" id="{4e881c26-6118-46f4-a8d1-ddd2aa66b4a0}">
        <Attribution userId="placeholder@email.com" userName="Anjali Bhagabati" userProvider="google-sheets"/>
        <Anchor>
          <Comment id="{a931f18d-2805-4fb9-b2e2-69ef254babbb}"/>
        </Anchor>
        <Assign userId="mnedofficer@ekam.ngo" userName="mnedofficer@ekam.ngo" userProvider="google-sheets"/>
      </Event>
    </History>
  </Task>
  <Task id="{1423a2d7-4e71-46b0-aecc-1ee952d8c58e}">
    <Anchor>
      <Comment id="{7c954398-141e-45af-a79d-2c1cff8e3954}"/>
    </Anchor>
    <History>
      <Event time="2025-10-24T08:19:56.00" id="{d207cd1c-224a-4b68-9935-db751c082814}">
        <Attribution userId="placeholder@email.com" userName="Anjali Bhagabati" userProvider="google-sheets"/>
        <Anchor>
          <Comment id="{bb0e7e77-51b6-4afd-9c91-962e185dce1e}"/>
        </Anchor>
        <Create/>
      </Event>
      <Event time="2025-10-24T08:19:56.00" id="{3b1475ed-635f-43dd-ad63-4a62a69bffa2}">
        <Attribution userId="placeholder@email.com" userName="Anjali Bhagabati" userProvider="google-sheets"/>
        <Anchor>
          <Comment id="{bb0e7e77-51b6-4afd-9c91-962e185dce1e}"/>
        </Anchor>
        <Assign userId="tnprogramlead@ekam.ngo" userName="tnprogramlead@ekam.ngo" userProvider="google-sheets"/>
      </Event>
    </History>
  </Task>
  <Task id="{7dafc23f-34ad-49a9-8f1e-803d55858b97}">
    <Anchor>
      <Comment id="{8ad7575c-7e00-4d01-9c05-0d0b1bad077e}"/>
    </Anchor>
    <History>
      <Event time="2025-10-24T12:39:45.00" id="{1fc57d77-5914-484f-b5a7-22944577be32}">
        <Attribution userId="placeholder@email.com" userName="Anjali Bhagabati" userProvider="google-sheets"/>
        <Anchor>
          <Comment id="{8ad7575c-7e00-4d01-9c05-0d0b1bad077e}"/>
        </Anchor>
        <Create/>
      </Event>
      <Event time="2025-10-24T12:39:45.00" id="{aa9bdb67-1ff2-4eec-a316-1287fbc9f43c}">
        <Attribution userId="placeholder@email.com" userName="Anjali Bhagabati" userProvider="google-sheets"/>
        <Anchor>
          <Comment id="{8ad7575c-7e00-4d01-9c05-0d0b1bad077e}"/>
        </Anchor>
        <Assign userId="mnedofficer@ekam.ngo" userName="mnedofficer@ekam.ngo" userProvider="google-sheets"/>
      </Event>
    </History>
  </Task>
  <Task id="{632aa340-cc4d-411b-836a-c5b53d17e83a}">
    <Anchor>
      <Comment id="{d3340fe4-dcb8-43c6-a4b5-9b9aac91e87c}"/>
    </Anchor>
    <History>
      <Event time="2025-10-24T12:39:53.00" id="{1caa583c-c9ad-4cc6-b4a2-96341f3aea3a}">
        <Attribution userId="placeholder@email.com" userName="Anjali Bhagabati" userProvider="google-sheets"/>
        <Anchor>
          <Comment id="{d3340fe4-dcb8-43c6-a4b5-9b9aac91e87c}"/>
        </Anchor>
        <Create/>
      </Event>
      <Event time="2025-10-24T12:39:53.00" id="{4f2f0823-8557-4cee-9835-1cd15829232b}">
        <Attribution userId="placeholder@email.com" userName="Anjali Bhagabati" userProvider="google-sheets"/>
        <Anchor>
          <Comment id="{d3340fe4-dcb8-43c6-a4b5-9b9aac91e87c}"/>
        </Anchor>
        <Assign userId="mnedofficer@ekam.ngo" userName="mnedofficer@ekam.ngo" userProvider="google-sheets"/>
      </Event>
    </History>
  </Task>
  <Task id="{81177df0-c5e3-48c9-9920-a35f4a0cf65a}">
    <Anchor>
      <Comment id="{d75f2281-c973-4981-985d-c38617a6f68b}"/>
    </Anchor>
    <History>
      <Event time="2025-11-06T08:20:47.00" id="{15ef833b-dcc1-405a-88e9-c4ac860615f6}">
        <Attribution userId="placeholder@email.com" userName="Anjali Bhagabati" userProvider="google-sheets"/>
        <Anchor>
          <Comment id="{28aaa43d-8e99-48a3-96ae-98af611446b8}"/>
        </Anchor>
        <Create/>
      </Event>
      <Event time="2025-11-06T08:20:47.00" id="{874bf7e6-0837-452b-a233-67b8cd752b4a}">
        <Attribution userId="placeholder@email.com" userName="Anjali Bhagabati" userProvider="google-sheets"/>
        <Anchor>
          <Comment id="{28aaa43d-8e99-48a3-96ae-98af611446b8}"/>
        </Anchor>
        <Assign userId="mnedofficer@ekam.ngo" userName="mnedofficer@ekam.ngo" userProvider="google-sheets"/>
      </Event>
    </History>
  </Task>
  <Task id="{4edef392-a82a-4483-b3fa-dc482d7c3a24}">
    <Anchor>
      <Comment id="{be3185d0-83ea-429c-816a-9992f767f9b6}"/>
    </Anchor>
    <History>
      <Event time="2025-11-03T10:33:41.00" id="{19321418-1383-41a3-bda5-82a0d95840ce}">
        <Attribution userId="placeholder@email.com" userName="Anjali Bhagabati" userProvider="google-sheets"/>
        <Anchor>
          <Comment id="{955bd561-4bb3-4e81-9b67-f4d128644c33}"/>
        </Anchor>
        <Create/>
      </Event>
      <Event time="2025-11-03T10:33:41.00" id="{63ae2c9b-93b2-4c03-afbf-ff4915248fc4}">
        <Attribution userId="placeholder@email.com" userName="Anjali Bhagabati" userProvider="google-sheets"/>
        <Anchor>
          <Comment id="{955bd561-4bb3-4e81-9b67-f4d128644c33}"/>
        </Anchor>
        <Assign userId="dineshg@samanvayfoundation.org" userName="dineshg@samanvayfoundation.org" userProvider="google-sheets"/>
      </Event>
    </History>
  </Task>
  <Task id="{50724c8b-9e8c-4eb9-bfe1-bc1077aa0d54}">
    <Anchor>
      <Comment id="{48e562fc-c1c5-4aba-93ce-08561629c0a2}"/>
    </Anchor>
    <History>
      <Event time="2025-11-06T08:21:05.00" id="{bcdcbc16-c076-4840-b20b-ecc3d2af5d44}">
        <Attribution userId="placeholder@email.com" userName="Anjali Bhagabati" userProvider="google-sheets"/>
        <Anchor>
          <Comment id="{7467715e-1860-4d01-a302-5008fec37d23}"/>
        </Anchor>
        <Create/>
      </Event>
      <Event time="2025-11-06T08:21:05.00" id="{fe9126dc-aca8-476a-bd48-410bc7aaba5d}">
        <Attribution userId="placeholder@email.com" userName="Anjali Bhagabati" userProvider="google-sheets"/>
        <Anchor>
          <Comment id="{7467715e-1860-4d01-a302-5008fec37d23}"/>
        </Anchor>
        <Assign userId="mnedofficer@ekam.ngo" userName="mnedofficer@ekam.ngo" userProvider="google-sheets"/>
      </Event>
    </History>
  </Task>
  <Task id="{0b6883a8-bb71-44dc-96ea-bdc320ff3bef}">
    <Anchor>
      <Comment id="{f9919316-6598-47ef-a4a8-6221804dc291}"/>
    </Anchor>
    <History>
      <Event time="2025-11-06T08:20:07.00" id="{645c65d0-f0a3-4b62-8b16-95d3395a48c6}">
        <Attribution userId="placeholder@email.com" userName="Anjali Bhagabati" userProvider="google-sheets"/>
        <Anchor>
          <Comment id="{4f9e13cb-30c6-420c-8f18-1d0deac6d258}"/>
        </Anchor>
        <Create/>
      </Event>
      <Event time="2025-11-06T08:20:07.00" id="{e51ed149-2ff5-4b9f-8cb5-2fc2754348ac}">
        <Attribution userId="placeholder@email.com" userName="Anjali Bhagabati" userProvider="google-sheets"/>
        <Anchor>
          <Comment id="{4f9e13cb-30c6-420c-8f18-1d0deac6d258}"/>
        </Anchor>
        <Assign userId="mnedofficer@ekam.ngo" userName="mnedofficer@ekam.ngo" userProvider="google-sheets"/>
      </Event>
    </History>
  </Task>
  <Task id="{4364c611-97ad-43b9-902f-75211f1b193d}">
    <Anchor>
      <Comment id="{aed0bff2-36bb-4f0c-934b-572b5942661f}"/>
    </Anchor>
    <History>
      <Event time="2025-10-27T15:23:52.00" id="{f5916f45-54eb-4bd6-82f7-58c3a353e194}">
        <Attribution userId="placeholder@email.com" userName="Manickam S" userProvider="google-sheets"/>
        <Anchor>
          <Comment id="{fc8c409e-5dd7-4d96-9839-5bb294e249ef}"/>
        </Anchor>
        <Create/>
      </Event>
      <Event time="2025-10-27T15:23:52.00" id="{3c2f443b-c278-48ec-8676-7107e947ede8}">
        <Attribution userId="placeholder@email.com" userName="Manickam S" userProvider="google-sheets"/>
        <Anchor>
          <Comment id="{fc8c409e-5dd7-4d96-9839-5bb294e249ef}"/>
        </Anchor>
        <Assign userId="anjalib@samanvayfoundation.org" userName="anjalib@samanvayfoundation.org" userProvider="google-sheets"/>
      </Event>
    </History>
  </Task>
  <Task id="{886ed17d-6e53-4686-8013-697fef9cd7c3}">
    <Anchor>
      <Comment id="{213d3831-b590-45b5-b8ec-66b8932988ae}"/>
    </Anchor>
    <History>
      <Event time="2025-10-27T05:11:40.00" id="{21ed6c17-21a7-468e-9e8e-1ea7cd2a95f0}">
        <Attribution userId="placeholder@email.com" userName="Anjali Bhagabati" userProvider="google-sheets"/>
        <Anchor>
          <Comment id="{213d3831-b590-45b5-b8ec-66b8932988ae}"/>
        </Anchor>
        <Create/>
      </Event>
      <Event time="2025-10-27T05:11:40.00" id="{8487552e-e229-44a9-9e85-4b33b1a44f51}">
        <Attribution userId="placeholder@email.com" userName="Anjali Bhagabati" userProvider="google-sheets"/>
        <Anchor>
          <Comment id="{213d3831-b590-45b5-b8ec-66b8932988ae}"/>
        </Anchor>
        <Assign userId="mnedofficer@ekam.ngo" userName="mnedofficer@ekam.ngo" userProvider="google-sheets"/>
      </Event>
    </History>
  </Task>
  <Task id="{6e9adba3-6597-40e2-b6ca-3e2e61b8f5aa}">
    <Anchor>
      <Comment id="{125b044c-ed35-481a-b01d-0aa4bbdd8368}"/>
    </Anchor>
    <History>
      <Event time="2025-10-28T06:46:30.00" id="{07e6a9fe-ee1a-454a-999d-f84257538300}">
        <Attribution userId="placeholder@email.com" userName="Manickam S" userProvider="google-sheets"/>
        <Anchor>
          <Comment id="{125b044c-ed35-481a-b01d-0aa4bbdd8368}"/>
        </Anchor>
        <Create/>
      </Event>
      <Event time="2025-10-28T06:46:30.00" id="{36b5a9e6-d16c-4737-a5c2-76ad051d1f22}">
        <Attribution userId="placeholder@email.com" userName="Manickam S" userProvider="google-sheets"/>
        <Anchor>
          <Comment id="{125b044c-ed35-481a-b01d-0aa4bbdd8368}"/>
        </Anchor>
        <Assign userId="anjalib@samanvayfoundation.org" userName="anjalib@samanvayfoundation.org" userProvider="google-sheets"/>
      </Event>
    </History>
  </Task>
</Tasks>
</file>

<file path=xl/documenttasks/documenttask3.xml><?xml version="1.0" encoding="utf-8"?>
<Tasks xmlns="http://schemas.microsoft.com/office/tasks/2019/documenttasks">
  <Task id="{6311f5f0-d0c9-4d96-b32b-df608d5d9ad6}">
    <Anchor>
      <Comment id="{0e2a79d8-dbe8-46a5-8798-168b31274d8c}"/>
    </Anchor>
    <History>
      <Event time="2025-10-23T06:42:31.00" id="{140e7a5f-b956-49b0-bab9-473f328a3719}">
        <Attribution userId="placeholder@email.com" userName="Anjali Bhagabati" userProvider="google-sheets"/>
        <Anchor>
          <Comment id="{85c3fd1b-0c4c-42ef-b7f5-53e225473ff6}"/>
        </Anchor>
        <Create/>
      </Event>
      <Event time="2025-10-23T06:42:31.00" id="{c190f3a8-b4a5-4a89-9567-9882ecb03582}">
        <Attribution userId="placeholder@email.com" userName="Anjali Bhagabati" userProvider="google-sheets"/>
        <Anchor>
          <Comment id="{85c3fd1b-0c4c-42ef-b7f5-53e225473ff6}"/>
        </Anchor>
        <Assign userId="tnprogramlead@ekam.ngo" userName="tnprogramlead@ekam.ngo" userProvider="google-sheets"/>
      </Event>
    </History>
  </Task>
  <Task id="{9a5452ec-f2b1-4bea-b9be-290d56fab137}">
    <Anchor>
      <Comment id="{a7717cb6-bad4-4439-9d4d-2464355a75c5}"/>
    </Anchor>
    <History>
      <Event time="2025-10-21T11:25:33.00" id="{096610bc-0454-468e-bd46-33e01ebf6798}">
        <Attribution userId="placeholder@email.com" userName="Manickam S" userProvider="google-sheets"/>
        <Anchor>
          <Comment id="{a7717cb6-bad4-4439-9d4d-2464355a75c5}"/>
        </Anchor>
        <Create/>
      </Event>
      <Event time="2025-10-21T11:25:33.00" id="{b90fc7fe-7aae-4ee1-a2e6-76ba299c419c}">
        <Attribution userId="placeholder@email.com" userName="Manickam S" userProvider="google-sheets"/>
        <Anchor>
          <Comment id="{a7717cb6-bad4-4439-9d4d-2464355a75c5}"/>
        </Anchor>
        <Assign userId="anjalib@samanvayfoundation.org" userName="anjalib@samanvayfoundation.org" userProvider="google-sheets"/>
      </Event>
    </History>
  </Task>
</Tasks>
</file>

<file path=xl/documenttasks/documenttask4.xml><?xml version="1.0" encoding="utf-8"?>
<Tasks xmlns="http://schemas.microsoft.com/office/tasks/2019/documenttasks">
  <Task id="{aa28bb19-fbab-4008-a156-c4af159e80e9}">
    <Anchor>
      <Comment id="{e4b7e3bf-4e44-41fd-b5fd-9fe8703003cd}"/>
    </Anchor>
    <History>
      <Event time="2025-09-10T05:54:39.00" id="{b96a956e-c0a1-4721-8ca9-072e0fc4aaf2}">
        <Attribution userId="placeholder@email.com" userName="Anjali Bhagabati" userProvider="google-sheets"/>
        <Anchor>
          <Comment id="{e4b7e3bf-4e44-41fd-b5fd-9fe8703003cd}"/>
        </Anchor>
        <Create/>
      </Event>
      <Event time="2025-09-10T05:54:39.00" id="{e9e0d026-ceb4-42cf-a05a-78d57bea821a}">
        <Attribution userId="placeholder@email.com" userName="Anjali Bhagabati" userProvider="google-sheets"/>
        <Anchor>
          <Comment id="{e4b7e3bf-4e44-41fd-b5fd-9fe8703003cd}"/>
        </Anchor>
        <Assign userId="ashok.ku22@gmail.com" userName="ashok.ku22@gmail.com" userProvider="google-sheets"/>
      </Event>
    </History>
  </Task>
</Tasks>
</file>

<file path=xl/documenttasks/documenttask5.xml><?xml version="1.0" encoding="utf-8"?>
<Tasks xmlns="http://schemas.microsoft.com/office/tasks/2019/documenttasks">
  <Task id="{c76e8322-0d14-4614-a732-321c1bda756a}">
    <Anchor>
      <Comment id="{da8e5f57-4509-4f4f-a93e-5493d09762fa}"/>
    </Anchor>
    <History>
      <Event time="2025-09-25T05:01:57.00" id="{21e85da9-de2a-4804-8b8b-f7aaa95e06dd}">
        <Attribution userId="placeholder@email.com" userName="Anjali Bhagabati" userProvider="google-sheets"/>
        <Anchor>
          <Comment id="{da8e5f57-4509-4f4f-a93e-5493d09762fa}"/>
        </Anchor>
        <Create/>
      </Event>
      <Event time="2025-09-25T05:01:57.00" id="{b5eb88ae-34e5-43d6-942a-eb98ddc3e26c}">
        <Attribution userId="placeholder@email.com" userName="Anjali Bhagabati" userProvider="google-sheets"/>
        <Anchor>
          <Comment id="{da8e5f57-4509-4f4f-a93e-5493d09762fa}"/>
        </Anchor>
        <Assign userId="ashok.ku22@gmail.com" userName="ashok.ku22@gmail.com" userProvider="google-sheets"/>
      </Event>
    </History>
  </Task>
  <Task id="{882d1a87-8f34-4075-86d6-07267321615d}">
    <Anchor>
      <Comment id="{8521e1d1-b34e-4b7c-9020-c605b85a71ee}"/>
    </Anchor>
    <History>
      <Event time="2025-10-03T09:07:49.00" id="{2f633896-b8c8-40f4-a1f7-eedc0b9ca9aa}">
        <Attribution userId="placeholder@email.com" userName="Dinesh G" userProvider="google-sheets"/>
        <Anchor>
          <Comment id="{8521e1d1-b34e-4b7c-9020-c605b85a71ee}"/>
        </Anchor>
        <Create/>
      </Event>
      <Event time="2025-10-03T09:07:49.00" id="{1ad65444-106e-4c9b-b397-7309a40bcf22}">
        <Attribution userId="placeholder@email.com" userName="Dinesh G" userProvider="google-sheets"/>
        <Anchor>
          <Comment id="{8521e1d1-b34e-4b7c-9020-c605b85a71ee}"/>
        </Anchor>
        <Assign userId="anjalib@samanvayfoundation.org" userName="anjalib@samanvayfoundation.org" userProvider="google-sheets"/>
      </Event>
    </History>
  </Task>
</Tasks>
</file>

<file path=xl/documenttasks/documenttask6.xml><?xml version="1.0" encoding="utf-8"?>
<Tasks xmlns="http://schemas.microsoft.com/office/tasks/2019/documenttasks">
  <Task id="{f9e9cb7e-76a4-4313-b86c-1827b976cc63}">
    <Anchor>
      <Comment id="{ca4cb299-9619-4a83-96d8-34382a24cdf9}"/>
    </Anchor>
    <History>
      <Event time="2025-10-09T07:25:25.00" id="{2c76eb89-607a-4fe8-80d0-9addb0fb2092}">
        <Attribution userId="placeholder@email.com" userName="Manickam S" userProvider="google-sheets"/>
        <Anchor>
          <Comment id="{ca4cb299-9619-4a83-96d8-34382a24cdf9}"/>
        </Anchor>
        <Create/>
      </Event>
      <Event time="2025-10-09T07:25:25.00" id="{afa7fdb8-edfb-4b9b-8c6f-266f27223861}">
        <Attribution userId="placeholder@email.com" userName="Manickam S" userProvider="google-sheets"/>
        <Anchor>
          <Comment id="{ca4cb299-9619-4a83-96d8-34382a24cdf9}"/>
        </Anchor>
        <Assign userId="ashokk@samanvayfoundation.org" userName="ashokk@samanvayfoundation.org" userProvider="google-sheets"/>
      </Event>
    </History>
  </Task>
</Tasks>
</file>

<file path=xl/documenttasks/documenttask7.xml><?xml version="1.0" encoding="utf-8"?>
<Tasks xmlns="http://schemas.microsoft.com/office/tasks/2019/documenttasks">
  <Task id="{c7d00e67-77a6-4b4d-9aaa-c8b07d65639a}">
    <Anchor>
      <Comment id="{8420ad1d-11bd-4534-8708-0e64a4d0332f}"/>
    </Anchor>
    <History>
      <Event time="2025-09-19T10:23:06.00" id="{92f15298-3864-4276-9d91-98053549c18a}">
        <Attribution userId="placeholder@email.com" userName="ashok kumar" userProvider="google-sheets"/>
        <Anchor>
          <Comment id="{8420ad1d-11bd-4534-8708-0e64a4d0332f}"/>
        </Anchor>
        <Create/>
      </Event>
      <Event time="2025-09-19T10:23:06.00" id="{7ce3ef68-3e76-411e-b6b6-a7dba03ad2ce}">
        <Attribution userId="placeholder@email.com" userName="ashok kumar" userProvider="google-sheets"/>
        <Anchor>
          <Comment id="{8420ad1d-11bd-4534-8708-0e64a4d0332f}"/>
        </Anchor>
        <Assign userId="anjalib@samanvayfoundation.org" userName="anjalib@samanvayfoundation.org" userProvider="google-sheets"/>
      </Event>
    </History>
  </Task>
</Tasks>
</file>

<file path=xl/documenttasks/documenttask8.xml><?xml version="1.0" encoding="utf-8"?>
<Tasks xmlns="http://schemas.microsoft.com/office/tasks/2019/documenttasks">
  <Task id="{ec905321-be14-46f0-b682-a05a270e0901}">
    <Anchor>
      <Comment id="{950ec42a-2cf8-4e11-a99b-3d39a9df9ecf}"/>
    </Anchor>
    <History>
      <Event time="2025-09-24T10:35:08.00" id="{2e7770e4-7191-40c1-80be-745c4377676e}">
        <Attribution userId="placeholder@email.com" userName="Anjali Bhagabati" userProvider="google-sheets"/>
        <Anchor>
          <Comment id="{950ec42a-2cf8-4e11-a99b-3d39a9df9ecf}"/>
        </Anchor>
        <Create/>
      </Event>
      <Event time="2025-09-24T10:35:08.00" id="{55e3298c-2d7f-4559-9568-f9bc164202f4}">
        <Attribution userId="placeholder@email.com" userName="Anjali Bhagabati" userProvider="google-sheets"/>
        <Anchor>
          <Comment id="{950ec42a-2cf8-4e11-a99b-3d39a9df9ecf}"/>
        </Anchor>
        <Assign userId="ashok.ku22@gmail.com" userName="ashok.ku22@gmail.com" userProvider="google-sheets"/>
      </Event>
    </History>
  </Task>
</Tasks>
</file>

<file path=xl/documenttasks/documenttask9.xml><?xml version="1.0" encoding="utf-8"?>
<Tasks xmlns="http://schemas.microsoft.com/office/tasks/2019/documenttasks">
  <Task id="{4b1898c5-36d9-48fb-8802-3599bbcf1704}">
    <Anchor>
      <Comment id="{2da6f632-c37a-46ac-abea-d90d7822bc5d}"/>
    </Anchor>
    <History>
      <Event time="2025-10-01T06:03:39.00" id="{92fb82f7-a81b-44c8-aeab-34fcf40377db}">
        <Attribution userId="placeholder@email.com" userName="Anjali Bhagabati" userProvider="google-sheets"/>
        <Anchor>
          <Comment id="{b259b685-3441-40e8-bc0d-bfdf9ad5f1f8}"/>
        </Anchor>
        <Create/>
      </Event>
      <Event time="2025-10-01T06:03:39.00" id="{d1cd786f-605c-4237-825b-246eaf25168c}">
        <Attribution userId="placeholder@email.com" userName="Anjali Bhagabati" userProvider="google-sheets"/>
        <Anchor>
          <Comment id="{b259b685-3441-40e8-bc0d-bfdf9ad5f1f8}"/>
        </Anchor>
        <Assign userId="dineshg@samanvayfoundation.org" userName="dineshg@samanvayfoundation.org" userProvider="google-sheets"/>
      </Event>
    </History>
  </Task>
  <Task id="{5e9c3f8f-29cf-4ef9-b6da-ba29f4a24ca4}">
    <Anchor>
      <Comment id="{31017612-4ea1-41f0-bcb1-e3e13a854181}"/>
    </Anchor>
    <History>
      <Event time="2025-10-01T06:04:11.00" id="{66c12ba8-61d5-46c2-86b8-34c1a7f23734}">
        <Attribution userId="placeholder@email.com" userName="Anjali Bhagabati" userProvider="google-sheets"/>
        <Anchor>
          <Comment id="{787db0bd-a35c-41af-af85-ff9b664a7fbc}"/>
        </Anchor>
        <Create/>
      </Event>
      <Event time="2025-10-01T06:04:11.00" id="{a9a7bd2a-b322-43c2-82cd-14b5bae69a83}">
        <Attribution userId="placeholder@email.com" userName="Anjali Bhagabati" userProvider="google-sheets"/>
        <Anchor>
          <Comment id="{787db0bd-a35c-41af-af85-ff9b664a7fbc}"/>
        </Anchor>
        <Assign userId="dineshg@samanvayfoundation.org" userName="dineshg@samanvayfoundation.org" userProvider="google-sheets"/>
      </Event>
    </History>
  </Task>
  <Task id="{f0638317-4bee-4bb9-8c91-fab61f12c251}">
    <Anchor>
      <Comment id="{783fb2ba-1442-4441-8933-63528ed9a59e}"/>
    </Anchor>
    <History>
      <Event time="2025-09-23T06:37:58.00" id="{55712b86-cf36-4e31-aa58-5438d684c24b}">
        <Attribution userId="placeholder@email.com" userName="Anjali Bhagabati" userProvider="google-sheets"/>
        <Anchor>
          <Comment id="{783fb2ba-1442-4441-8933-63528ed9a59e}"/>
        </Anchor>
        <Create/>
      </Event>
      <Event time="2025-09-23T06:37:58.00" id="{f3660d94-9401-432d-9be5-c66a5b1a9843}">
        <Attribution userId="placeholder@email.com" userName="Anjali Bhagabati" userProvider="google-sheets"/>
        <Anchor>
          <Comment id="{783fb2ba-1442-4441-8933-63528ed9a59e}"/>
        </Anchor>
        <Assign userId="anjalib@samanvayfoundation.org" userName="anjalib@samanvayfoundation.org" userProvider="google-sheets"/>
      </Event>
    </History>
  </Task>
  <Task id="{0b7413cc-2f6d-4f8d-b93a-c7f24c3c5b76}">
    <Anchor>
      <Comment id="{3ba7bc17-4f9e-41c3-bddc-06c94fd33287}"/>
    </Anchor>
    <History>
      <Event time="2025-09-01T09:39:27.00" id="{f71109c7-a4f4-4ba0-b4d9-4d774342afdd}">
        <Attribution userId="placeholder@email.com" userName="Anjali Bhagabati" userProvider="google-sheets"/>
        <Anchor>
          <Comment id="{3ba7bc17-4f9e-41c3-bddc-06c94fd33287}"/>
        </Anchor>
        <Create/>
      </Event>
      <Event time="2025-09-01T09:39:27.00" id="{83187999-46f4-42fd-836e-606c9f92a33c}">
        <Attribution userId="placeholder@email.com" userName="Anjali Bhagabati" userProvider="google-sheets"/>
        <Anchor>
          <Comment id="{3ba7bc17-4f9e-41c3-bddc-06c94fd33287}"/>
        </Anchor>
        <Assign userId="arjunk@samanvayfoundation.org" userName="arjunk@samanvayfoundation.org" userProvider="google-sheets"/>
      </Event>
    </History>
  </Task>
  <Task id="{1a8e7c7b-803c-420e-a9aa-5a4b7e2654b6}">
    <Anchor>
      <Comment id="{64b90c8f-1ddf-4992-bb47-791dcace5c04}"/>
    </Anchor>
    <History>
      <Event time="2025-10-31T06:44:50.00" id="{b4bc0da5-11e0-444b-8382-c713fcf9f04b}">
        <Attribution userId="placeholder@email.com" userName="Manickam S" userProvider="google-sheets"/>
        <Anchor>
          <Comment id="{9ce07c5b-0db4-4119-8879-475c65d9c06d}"/>
        </Anchor>
        <Create/>
      </Event>
      <Event time="2025-10-31T06:44:50.00" id="{a0b52256-ea39-4f79-814d-b27f0a164d63}">
        <Attribution userId="placeholder@email.com" userName="Manickam S" userProvider="google-sheets"/>
        <Anchor>
          <Comment id="{9ce07c5b-0db4-4119-8879-475c65d9c06d}"/>
        </Anchor>
        <Assign userId="tnprogramlead@ekam.ngo" userName="tnprogramlead@ekam.ngo" userProvider="google-sheets"/>
      </Event>
    </History>
  </Task>
  <Task id="{b52f5be1-cd3c-486a-b083-ae9a53cb0b27}">
    <Anchor>
      <Comment id="{0509c301-19ec-42e6-be1c-a85a7809f429}"/>
    </Anchor>
    <History>
      <Event time="2025-09-19T07:00:47.00" id="{0a28e2ab-2f12-4a9b-9c65-f2489ead777d}">
        <Attribution userId="placeholder@email.com" userName="Anjali Bhagabati" userProvider="google-sheets"/>
        <Anchor>
          <Comment id="{0509c301-19ec-42e6-be1c-a85a7809f429}"/>
        </Anchor>
        <Create/>
      </Event>
      <Event time="2025-09-19T07:00:47.00" id="{283b956f-7024-45c4-b115-f3acde3a94bb}">
        <Attribution userId="placeholder@email.com" userName="Anjali Bhagabati" userProvider="google-sheets"/>
        <Anchor>
          <Comment id="{0509c301-19ec-42e6-be1c-a85a7809f429}"/>
        </Anchor>
        <Assign userId="ashok.ku22@gmail.com" userName="ashok.ku22@gmail.com" userProvider="google-sheets"/>
      </Event>
    </History>
  </Task>
</Tasks>
</file>

<file path=xl/documenttasks/documenttask10.xml><?xml version="1.0" encoding="utf-8"?>
<Tasks xmlns="http://schemas.microsoft.com/office/tasks/2019/documenttasks">
  <Task id="{dba9bfbb-b472-41a5-82c9-2911289f86bc}">
    <Anchor>
      <Comment id="{af24b949-d9e6-424c-b496-fcb2694f2cd4}"/>
    </Anchor>
    <History>
      <Event time="2025-09-22T04:22:24.00" id="{031d66a7-4b88-45db-ab69-de927f778e5b}">
        <Attribution userId="placeholder@email.com" userName="Anjali Bhagabati" userProvider="google-sheets"/>
        <Anchor>
          <Comment id="{af24b949-d9e6-424c-b496-fcb2694f2cd4}"/>
        </Anchor>
        <Create/>
      </Event>
      <Event time="2025-09-22T04:22:24.00" id="{c5115bd5-3a4e-493a-92f1-e3dca7c4f4a6}">
        <Attribution userId="placeholder@email.com" userName="Anjali Bhagabati" userProvider="google-sheets"/>
        <Anchor>
          <Comment id="{af24b949-d9e6-424c-b496-fcb2694f2cd4}"/>
        </Anchor>
        <Assign userId="ashok.ku22@gmail.com" userName="ashok.ku22@gmail.com" userProvider="google-sheets"/>
      </Event>
    </History>
  </Task>
  <Task id="{c5930259-7c4d-4445-abf9-390368677399}">
    <Anchor>
      <Comment id="{2bd8d7cc-0ddc-4645-bced-3a1869428277}"/>
    </Anchor>
    <History>
      <Event time="2025-09-30T08:52:53.00" id="{87ff767a-8f6f-4768-8a84-32db80c0afa2}">
        <Attribution userId="placeholder@email.com" userName="Anjali Bhagabati" userProvider="google-sheets"/>
        <Anchor>
          <Comment id="{1698f571-3582-4816-b655-c78e6a376b79}"/>
        </Anchor>
        <Create/>
      </Event>
      <Event time="2025-09-30T08:52:53.00" id="{af9a85fe-8642-44bf-ae7c-df62807b17be}">
        <Attribution userId="placeholder@email.com" userName="Anjali Bhagabati" userProvider="google-sheets"/>
        <Anchor>
          <Comment id="{1698f571-3582-4816-b655-c78e6a376b79}"/>
        </Anchor>
        <Assign userId="dineshg@samanvayfoundation.org" userName="dineshg@samanvayfoundation.org" userProvider="google-sheets"/>
      </Event>
    </History>
  </Task>
  <Task id="{3b57c6c4-9f00-4221-a38f-fd634b65cfdc}">
    <Anchor>
      <Comment id="{5e6a2a36-07b6-4024-b9c4-f6ef4febaaac}"/>
    </Anchor>
    <History>
      <Event time="2025-11-17T07:19:35.00" id="{56a51142-1e21-4cd1-80fc-eeb7ac0ac481}">
        <Attribution userId="placeholder@email.com" userName="Pooja Harmalkar" userProvider="google-sheets"/>
        <Anchor>
          <Comment id="{14fb598f-82e4-40d9-a56d-2c5ae23e03da}"/>
        </Anchor>
        <Create/>
      </Event>
      <Event time="2025-11-17T07:19:35.00" id="{505f4383-4dc1-4132-a220-44afee1c6ec5}">
        <Attribution userId="placeholder@email.com" userName="Pooja Harmalkar" userProvider="google-sheets"/>
        <Anchor>
          <Comment id="{14fb598f-82e4-40d9-a56d-2c5ae23e03da}"/>
        </Anchor>
        <Assign userId="anjalib@samanvayfoundation.org" userName="anjalib@samanvayfoundation.org" userProvider="google-sheets"/>
      </Event>
    </History>
  </Task>
  <Task id="{3b959d95-1761-4b92-88b1-befca0cf762c}">
    <Anchor>
      <Comment id="{1592bb9e-620d-4361-bad4-124837816a11}"/>
    </Anchor>
    <History>
      <Event time="2025-10-01T06:06:01.00" id="{e0c455c2-ee9a-47c8-9ef3-379549ca265e}">
        <Attribution userId="placeholder@email.com" userName="Anjali Bhagabati" userProvider="google-sheets"/>
        <Anchor>
          <Comment id="{170c509c-d494-4c3e-b0dc-f0a6623be394}"/>
        </Anchor>
        <Create/>
      </Event>
      <Event time="2025-10-01T06:06:01.00" id="{ba024462-1d39-490a-809d-3abd6966280a}">
        <Attribution userId="placeholder@email.com" userName="Anjali Bhagabati" userProvider="google-sheets"/>
        <Anchor>
          <Comment id="{170c509c-d494-4c3e-b0dc-f0a6623be394}"/>
        </Anchor>
        <Assign userId="dineshg@samanvayfoundation.org" userName="dineshg@samanvayfoundation.org" userProvider="google-sheets"/>
      </Event>
    </History>
  </Task>
  <Task id="{4d8fcf9e-143d-4b6f-b238-1f7d12600a6f}">
    <Anchor>
      <Comment id="{1d93edeb-6dd1-4e9f-9707-d2e7e1e7d5d3}"/>
    </Anchor>
    <History>
      <Event time="2025-11-24T09:55:22.00" id="{54c6c40f-17b6-486d-938e-7504074f8b58}">
        <Attribution userId="placeholder@email.com" userName="Anjali Bhagabati" userProvider="google-sheets"/>
        <Anchor>
          <Comment id="{1d93edeb-6dd1-4e9f-9707-d2e7e1e7d5d3}"/>
        </Anchor>
        <Create/>
      </Event>
      <Event time="2025-11-24T09:55:22.00" id="{d99ebeb9-008e-4d0d-8e15-6a258cfe5c85}">
        <Attribution userId="placeholder@email.com" userName="Anjali Bhagabati" userProvider="google-sheets"/>
        <Anchor>
          <Comment id="{1d93edeb-6dd1-4e9f-9707-d2e7e1e7d5d3}"/>
        </Anchor>
        <Assign userId="mnedofficer@ekam.ngo" userName="mnedofficer@ekam.ngo" userProvider="google-sheets"/>
      </Event>
    </History>
  </Task>
  <Task id="{b3934e20-3b07-4372-9b4c-e8f15a33d674}">
    <Anchor>
      <Comment id="{996d9044-3c6f-4a76-ab37-0cbbd9e327fc}"/>
    </Anchor>
    <History>
      <Event time="2025-11-24T09:54:00.00" id="{55cd3130-49f5-4e46-babb-87f213d165bb}">
        <Attribution userId="placeholder@email.com" userName="Anjali Bhagabati" userProvider="google-sheets"/>
        <Anchor>
          <Comment id="{996d9044-3c6f-4a76-ab37-0cbbd9e327fc}"/>
        </Anchor>
        <Create/>
      </Event>
      <Event time="2025-11-24T09:54:00.00" id="{7aa4ded9-21d3-4490-8a95-06f791177e5b}">
        <Attribution userId="placeholder@email.com" userName="Anjali Bhagabati" userProvider="google-sheets"/>
        <Anchor>
          <Comment id="{996d9044-3c6f-4a76-ab37-0cbbd9e327fc}"/>
        </Anchor>
        <Assign userId="mnedofficer@ekam.ngo" userName="mnedofficer@ekam.ngo" userProvider="google-sheets"/>
      </Event>
    </History>
  </Task>
  <Task id="{253319aa-5808-4b7b-9c2e-f5e3d7cb5603}">
    <Anchor>
      <Comment id="{67b3e22f-ff61-4020-b9ae-8a80a798e485}"/>
    </Anchor>
    <History>
      <Event time="2025-09-15T10:50:54.00" id="{89950e7d-106a-48d5-b585-fb06f5c74b8a}">
        <Attribution userId="placeholder@email.com" userName="ashok kumar" userProvider="google-sheets"/>
        <Anchor>
          <Comment id="{67b3e22f-ff61-4020-b9ae-8a80a798e485}"/>
        </Anchor>
        <Create/>
      </Event>
      <Event time="2025-09-15T10:50:54.00" id="{6eb3ae01-3187-4587-815e-5cc0bce6f62e}">
        <Attribution userId="placeholder@email.com" userName="ashok kumar" userProvider="google-sheets"/>
        <Anchor>
          <Comment id="{67b3e22f-ff61-4020-b9ae-8a80a798e485}"/>
        </Anchor>
        <Assign userId="tnprogramlead@ekam.ngo" userName="tnprogramlead@ekam.ngo" userProvider="google-sheets"/>
      </Event>
    </History>
  </Task>
  <Task id="{8af044ec-bb72-47ca-aff7-bee7a30683b2}">
    <Anchor>
      <Comment id="{0969ac98-80c9-4f99-8a57-65d2557edf85}"/>
    </Anchor>
    <History>
      <Event time="2025-11-24T09:53:53.00" id="{65d8dcaf-e9d1-4394-bdfe-06532707b700}">
        <Attribution userId="placeholder@email.com" userName="Anjali Bhagabati" userProvider="google-sheets"/>
        <Anchor>
          <Comment id="{0969ac98-80c9-4f99-8a57-65d2557edf85}"/>
        </Anchor>
        <Create/>
      </Event>
      <Event time="2025-11-24T09:53:53.00" id="{6a47668a-6ceb-4194-af30-b5e6dc8192ee}">
        <Attribution userId="placeholder@email.com" userName="Anjali Bhagabati" userProvider="google-sheets"/>
        <Anchor>
          <Comment id="{0969ac98-80c9-4f99-8a57-65d2557edf85}"/>
        </Anchor>
        <Assign userId="mnedofficer@ekam.ngo" userName="mnedofficer@ekam.ngo" userProvider="google-sheets"/>
      </Event>
    </History>
  </Task>
  <Task id="{3b3cb31f-6e1a-4704-b2e6-1d338e7ee1aa}">
    <Anchor>
      <Comment id="{712b22da-8f56-4aa6-9eba-f15987a5ce1a}"/>
    </Anchor>
    <History>
      <Event time="2025-09-17T03:25:55.00" id="{a5c83ec3-d115-4dee-80f5-188e2c7a3f97}">
        <Attribution userId="placeholder@email.com" userName="ashok kumar" userProvider="google-sheets"/>
        <Anchor>
          <Comment id="{712b22da-8f56-4aa6-9eba-f15987a5ce1a}"/>
        </Anchor>
        <Create/>
      </Event>
      <Event time="2025-09-17T03:25:55.00" id="{657c8f01-ed42-4016-bdc5-d4ac3727ffb2}">
        <Attribution userId="placeholder@email.com" userName="ashok kumar" userProvider="google-sheets"/>
        <Anchor>
          <Comment id="{712b22da-8f56-4aa6-9eba-f15987a5ce1a}"/>
        </Anchor>
        <Assign userId="tnprogramlead@ekam.ngo" userName="tnprogramlead@ekam.ngo" userProvider="google-sheets"/>
      </Event>
    </History>
  </Task>
  <Task id="{5cba47d3-fe37-4340-bb2b-a9cec09d6b17}">
    <Anchor>
      <Comment id="{e0c7f129-7f33-45fb-bcb7-a4178193101f}"/>
    </Anchor>
    <History>
      <Event time="2025-09-17T03:42:08.00" id="{30b89d27-145e-45e1-9ff0-5077c30db8d9}">
        <Attribution userId="placeholder@email.com" userName="ashok kumar" userProvider="google-sheets"/>
        <Anchor>
          <Comment id="{e0c7f129-7f33-45fb-bcb7-a4178193101f}"/>
        </Anchor>
        <Create/>
      </Event>
      <Event time="2025-09-17T03:42:08.00" id="{5b562309-1e1e-4d2c-b4cc-baa56af1639c}">
        <Attribution userId="placeholder@email.com" userName="ashok kumar" userProvider="google-sheets"/>
        <Anchor>
          <Comment id="{e0c7f129-7f33-45fb-bcb7-a4178193101f}"/>
        </Anchor>
        <Assign userId="tnprogramlead@ekam.ngo" userName="tnprogramlead@ekam.ngo" userProvider="google-sheets"/>
      </Event>
    </History>
  </Task>
  <Task id="{87adb394-9f2b-4ffb-a7a3-427547be1442}">
    <Anchor>
      <Comment id="{1ed717f3-b716-4743-9bc0-0088378987d5}"/>
    </Anchor>
    <History>
      <Event time="2025-09-09T04:19:23.00" id="{454b97b7-2a81-45a6-b0bb-d0d974fb03f7}">
        <Attribution userId="placeholder@email.com" userName="Anjali Bhagabati" userProvider="google-sheets"/>
        <Anchor>
          <Comment id="{1ed717f3-b716-4743-9bc0-0088378987d5}"/>
        </Anchor>
        <Create/>
      </Event>
      <Event time="2025-09-09T04:19:23.00" id="{f0b1df32-b86b-4efe-85c6-80f1003536e5}">
        <Attribution userId="placeholder@email.com" userName="Anjali Bhagabati" userProvider="google-sheets"/>
        <Anchor>
          <Comment id="{1ed717f3-b716-4743-9bc0-0088378987d5}"/>
        </Anchor>
        <Assign userId="ashok.ku22@gmail.com" userName="ashok.ku22@gmail.com" userProvider="google-sheets"/>
      </Event>
    </History>
  </Task>
  <Task id="{0d88dbc0-5ab3-4f1f-9304-666b96b874bb}">
    <Anchor>
      <Comment id="{0c553639-5c0c-469b-ba8d-847d696b39f9}"/>
    </Anchor>
    <History>
      <Event time="2025-09-15T10:40:56.00" id="{82280d89-26ac-4370-9c94-e7f091ef9e40}">
        <Attribution userId="placeholder@email.com" userName="ashok kumar" userProvider="google-sheets"/>
        <Anchor>
          <Comment id="{5861f2f5-7282-40af-9378-632bd2713e97}"/>
        </Anchor>
        <Create/>
      </Event>
      <Event time="2025-09-15T10:40:56.00" id="{23b716e8-c336-4425-94b4-6f1997881dba}">
        <Attribution userId="placeholder@email.com" userName="ashok kumar" userProvider="google-sheets"/>
        <Anchor>
          <Comment id="{5861f2f5-7282-40af-9378-632bd2713e97}"/>
        </Anchor>
        <Assign userId="tnprogramlead@ekam.ngo" userName="tnprogramlead@ekam.ngo" userProvider="google-sheets"/>
      </Event>
    </History>
  </Task>
</Tasks>
</file>

<file path=xl/documenttasks/documenttask11.xml><?xml version="1.0" encoding="utf-8"?>
<Tasks xmlns="http://schemas.microsoft.com/office/tasks/2019/documenttasks">
  <Task id="{597ae294-65dc-4548-9d31-cf7f6aa6beb8}">
    <Anchor>
      <Comment id="{17922e80-1465-4f4b-840b-5c8c9fdf8962}"/>
    </Anchor>
    <History>
      <Event time="2025-09-15T11:16:04.00" id="{57745794-2336-405e-94d2-7a84b7ae44ba}">
        <Attribution userId="placeholder@email.com" userName="ashok kumar" userProvider="google-sheets"/>
        <Anchor>
          <Comment id="{17922e80-1465-4f4b-840b-5c8c9fdf8962}"/>
        </Anchor>
        <Create/>
      </Event>
      <Event time="2025-09-15T11:16:04.00" id="{d4686c15-0a60-4771-ad31-15242d12f792}">
        <Attribution userId="placeholder@email.com" userName="ashok kumar" userProvider="google-sheets"/>
        <Anchor>
          <Comment id="{17922e80-1465-4f4b-840b-5c8c9fdf8962}"/>
        </Anchor>
        <Assign userId="tnprogramlead@ekam.ngo" userName="tnprogramlead@ekam.ngo" userProvider="google-sheets"/>
      </Event>
    </History>
  </Task>
  <Task id="{853345f1-872d-4612-a701-0ef9089717b9}">
    <Anchor>
      <Comment id="{9510c1c7-fd65-4840-b53f-db2cfca56830}"/>
    </Anchor>
    <History>
      <Event time="2025-09-15T10:15:39.00" id="{855a7af5-4ae9-40d9-850c-8c0197806b07}">
        <Attribution userId="placeholder@email.com" userName="ashok kumar" userProvider="google-sheets"/>
        <Anchor>
          <Comment id="{9510c1c7-fd65-4840-b53f-db2cfca56830}"/>
        </Anchor>
        <Create/>
      </Event>
      <Event time="2025-09-15T10:15:39.00" id="{ddd2f7e1-c7c4-4374-9fd6-2a4c4c38afd0}">
        <Attribution userId="placeholder@email.com" userName="ashok kumar" userProvider="google-sheets"/>
        <Anchor>
          <Comment id="{9510c1c7-fd65-4840-b53f-db2cfca56830}"/>
        </Anchor>
        <Assign userId="tnprogramlead@ekam.ngo" userName="tnprogramlead@ekam.ngo" userProvider="google-sheets"/>
      </Event>
    </History>
  </Task>
  <Task id="{2bfa7516-096a-4f63-9394-55d709957dea}">
    <Anchor>
      <Comment id="{d3d02c26-c5e1-44f0-8122-3086251db179}"/>
    </Anchor>
    <History>
      <Event time="2025-09-22T13:00:35.00" id="{4f75356e-313f-4307-aa31-383e9c439852}">
        <Attribution userId="placeholder@email.com" userName="Anjali Bhagabati" userProvider="google-sheets"/>
        <Anchor>
          <Comment id="{d3d02c26-c5e1-44f0-8122-3086251db179}"/>
        </Anchor>
        <Create/>
      </Event>
      <Event time="2025-09-22T13:00:35.00" id="{3eacf9cb-e792-4fce-bcf4-a62fad4e2294}">
        <Attribution userId="placeholder@email.com" userName="Anjali Bhagabati" userProvider="google-sheets"/>
        <Anchor>
          <Comment id="{d3d02c26-c5e1-44f0-8122-3086251db179}"/>
        </Anchor>
        <Assign userId="ashok.ku22@gmail.com" userName="ashok.ku22@gmail.com" userProvider="google-sheets"/>
      </Event>
    </History>
  </Task>
</Tasks>
</file>

<file path=xl/documenttasks/documenttask12.xml><?xml version="1.0" encoding="utf-8"?>
<Tasks xmlns="http://schemas.microsoft.com/office/tasks/2019/documenttasks">
  <Task id="{a6301aab-6328-4a08-b230-594d90010f70}">
    <Anchor>
      <Comment id="{8ec8b65c-a489-4ab0-94d0-54e6a9244357}"/>
    </Anchor>
    <History>
      <Event time="2025-09-23T13:21:26.00" id="{4bdf52df-f9fd-4c3c-8f27-b0f246489b4f}">
        <Attribution userId="placeholder@email.com" userName="Anjali Bhagabati" userProvider="google-sheets"/>
        <Anchor>
          <Comment id="{8ec8b65c-a489-4ab0-94d0-54e6a9244357}"/>
        </Anchor>
        <Create/>
      </Event>
      <Event time="2025-09-23T13:21:26.00" id="{7f425bcb-d2d6-49e3-8cdc-ee86475c0814}">
        <Attribution userId="placeholder@email.com" userName="Anjali Bhagabati" userProvider="google-sheets"/>
        <Anchor>
          <Comment id="{8ec8b65c-a489-4ab0-94d0-54e6a9244357}"/>
        </Anchor>
        <Assign userId="ashok.ku22@gmail.com" userName="ashok.ku22@gmail.com" userProvider="google-sheets"/>
      </Event>
    </History>
  </Task>
</Tasks>
</file>

<file path=xl/documenttasks/documenttask13.xml><?xml version="1.0" encoding="utf-8"?>
<Tasks xmlns="http://schemas.microsoft.com/office/tasks/2019/documenttasks">
  <Task id="{8b2e15df-b571-470a-ac1f-c84192982c99}">
    <Anchor>
      <Comment id="{c01af489-ff9f-45fe-9a2f-b389c063b35f}"/>
    </Anchor>
    <History>
      <Event time="2025-10-03T08:52:02.00" id="{d3bce11d-06ef-4a39-9a34-3ba69767d833}">
        <Attribution userId="placeholder@email.com" userName="Anjali Bhagabati" userProvider="google-sheets"/>
        <Anchor>
          <Comment id="{2724023b-b0c6-4a4c-9ddd-0928200b84e4}"/>
        </Anchor>
        <Create/>
      </Event>
      <Event time="2025-10-03T08:52:02.00" id="{487e3570-5132-416e-a0e7-c8f0f287a446}">
        <Attribution userId="placeholder@email.com" userName="Anjali Bhagabati" userProvider="google-sheets"/>
        <Anchor>
          <Comment id="{2724023b-b0c6-4a4c-9ddd-0928200b84e4}"/>
        </Anchor>
        <Assign userId="dineshg@samanvayfoundation.org" userName="dineshg@samanvayfoundation.org" userProvider="google-sheets"/>
      </Event>
    </History>
  </Task>
  <Task id="{e43f5e1e-6abd-4a69-9550-653ef85e19ac}">
    <Anchor>
      <Comment id="{6a9cfe0d-bc9f-42fb-8873-21cd3142274d}"/>
    </Anchor>
    <History>
      <Event time="2025-09-19T07:10:14.00" id="{15fff8aa-d002-44c6-a72b-39e0006adf8f}">
        <Attribution userId="placeholder@email.com" userName="ashok kumar" userProvider="google-sheets"/>
        <Anchor>
          <Comment id="{6a9cfe0d-bc9f-42fb-8873-21cd3142274d}"/>
        </Anchor>
        <Create/>
      </Event>
      <Event time="2025-09-19T07:10:14.00" id="{d377092b-9acf-4bd8-929d-4ac4122b1baf}">
        <Attribution userId="placeholder@email.com" userName="ashok kumar" userProvider="google-sheets"/>
        <Anchor>
          <Comment id="{6a9cfe0d-bc9f-42fb-8873-21cd3142274d}"/>
        </Anchor>
        <Assign userId="anjalib@samanvayfoundation.org" userName="anjalib@samanvayfoundation.org" userProvider="google-sheets"/>
      </Event>
    </History>
  </Task>
</Tasks>
</file>

<file path=xl/documenttasks/documenttask14.xml><?xml version="1.0" encoding="utf-8"?>
<Tasks xmlns="http://schemas.microsoft.com/office/tasks/2019/documenttasks">
  <Task id="{7debc5a5-1ff8-4062-9ce8-14dd9361d265}">
    <Anchor>
      <Comment id="{137f668d-8b8d-48da-957f-36e44a0bee3f}"/>
    </Anchor>
    <History>
      <Event time="2025-09-23T13:22:04.00" id="{fda96001-8710-4e15-808c-d6a39ebd6f14}">
        <Attribution userId="placeholder@email.com" userName="Anjali Bhagabati" userProvider="google-sheets"/>
        <Anchor>
          <Comment id="{137f668d-8b8d-48da-957f-36e44a0bee3f}"/>
        </Anchor>
        <Create/>
      </Event>
      <Event time="2025-09-23T13:22:04.00" id="{d903ac73-5204-4ff2-a258-0f6bfba8a316}">
        <Attribution userId="placeholder@email.com" userName="Anjali Bhagabati" userProvider="google-sheets"/>
        <Anchor>
          <Comment id="{137f668d-8b8d-48da-957f-36e44a0bee3f}"/>
        </Anchor>
        <Assign userId="ashok.ku22@gmail.com" userName="ashok.ku22@gmail.com" userProvider="google-sheets"/>
      </Event>
    </History>
  </Task>
</Tasks>
</file>

<file path=xl/documenttasks/documenttask15.xml><?xml version="1.0" encoding="utf-8"?>
<Tasks xmlns="http://schemas.microsoft.com/office/tasks/2019/documenttasks">
  <Task id="{237f2135-f82d-49ea-9dbc-1891602e4395}">
    <Anchor>
      <Comment id="{646ec369-89de-4ed8-8d98-f43b7a8bae60}"/>
    </Anchor>
    <History>
      <Event time="2025-09-11T12:01:25.00" id="{99d1c744-7d20-4d30-bf44-d2d5797472d9}">
        <Attribution userId="placeholder@email.com" userName="Anjali Bhagabati" userProvider="google-sheets"/>
        <Anchor>
          <Comment id="{646ec369-89de-4ed8-8d98-f43b7a8bae60}"/>
        </Anchor>
        <Create/>
      </Event>
      <Event time="2025-09-11T12:01:25.00" id="{5bdbaca7-3e5c-4c4c-a459-2c521569aa50}">
        <Attribution userId="placeholder@email.com" userName="Anjali Bhagabati" userProvider="google-sheets"/>
        <Anchor>
          <Comment id="{646ec369-89de-4ed8-8d98-f43b7a8bae60}"/>
        </Anchor>
        <Assign userId="ashok.ku22@gmail.com" userName="ashok.ku22@gmail.com" userProvider="google-sheets"/>
      </Event>
    </History>
  </Task>
</Tasks>
</file>

<file path=xl/documenttasks/documenttask16.xml><?xml version="1.0" encoding="utf-8"?>
<Tasks xmlns="http://schemas.microsoft.com/office/tasks/2019/documenttasks">
  <Task id="{8f536036-a136-4ef1-a931-745c3097f825}">
    <Anchor>
      <Comment id="{8334f8d6-1f45-4542-b37b-94f585548022}"/>
    </Anchor>
    <History>
      <Event time="2025-09-10T12:31:31.00" id="{566925c9-275c-4f0c-9719-aa7759229259}">
        <Attribution userId="placeholder@email.com" userName="Anjali Bhagabati" userProvider="google-sheets"/>
        <Anchor>
          <Comment id="{8334f8d6-1f45-4542-b37b-94f585548022}"/>
        </Anchor>
        <Create/>
      </Event>
      <Event time="2025-09-10T12:31:31.00" id="{fbc92886-fdfd-4561-b26e-128347e5a053}">
        <Attribution userId="placeholder@email.com" userName="Anjali Bhagabati" userProvider="google-sheets"/>
        <Anchor>
          <Comment id="{8334f8d6-1f45-4542-b37b-94f585548022}"/>
        </Anchor>
        <Assign userId="anjalib@samanvayfoundation.org" userName="anjalib@samanvayfoundation.org" userProvider="google-sheets"/>
      </Event>
    </History>
  </Task>
  <Task id="{f4e6d450-b89a-47d0-8191-22881820208e}">
    <Anchor>
      <Comment id="{8c6b5213-8473-45ca-b593-25655f06e59a}"/>
    </Anchor>
    <History>
      <Event time="2025-10-03T05:00:32.00" id="{4b22be18-3113-4eb9-bc46-04678cc1dc6b}">
        <Attribution userId="placeholder@email.com" userName="Anjali Bhagabati" userProvider="google-sheets"/>
        <Anchor>
          <Comment id="{40317e64-7a25-4477-a4d7-79b339171145}"/>
        </Anchor>
        <Create/>
      </Event>
      <Event time="2025-10-03T05:00:32.00" id="{8e39058d-0e7f-4892-9409-f9db6512bba3}">
        <Attribution userId="placeholder@email.com" userName="Anjali Bhagabati" userProvider="google-sheets"/>
        <Anchor>
          <Comment id="{40317e64-7a25-4477-a4d7-79b339171145}"/>
        </Anchor>
        <Assign userId="dineshg@samanvayfoundation.org" userName="dineshg@samanvayfoundation.org" userProvider="google-sheets"/>
      </Event>
    </History>
  </Task>
</Tasks>
</file>

<file path=xl/documenttasks/documenttask17.xml><?xml version="1.0" encoding="utf-8"?>
<Tasks xmlns="http://schemas.microsoft.com/office/tasks/2019/documenttasks">
  <Task id="{27ad6e7f-8951-4452-a21c-a225dd97e24c}">
    <Anchor>
      <Comment id="{ad1319f2-f4db-42f1-973d-08831be9641b}"/>
    </Anchor>
    <History>
      <Event time="2025-09-23T07:50:55.00" id="{848b0a05-aa4d-45f4-b1dc-0ac84a7dfd8d}">
        <Attribution userId="placeholder@email.com" userName="Anjali Bhagabati" userProvider="google-sheets"/>
        <Anchor>
          <Comment id="{ad1319f2-f4db-42f1-973d-08831be9641b}"/>
        </Anchor>
        <Create/>
      </Event>
      <Event time="2025-09-23T07:50:55.00" id="{79a5975a-814c-41a3-98f3-a7659eff4283}">
        <Attribution userId="placeholder@email.com" userName="Anjali Bhagabati" userProvider="google-sheets"/>
        <Anchor>
          <Comment id="{ad1319f2-f4db-42f1-973d-08831be9641b}"/>
        </Anchor>
        <Assign userId="ashok.ku22@gmail.com" userName="ashok.ku22@gmail.com" userProvider="google-sheets"/>
      </Event>
    </History>
  </Task>
</Tasks>
</file>

<file path=xl/documenttasks/documenttask18.xml><?xml version="1.0" encoding="utf-8"?>
<Tasks xmlns="http://schemas.microsoft.com/office/tasks/2019/documenttasks">
  <Task id="{8f5c19d0-e7c9-4dfb-a38a-ef5e06eb383e}">
    <Anchor>
      <Comment id="{511caab6-a4cf-44f5-80e7-488f02a67703}"/>
    </Anchor>
    <History>
      <Event time="2025-11-24T04:31:57.00" id="{2bd9924e-9ac7-4bef-b1ad-113d2cba951f}">
        <Attribution userId="placeholder@email.com" userName="Ajay Kumar" userProvider="google-sheets"/>
        <Anchor>
          <Comment id="{511caab6-a4cf-44f5-80e7-488f02a67703}"/>
        </Anchor>
        <Create/>
      </Event>
      <Event time="2025-11-24T04:31:57.00" id="{daaf45f7-2da4-49f5-a158-af7ca0cbfbb1}">
        <Attribution userId="placeholder@email.com" userName="Ajay Kumar" userProvider="google-sheets"/>
        <Anchor>
          <Comment id="{511caab6-a4cf-44f5-80e7-488f02a67703}"/>
        </Anchor>
        <Assign userId="anjalib@samanvayfoundation.org" userName="anjalib@samanvayfoundation.org" userProvider="google-sheets"/>
      </Event>
    </History>
  </Task>
  <Task id="{34402084-059f-4072-807e-3a048ebebd55}">
    <Anchor>
      <Comment id="{c561e0c1-9650-4be3-bc58-699ae08cb87c}"/>
    </Anchor>
    <History>
      <Event time="2025-09-17T03:57:22.00" id="{68c92adb-dd03-4263-9c3e-c665a90c70bf}">
        <Attribution userId="placeholder@email.com" userName="ashok kumar" userProvider="google-sheets"/>
        <Anchor>
          <Comment id="{c561e0c1-9650-4be3-bc58-699ae08cb87c}"/>
        </Anchor>
        <Create/>
      </Event>
      <Event time="2025-09-17T03:57:22.00" id="{c31fb667-ef4b-4f6a-b5e4-406ba0e2a4ae}">
        <Attribution userId="placeholder@email.com" userName="ashok kumar" userProvider="google-sheets"/>
        <Anchor>
          <Comment id="{c561e0c1-9650-4be3-bc58-699ae08cb87c}"/>
        </Anchor>
        <Assign userId="tnprogramlead@ekam.ngo" userName="tnprogramlead@ekam.ngo" userProvider="google-sheets"/>
      </Event>
    </History>
  </Task>
  <Task id="{5882f55f-5030-4410-91ed-69b5b6598bde}">
    <Anchor>
      <Comment id="{069b7ec9-7ee6-40c2-be53-83c94cbaf7d0}"/>
    </Anchor>
    <History>
      <Event time="2025-09-11T11:49:09.00" id="{e74b86bf-8649-4fc3-9824-3032e0571e76}">
        <Attribution userId="placeholder@email.com" userName="Anjali Bhagabati" userProvider="google-sheets"/>
        <Anchor>
          <Comment id="{069b7ec9-7ee6-40c2-be53-83c94cbaf7d0}"/>
        </Anchor>
        <Create/>
      </Event>
      <Event time="2025-09-11T11:49:09.00" id="{bb66f730-5093-4988-abbf-3486def7a174}">
        <Attribution userId="placeholder@email.com" userName="Anjali Bhagabati" userProvider="google-sheets"/>
        <Anchor>
          <Comment id="{069b7ec9-7ee6-40c2-be53-83c94cbaf7d0}"/>
        </Anchor>
        <Assign userId="ashok.ku22@gmail.com" userName="ashok.ku22@gmail.com" userProvider="google-sheets"/>
      </Event>
    </History>
  </Task>
  <Task id="{c4bf4f89-1abd-461b-b627-bde881a6122a}">
    <Anchor>
      <Comment id="{131a9812-0e2f-44b5-8867-b8f4d90ceb18}"/>
    </Anchor>
    <History>
      <Event time="2025-10-24T05:28:07.00" id="{2bd88e3f-6bc7-4cc4-89eb-61284011d0eb}">
        <Attribution userId="placeholder@email.com" userName="Manickam S" userProvider="google-sheets"/>
        <Anchor>
          <Comment id="{131a9812-0e2f-44b5-8867-b8f4d90ceb18}"/>
        </Anchor>
        <Create/>
      </Event>
      <Event time="2025-10-24T05:28:07.00" id="{b0eff02d-7984-4e8d-b8e3-012eda63f9c3}">
        <Attribution userId="placeholder@email.com" userName="Manickam S" userProvider="google-sheets"/>
        <Anchor>
          <Comment id="{131a9812-0e2f-44b5-8867-b8f4d90ceb18}"/>
        </Anchor>
        <Assign userId="tnprogramlead@ekam.ngo" userName="tnprogramlead@ekam.ngo" userProvider="google-sheets"/>
      </Event>
    </History>
  </Task>
  <Task id="{f94599bd-c102-4d1e-ac89-1367d9b6eddb}">
    <Anchor>
      <Comment id="{4289c73c-1dff-461d-a3af-f32f99468e7b}"/>
    </Anchor>
    <History>
      <Event time="2025-09-19T07:13:42.00" id="{162ba679-82e4-43bc-ba65-f2eb8671c41f}">
        <Attribution userId="placeholder@email.com" userName="Anjali Bhagabati" userProvider="google-sheets"/>
        <Anchor>
          <Comment id="{4289c73c-1dff-461d-a3af-f32f99468e7b}"/>
        </Anchor>
        <Create/>
      </Event>
      <Event time="2025-09-19T07:13:42.00" id="{56e0fec3-d4db-4930-9d78-2a010abf7843}">
        <Attribution userId="placeholder@email.com" userName="Anjali Bhagabati" userProvider="google-sheets"/>
        <Anchor>
          <Comment id="{4289c73c-1dff-461d-a3af-f32f99468e7b}"/>
        </Anchor>
        <Assign userId="himeshr@samanvayfoundation.org" userName="himeshr@samanvayfoundation.org" userProvider="google-sheets"/>
      </Event>
    </History>
  </Task>
  <Task id="{f33e2e66-175d-4a5b-9a79-6a1c9a912993}">
    <Anchor>
      <Comment id="{080ad2fd-9f2d-4d50-a9ae-e9f9b88e801f}"/>
    </Anchor>
    <History>
      <Event time="2025-11-06T06:40:59.00" id="{a1c22bc4-5795-47c9-97a3-ed53ebcf3802}">
        <Attribution userId="placeholder@email.com" userName="Dinesh G" userProvider="google-sheets"/>
        <Anchor>
          <Comment id="{080ad2fd-9f2d-4d50-a9ae-e9f9b88e801f}"/>
        </Anchor>
        <Create/>
      </Event>
      <Event time="2025-11-06T06:40:59.00" id="{f4ae1cf2-3bc7-4322-b7a7-bd0175d7b807}">
        <Attribution userId="placeholder@email.com" userName="Dinesh G" userProvider="google-sheets"/>
        <Anchor>
          <Comment id="{080ad2fd-9f2d-4d50-a9ae-e9f9b88e801f}"/>
        </Anchor>
        <Assign userId="anjalib@samanvayfoundation.org" userName="anjalib@samanvayfoundation.org" userProvider="google-sheets"/>
      </Event>
    </History>
  </Task>
</Tasks>
</file>

<file path=xl/documenttasks/documenttask19.xml><?xml version="1.0" encoding="utf-8"?>
<Tasks xmlns="http://schemas.microsoft.com/office/tasks/2019/documenttasks">
  <Task id="{d1070109-68c3-453f-9e2b-a674d40f6977}">
    <Anchor>
      <Comment id="{391b3ad0-10b2-4981-afd3-30c4d2994a2c}"/>
    </Anchor>
    <History>
      <Event time="2025-10-14T07:42:11.00" id="{516b381f-be51-44c5-ad39-39b640eeddd2}">
        <Attribution userId="placeholder@email.com" userName="Manickam S" userProvider="google-sheets"/>
        <Anchor>
          <Comment id="{391b3ad0-10b2-4981-afd3-30c4d2994a2c}"/>
        </Anchor>
        <Create/>
      </Event>
      <Event time="2025-10-14T07:42:11.00" id="{0fb6a38a-7053-428c-adca-87b4c03fc14c}">
        <Attribution userId="placeholder@email.com" userName="Manickam S" userProvider="google-sheets"/>
        <Anchor>
          <Comment id="{391b3ad0-10b2-4981-afd3-30c4d2994a2c}"/>
        </Anchor>
        <Assign userId="tnprogramlead@ekam.ngo" userName="tnprogramlead@ekam.ngo" userProvider="google-sheets"/>
      </Event>
    </History>
  </Task>
  <Task id="{1f1d3a00-5b82-4f7f-9f7b-25d8f6993e78}">
    <Anchor>
      <Comment id="{4ae3efe5-efa8-4dff-acb7-1372892912b5}"/>
    </Anchor>
    <History>
      <Event time="2025-10-14T07:41:55.00" id="{073e3c26-f55b-4ca9-86bc-0c88d4db4758}">
        <Attribution userId="placeholder@email.com" userName="Manickam S" userProvider="google-sheets"/>
        <Anchor>
          <Comment id="{4ae3efe5-efa8-4dff-acb7-1372892912b5}"/>
        </Anchor>
        <Create/>
      </Event>
      <Event time="2025-10-14T07:41:55.00" id="{89410c78-57c9-495c-b787-2d254453746f}">
        <Attribution userId="placeholder@email.com" userName="Manickam S" userProvider="google-sheets"/>
        <Anchor>
          <Comment id="{4ae3efe5-efa8-4dff-acb7-1372892912b5}"/>
        </Anchor>
        <Assign userId="tnprogramlead@ekam.ngo" userName="tnprogramlead@ekam.ngo" userProvider="google-sheets"/>
      </Event>
    </History>
  </Task>
  <Task id="{d0c033ab-3f6f-4ad2-9ca5-9eeb4fe0bec2}">
    <Anchor>
      <Comment id="{b1466757-34a2-420c-bf4d-be4b618d759b}"/>
    </Anchor>
    <History>
      <Event time="2025-09-24T09:18:20.00" id="{340b84b8-811d-4666-9868-b4123ce417d0}">
        <Attribution userId="placeholder@email.com" userName="Anjali Bhagabati" userProvider="google-sheets"/>
        <Anchor>
          <Comment id="{b1466757-34a2-420c-bf4d-be4b618d759b}"/>
        </Anchor>
        <Create/>
      </Event>
      <Event time="2025-09-24T09:18:20.00" id="{6ebe19f5-c17f-4f59-9f38-d3881f52e5ed}">
        <Attribution userId="placeholder@email.com" userName="Anjali Bhagabati" userProvider="google-sheets"/>
        <Anchor>
          <Comment id="{b1466757-34a2-420c-bf4d-be4b618d759b}"/>
        </Anchor>
        <Assign userId="ashok.ku22@gmail.com" userName="ashok.ku22@gmail.com" userProvider="google-sheets"/>
      </Event>
    </History>
  </Task>
  <Task id="{7016200e-4543-4f5a-81d3-33727047b63f}">
    <Anchor>
      <Comment id="{99b57626-1981-4b83-8b82-ac0dd10e7dba}"/>
    </Anchor>
    <History>
      <Event time="2025-10-06T04:13:47.00" id="{a02e395f-e016-4824-98c7-9904847d3d3f}">
        <Attribution userId="placeholder@email.com" userName="Anjali Bhagabati" userProvider="google-sheets"/>
        <Anchor>
          <Comment id="{99b57626-1981-4b83-8b82-ac0dd10e7dba}"/>
        </Anchor>
        <Create/>
      </Event>
      <Event time="2025-10-06T04:13:47.00" id="{cdd7bb10-762e-408c-9783-cd623fe5080c}">
        <Attribution userId="placeholder@email.com" userName="Anjali Bhagabati" userProvider="google-sheets"/>
        <Anchor>
          <Comment id="{99b57626-1981-4b83-8b82-ac0dd10e7dba}"/>
        </Anchor>
        <Assign userId="tnprogramlead@ekam.ngo" userName="tnprogramlead@ekam.ngo" userProvider="google-sheets"/>
      </Event>
    </History>
  </Task>
  <Task id="{ca971eaa-4a02-4d68-b4a5-82565d89c2b2}">
    <Anchor>
      <Comment id="{631273a6-fcbb-4e73-8c9d-b5d06d0ea969}"/>
    </Anchor>
    <History>
      <Event time="2025-09-11T11:27:51.00" id="{1b1f5ce0-66cc-419c-abd0-91bb83ca9748}">
        <Attribution userId="placeholder@email.com" userName="Anjali Bhagabati" userProvider="google-sheets"/>
        <Anchor>
          <Comment id="{631273a6-fcbb-4e73-8c9d-b5d06d0ea969}"/>
        </Anchor>
        <Create/>
      </Event>
      <Event time="2025-09-11T11:27:51.00" id="{e1b38e72-dc02-4cfd-9856-b7255d965513}">
        <Attribution userId="placeholder@email.com" userName="Anjali Bhagabati" userProvider="google-sheets"/>
        <Anchor>
          <Comment id="{631273a6-fcbb-4e73-8c9d-b5d06d0ea969}"/>
        </Anchor>
        <Assign userId="ashok.ku22@gmail.com" userName="ashok.ku22@gmail.com" userProvider="google-sheets"/>
      </Event>
    </History>
  </Task>
  <Task id="{685bca63-1c02-4746-81d6-d7fcee675ecf}">
    <Anchor>
      <Comment id="{2b9f4922-3311-4cd9-a852-f691016ed0e7}"/>
    </Anchor>
    <History>
      <Event time="2025-10-17T13:33:55.00" id="{c9f5b686-803c-468a-a0d8-a2211fb904a3}">
        <Attribution userId="placeholder@email.com" userName="Manickam S" userProvider="google-sheets"/>
        <Anchor>
          <Comment id="{fec477ab-64fc-4114-83cd-d9de37ca8161}"/>
        </Anchor>
        <Create/>
      </Event>
      <Event time="2025-10-17T13:33:55.00" id="{50de6bcc-e08c-429d-8348-7f18c6ab7cf5}">
        <Attribution userId="placeholder@email.com" userName="Manickam S" userProvider="google-sheets"/>
        <Anchor>
          <Comment id="{fec477ab-64fc-4114-83cd-d9de37ca8161}"/>
        </Anchor>
        <Assign userId="anjalib@samanvayfoundation.org" userName="anjalib@samanvayfoundation.org" userProvider="google-sheets"/>
      </Event>
    </History>
  </Task>
  <Task id="{6a866ac1-59f8-4b9a-b149-9825d97fbe67}">
    <Anchor>
      <Comment id="{f79032a4-5898-402d-ba72-380e64ee316b}"/>
    </Anchor>
    <History>
      <Event time="2025-10-17T12:00:34.00" id="{0a8181a9-6b4c-48d9-a373-c0e14b852047}">
        <Attribution userId="placeholder@email.com" userName="Manickam S" userProvider="google-sheets"/>
        <Anchor>
          <Comment id="{24944a11-87c0-4a66-8b67-d04505b357e5}"/>
        </Anchor>
        <Create/>
      </Event>
      <Event time="2025-10-17T12:00:34.00" id="{b79a99d4-6e98-431e-9c86-ce147d8b99d3}">
        <Attribution userId="placeholder@email.com" userName="Manickam S" userProvider="google-sheets"/>
        <Anchor>
          <Comment id="{24944a11-87c0-4a66-8b67-d04505b357e5}"/>
        </Anchor>
        <Assign userId="anjalib@samanvayfoundation.org" userName="anjalib@samanvayfoundation.org" userProvider="google-sheets"/>
      </Event>
    </History>
  </Task>
  <Task id="{14650a34-06a5-4962-a611-900e099acb6e}">
    <Anchor>
      <Comment id="{25c733c2-e81a-45e5-8765-7ca6f001d39c}"/>
    </Anchor>
    <History>
      <Event time="2025-10-03T10:18:18.00" id="{6df6319d-4c32-41fd-8b30-9449290f6e82}">
        <Attribution userId="placeholder@email.com" userName="Anjali Bhagabati" userProvider="google-sheets"/>
        <Anchor>
          <Comment id="{25c733c2-e81a-45e5-8765-7ca6f001d39c}"/>
        </Anchor>
        <Create/>
      </Event>
      <Event time="2025-10-03T10:18:18.00" id="{1a00a927-c868-47ac-9574-edeb0227dd01}">
        <Attribution userId="placeholder@email.com" userName="Anjali Bhagabati" userProvider="google-sheets"/>
        <Anchor>
          <Comment id="{25c733c2-e81a-45e5-8765-7ca6f001d39c}"/>
        </Anchor>
        <Assign userId="ashok.ku22@gmail.com" userName="ashok.ku22@gmail.com"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Task id="{d8b028ed-2e54-4170-9caa-d30b82db9092}">
    <Anchor>
      <Comment id="{2471bc0c-c740-4860-b80d-2e0752511dc3}"/>
    </Anchor>
    <History>
      <Event time="2025-10-23T10:05:20.00" id="{d41b8b2b-df47-4f12-9c7e-2295593b8a4e}">
        <Attribution userId="placeholder@email.com" userName="Anjali Bhagabati" userProvider="google-sheets"/>
        <Anchor>
          <Comment id="{2471bc0c-c740-4860-b80d-2e0752511dc3}"/>
        </Anchor>
        <Create/>
      </Event>
      <Event time="2025-10-23T10:05:20.00" id="{de987d71-318b-4db6-a6ff-7c2c99abd3a3}">
        <Attribution userId="placeholder@email.com" userName="Anjali Bhagabati" userProvider="google-sheets"/>
        <Anchor>
          <Comment id="{2471bc0c-c740-4860-b80d-2e0752511dc3}"/>
        </Anchor>
        <Assign userId="mnedofficer@ekam.ngo" userName="mnedofficer@ekam.ngo" userProvider="google-sheets"/>
      </Event>
    </History>
  </Task>
  <Task id="{7d701a25-de6d-4484-b0c5-1820ec5958a5}">
    <Anchor>
      <Comment id="{0e8cf50e-eff0-4d38-94b0-66995d18ca45}"/>
    </Anchor>
    <History>
      <Event time="2025-10-24T05:59:51.00" id="{f0b22b92-d0a5-42ac-a7fa-aba6e958c2a6}">
        <Attribution userId="placeholder@email.com" userName="Manickam S" userProvider="google-sheets"/>
        <Anchor>
          <Comment id="{0e8cf50e-eff0-4d38-94b0-66995d18ca45}"/>
        </Anchor>
        <Create/>
      </Event>
      <Event time="2025-10-24T05:59:51.00" id="{d9f8515f-d957-4d13-a3c4-8265f94b5986}">
        <Attribution userId="placeholder@email.com" userName="Manickam S" userProvider="google-sheets"/>
        <Anchor>
          <Comment id="{0e8cf50e-eff0-4d38-94b0-66995d18ca45}"/>
        </Anchor>
        <Assign userId="anjalib@samanvayfoundation.org" userName="anjalib@samanvayfoundation.org" userProvider="google-sheets"/>
      </Event>
    </History>
  </Task>
</Tasks>
</file>

<file path=xl/documenttasks/documenttask24.xml><?xml version="1.0" encoding="utf-8"?>
<Tasks xmlns="http://schemas.microsoft.com/office/tasks/2019/documenttasks"/>
</file>

<file path=xl/documenttasks/documenttask25.xml><?xml version="1.0" encoding="utf-8"?>
<Tasks xmlns="http://schemas.microsoft.com/office/tasks/2019/documenttasks">
  <Task id="{fb8f4094-502b-4618-86fb-2923840e22c0}">
    <Anchor>
      <Comment id="{d130b183-54b2-41c4-bbc1-b48fb5fa1b04}"/>
    </Anchor>
    <History>
      <Event time="2025-09-25T04:55:59.00" id="{84b8efb5-1995-43c1-b0a0-39fc87b37a0b}">
        <Attribution userId="placeholder@email.com" userName="Anjali Bhagabati" userProvider="google-sheets"/>
        <Anchor>
          <Comment id="{d130b183-54b2-41c4-bbc1-b48fb5fa1b04}"/>
        </Anchor>
        <Create/>
      </Event>
      <Event time="2025-09-25T04:55:59.00" id="{2d86b65e-e05e-42dc-ba1c-72d73e74b760}">
        <Attribution userId="placeholder@email.com" userName="Anjali Bhagabati" userProvider="google-sheets"/>
        <Anchor>
          <Comment id="{d130b183-54b2-41c4-bbc1-b48fb5fa1b04}"/>
        </Anchor>
        <Assign userId="ashok.ku22@gmail.com" userName="ashok.ku22@gmail.com" userProvider="google-sheets"/>
      </Event>
    </History>
  </Task>
  <Task id="{7fa61913-ebce-46f1-a15a-bb066971fd45}">
    <Anchor>
      <Comment id="{a23622f4-3c09-4c4b-82c8-aa402441cf10}"/>
    </Anchor>
    <History>
      <Event time="2025-09-11T11:12:20.00" id="{de468698-bd86-43a2-a829-0bdd3a54fbfe}">
        <Attribution userId="placeholder@email.com" userName="Anjali Bhagabati" userProvider="google-sheets"/>
        <Anchor>
          <Comment id="{a23622f4-3c09-4c4b-82c8-aa402441cf10}"/>
        </Anchor>
        <Create/>
      </Event>
      <Event time="2025-09-11T11:12:20.00" id="{64ff0f50-c8e7-4b2b-8e9d-3174e31dcf8e}">
        <Attribution userId="placeholder@email.com" userName="Anjali Bhagabati" userProvider="google-sheets"/>
        <Anchor>
          <Comment id="{a23622f4-3c09-4c4b-82c8-aa402441cf10}"/>
        </Anchor>
        <Assign userId="ashok.ku22@gmail.com" userName="ashok.ku22@gmail.com" userProvider="google-sheets"/>
      </Event>
    </History>
  </Task>
</Tasks>
</file>

<file path=xl/documenttasks/documenttask26.xml><?xml version="1.0" encoding="utf-8"?>
<Tasks xmlns="http://schemas.microsoft.com/office/tasks/2019/documenttasks">
  <Task id="{1789b845-ca71-48a2-99f6-c78ae76ff535}">
    <Anchor>
      <Comment id="{dc1b61a1-ca3e-4e55-a0a2-afcdba5acc47}"/>
    </Anchor>
    <History>
      <Event time="2025-09-23T06:34:48.00" id="{1259dec9-be1c-421a-b0de-ffbef4bc7eca}">
        <Attribution userId="placeholder@email.com" userName="Anjali Bhagabati" userProvider="google-sheets"/>
        <Anchor>
          <Comment id="{dc1b61a1-ca3e-4e55-a0a2-afcdba5acc47}"/>
        </Anchor>
        <Create/>
      </Event>
      <Event time="2025-09-23T06:34:48.00" id="{8d414700-93f4-4dc6-8199-dc9434beafa5}">
        <Attribution userId="placeholder@email.com" userName="Anjali Bhagabati" userProvider="google-sheets"/>
        <Anchor>
          <Comment id="{dc1b61a1-ca3e-4e55-a0a2-afcdba5acc47}"/>
        </Anchor>
        <Assign userId="ashok.ku22@gmail.com" userName="ashok.ku22@gmail.com" userProvider="google-sheets"/>
      </Event>
    </History>
  </Task>
</Tasks>
</file>

<file path=xl/documenttasks/documenttask27.xml><?xml version="1.0" encoding="utf-8"?>
<Tasks xmlns="http://schemas.microsoft.com/office/tasks/2019/documenttasks"/>
</file>

<file path=xl/documenttasks/documenttask28.xml><?xml version="1.0" encoding="utf-8"?>
<Tasks xmlns="http://schemas.microsoft.com/office/tasks/2019/documenttasks"/>
</file>

<file path=xl/documenttasks/documenttask29.xml><?xml version="1.0" encoding="utf-8"?>
<Tasks xmlns="http://schemas.microsoft.com/office/tasks/2019/documenttasks">
  <Task id="{685ed715-dd93-48c6-a591-1ea1128906be}">
    <Anchor>
      <Comment id="{a07f8503-1c0f-42e7-914e-d46b4f1c8cd4}"/>
    </Anchor>
    <History>
      <Event time="2025-10-10T01:29:25.00" id="{f8284778-4aeb-4e8c-a040-7767809a1429}">
        <Attribution userId="placeholder@email.com" userName="Dinesh G" userProvider="google-sheets"/>
        <Anchor>
          <Comment id="{a07f8503-1c0f-42e7-914e-d46b4f1c8cd4}"/>
        </Anchor>
        <Create/>
      </Event>
      <Event time="2025-10-10T01:29:25.00" id="{68ca165b-9270-4a15-93d4-696de418aa1e}">
        <Attribution userId="placeholder@email.com" userName="Dinesh G" userProvider="google-sheets"/>
        <Anchor>
          <Comment id="{a07f8503-1c0f-42e7-914e-d46b4f1c8cd4}"/>
        </Anchor>
        <Assign userId="anjalib@samanvayfoundation.org" userName="anjalib@samanvayfoundation.org" userProvider="google-sheets"/>
      </Event>
    </History>
  </Task>
  <Task id="{71ab1492-4de5-4a89-901a-5960946fff24}">
    <Anchor>
      <Comment id="{96d11f39-e3a1-4e36-a324-6b174a602908}"/>
    </Anchor>
    <History>
      <Event time="2025-10-10T01:42:57.00" id="{5d7721ec-2f8a-4f24-83db-91a74cc604e4}">
        <Attribution userId="placeholder@email.com" userName="Dinesh G" userProvider="google-sheets"/>
        <Anchor>
          <Comment id="{96d11f39-e3a1-4e36-a324-6b174a602908}"/>
        </Anchor>
        <Create/>
      </Event>
      <Event time="2025-10-10T01:42:57.00" id="{d5ecc5f9-6855-4a5c-a539-a7eaef700ca6}">
        <Attribution userId="placeholder@email.com" userName="Dinesh G" userProvider="google-sheets"/>
        <Anchor>
          <Comment id="{96d11f39-e3a1-4e36-a324-6b174a602908}"/>
        </Anchor>
        <Assign userId="anjalib@samanvayfoundation.org" userName="anjalib@samanvayfoundation.org" userProvider="google-sheets"/>
      </Event>
    </History>
  </Task>
  <Task id="{80c62c5d-4f5d-445e-a795-6962e675cb83}">
    <Anchor>
      <Comment id="{309b7ac2-26f3-460f-8907-115b9b29fe73}"/>
    </Anchor>
    <History>
      <Event time="2025-09-11T11:10:03.00" id="{97b26ba7-3ace-487a-b489-3b52bb84ac1f}">
        <Attribution userId="placeholder@email.com" userName="Anjali Bhagabati" userProvider="google-sheets"/>
        <Anchor>
          <Comment id="{309b7ac2-26f3-460f-8907-115b9b29fe73}"/>
        </Anchor>
        <Create/>
      </Event>
      <Event time="2025-09-11T11:10:03.00" id="{dfb725da-70e6-4b59-a656-272ec320085c}">
        <Attribution userId="placeholder@email.com" userName="Anjali Bhagabati" userProvider="google-sheets"/>
        <Anchor>
          <Comment id="{309b7ac2-26f3-460f-8907-115b9b29fe73}"/>
        </Anchor>
        <Assign userId="ashok.ku22@gmail.com" userName="ashok.ku22@gmail.com" userProvider="google-sheets"/>
      </Event>
    </History>
  </Task>
</Tasks>
</file>

<file path=xl/documenttasks/documenttask30.xml><?xml version="1.0" encoding="utf-8"?>
<Tasks xmlns="http://schemas.microsoft.com/office/tasks/2019/documenttasks">
  <Task id="{c98de39c-0e2e-47d7-9d88-da43aa4b8dc6}">
    <Anchor>
      <Comment id="{bea85561-7e60-4d2d-97fc-a3a17316cc99}"/>
    </Anchor>
    <History>
      <Event time="2025-07-30T10:39:01.00" id="{7d4ba070-19bc-401c-9100-25ff37be6ca7}">
        <Attribution userId="placeholder@email.com" userName="ashok kumar" userProvider="google-sheets"/>
        <Anchor>
          <Comment id="{bea85561-7e60-4d2d-97fc-a3a17316cc99}"/>
        </Anchor>
        <Create/>
      </Event>
      <Event time="2025-07-30T10:39:01.00" id="{6e623240-cf4f-4494-b52e-9e8b58cd75a4}">
        <Attribution userId="placeholder@email.com" userName="ashok kumar" userProvider="google-sheets"/>
        <Anchor>
          <Comment id="{bea85561-7e60-4d2d-97fc-a3a17316cc99}"/>
        </Anchor>
        <Assign userId="tnprogramlead@ekam.ngo" userName="tnprogramlead@ekam.ngo" userProvider="google-sheets"/>
      </Event>
    </History>
  </Task>
  <Task id="{a676fad9-d870-4131-b80d-e0df276473e6}">
    <Anchor>
      <Comment id="{da1c7ebb-350a-438c-9216-f2d4787c4328}"/>
    </Anchor>
    <History>
      <Event time="2025-09-12T06:12:13.00" id="{92c82049-e34c-4577-a3cd-725418e5da61}">
        <Attribution userId="placeholder@email.com" userName="ashok kumar" userProvider="google-sheets"/>
        <Anchor>
          <Comment id="{3fb197d5-5e13-4d81-831a-b13e3ab69e3d}"/>
        </Anchor>
        <Create/>
      </Event>
      <Event time="2025-09-12T06:12:13.00" id="{20bd4d34-a912-4712-8f60-c95bb33a3a33}">
        <Attribution userId="placeholder@email.com" userName="ashok kumar" userProvider="google-sheets"/>
        <Anchor>
          <Comment id="{3fb197d5-5e13-4d81-831a-b13e3ab69e3d}"/>
        </Anchor>
        <Assign userId="tnprogramlead@ekam.ngo" userName="tnprogramlead@ekam.ngo" userProvider="google-sheets"/>
      </Event>
    </History>
  </Task>
  <Task id="{8b82ca99-976b-4c59-a08f-a0e854956adf}">
    <Anchor>
      <Comment id="{f8a5864a-a259-4f98-ae12-096ad9b1e41a}"/>
    </Anchor>
    <History>
      <Event time="2025-09-11T11:09:16.00" id="{37c8eaf2-9b5e-4d45-bd48-542f9a26c656}">
        <Attribution userId="placeholder@email.com" userName="Anjali Bhagabati" userProvider="google-sheets"/>
        <Anchor>
          <Comment id="{f8a5864a-a259-4f98-ae12-096ad9b1e41a}"/>
        </Anchor>
        <Create/>
      </Event>
      <Event time="2025-09-11T11:09:16.00" id="{64e3fa02-a5ec-43cc-9d6d-ddbd2619d176}">
        <Attribution userId="placeholder@email.com" userName="Anjali Bhagabati" userProvider="google-sheets"/>
        <Anchor>
          <Comment id="{f8a5864a-a259-4f98-ae12-096ad9b1e41a}"/>
        </Anchor>
        <Assign userId="ashok.ku22@gmail.com" userName="ashok.ku22@gmail.com" userProvider="google-sheets"/>
      </Event>
    </History>
  </Task>
  <Task id="{e54e371d-6348-45d5-8410-142ea4cdf8a0}">
    <Anchor>
      <Comment id="{f18f70df-74e7-4e0c-86a2-76e1b707e09e}"/>
    </Anchor>
    <History>
      <Event time="2025-09-11T11:08:39.00" id="{d7cf2f9d-c767-44ef-b147-b5d7ee26649e}">
        <Attribution userId="placeholder@email.com" userName="Anjali Bhagabati" userProvider="google-sheets"/>
        <Anchor>
          <Comment id="{f18f70df-74e7-4e0c-86a2-76e1b707e09e}"/>
        </Anchor>
        <Create/>
      </Event>
      <Event time="2025-09-11T11:08:39.00" id="{8ecce678-7824-4593-9989-621cd5312e80}">
        <Attribution userId="placeholder@email.com" userName="Anjali Bhagabati" userProvider="google-sheets"/>
        <Anchor>
          <Comment id="{f18f70df-74e7-4e0c-86a2-76e1b707e09e}"/>
        </Anchor>
        <Assign userId="ashok.ku22@gmail.com" userName="ashok.ku22@gmail.com" userProvider="google-sheets"/>
      </Event>
    </History>
  </Task>
</Tasks>
</file>

<file path=xl/documenttasks/documenttask31.xml><?xml version="1.0" encoding="utf-8"?>
<Tasks xmlns="http://schemas.microsoft.com/office/tasks/2019/documenttasks">
  <Task id="{bc063e3d-d111-4d3e-9462-82e15affe8ac}">
    <Anchor>
      <Comment id="{d835658f-e897-443c-b2ca-1a40fedfc526}"/>
    </Anchor>
    <History>
      <Event time="2025-09-11T10:58:45.00" id="{e560df68-740f-46de-87a5-2be9144b2b97}">
        <Attribution userId="placeholder@email.com" userName="Anjali Bhagabati" userProvider="google-sheets"/>
        <Anchor>
          <Comment id="{d835658f-e897-443c-b2ca-1a40fedfc526}"/>
        </Anchor>
        <Create/>
      </Event>
      <Event time="2025-09-11T10:58:45.00" id="{06d28fce-a346-4475-a45d-7a824b00e75a}">
        <Attribution userId="placeholder@email.com" userName="Anjali Bhagabati" userProvider="google-sheets"/>
        <Anchor>
          <Comment id="{d835658f-e897-443c-b2ca-1a40fedfc526}"/>
        </Anchor>
        <Assign userId="ashok.ku22@gmail.com" userName="ashok.ku22@gmail.com" userProvider="google-sheets"/>
      </Event>
    </History>
  </Task>
  <Task id="{6276a08e-0ccd-4878-8103-eaa51897e419}">
    <Anchor>
      <Comment id="{19138b13-45c8-4c71-a572-549077729b8e}"/>
    </Anchor>
    <History>
      <Event time="2025-09-12T06:15:08.00" id="{16f3aeb9-fce9-463f-b503-0601765dc052}">
        <Attribution userId="placeholder@email.com" userName="ashok kumar" userProvider="google-sheets"/>
        <Anchor>
          <Comment id="{f3c89a67-aa5e-4332-b0a5-67d2a2036999}"/>
        </Anchor>
        <Create/>
      </Event>
      <Event time="2025-09-12T06:15:08.00" id="{982b10a2-fdc7-4e12-af8d-8bc7341140de}">
        <Attribution userId="placeholder@email.com" userName="ashok kumar" userProvider="google-sheets"/>
        <Anchor>
          <Comment id="{f3c89a67-aa5e-4332-b0a5-67d2a2036999}"/>
        </Anchor>
        <Assign userId="tnprogramlead@ekam.ngo" userName="tnprogramlead@ekam.ngo" userProvider="google-sheets"/>
      </Event>
    </History>
  </Task>
</Task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895350</xdr:colOff>
      <xdr:row>36</xdr:row>
      <xdr:rowOff>2276475</xdr:rowOff>
    </xdr:from>
    <xdr:ext cx="3648075" cy="2905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19</xdr:row>
      <xdr:rowOff>200025</xdr:rowOff>
    </xdr:from>
    <xdr:ext cx="3648075" cy="2905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jali Bhagabati" id="{490e5175-706f-4761-b45e-8f205bc3b7b1}" providerId="google-sheets"/>
  <x18tc:person displayName="Arjun Khandelwal" id="{43c03bef-fc3d-4e0e-b507-74e981014403}" providerId="google-sheets"/>
  <x18tc:person displayName="ashok.ku22@gmail.com" id="{835f2e36-b068-42e9-b126-dd1b06802c41}" userId="ashok.ku22@gmail.com" providerId="google-sheets"/>
  <x18tc:person displayName="ashok kumar" id="{7878cda1-54b0-4f8a-af57-753262fea0d1}" providerId="google-sheets"/>
  <x18tc:person displayName="Mythili Ekam" id="{5507a277-1c99-44ae-aba1-a9413cc01353}" providerId="google-sheets"/>
  <x18tc:person displayName="tnprogramlead@ekam.ngo" id="{6b1965cd-f9e5-41d9-9910-17c486ada433}" userId="tnprogramlead@ekam.ngo" providerId="google-sheets"/>
  <x18tc:person displayName="Himesh R Lokhande" id="{fd2bf9d2-4f3c-4c17-b45e-883705bc6191}" providerId="google-sheets"/>
  <x18tc:person displayName="mnedofficer@ekam.ngo" id="{e54f6afd-3e2a-431a-a2b4-85d24eed3d5f}" userId="mnedofficer@ekam.ngo" providerId="google-sheets"/>
  <x18tc:person displayName="" id="{d6f35f12-ff8a-4c38-a316-7fef0af9efa1}" providerId="google-sheets"/>
  <x18tc:person displayName="Pooja Harmalkar" id="{6c227de8-41ec-46d5-a7fe-bf7b68a0e337}" providerId="google-sheets"/>
  <x18tc:person displayName="anjalib@samanvayfoundation.org" id="{5175ac4e-7bdb-4a9b-8220-e40b6eca5016}" userId="anjalib@samanvayfoundation.org" providerId="google-sheets"/>
  <x18tc:person displayName="Dinesh G" id="{e6adde95-f533-4a42-874d-4d6dc979634d}" providerId="google-sheets"/>
  <x18tc:person displayName="arjunk@samanvayfoundation.org" id="{fc51c010-e2ab-4847-bebe-d8d403a581b0}" userId="arjunk@samanvayfoundation.org" providerId="google-sheets"/>
  <x18tc:person displayName="Vinay Venu" id="{d3321cf5-0102-49d7-bfdd-afe23b1d3082}" providerId="google-sheets"/>
  <x18tc:person displayName="himeshr@samanvayfoundation.org" id="{70475cfd-fd38-4105-9693-19ffed00b919}" userId="himeshr@samanvayfoundation.org" providerId="google-sheets"/>
  <x18tc:person displayName="Ajay Kumar" id="{72c1a079-4a4d-4686-9993-f18977bcc20d}" providerId="google-sheets"/>
  <x18tc:person displayName="Parth Halani" id="{78fe4528-2985-49b4-9183-2f45ca9412c8}" providerId="google-sheets"/>
  <x18tc:person displayName="dineshg@samanvayfoundation.org" id="{e7d4fcbd-926b-4052-aff0-3e0aa121bb04}" userId="dineshg@samanvayfoundation.org" providerId="google-sheets"/>
  <x18tc:person displayName="Adam Sanadi" id="{2eef28f8-d98b-4213-9c46-359f771d9623}" providerId="google-sheets"/>
  <x18tc:person displayName="Manickam S" id="{392040e7-56f5-4c10-8c91-fbdcc01f44c5}" providerId="google-sheets"/>
  <x18tc:person displayName="ashokk@samanvayfoundation.org" id="{7676bba9-9e3b-43ad-a698-6ca62d9b1d14}" userId="ashokk@samanvayfoundation.org" providerId="google-sheets"/>
  <x18tc:person displayName="adams@samanvayfoundation.org" id="{c1d360b8-edff-419f-9d64-96c634fcfc59}" userId="adams@samanvayfoundation.org" providerId="google-sheets"/>
  <x18tc:person displayName="Ashok Kumar" id="{32466b1a-36e6-4419-8fba-1687ce6a2868}" providerId="google-sheets"/>
</x18tc:personList>
</file>

<file path=xl/tables/table1.xml><?xml version="1.0" encoding="utf-8"?>
<table xmlns="http://schemas.openxmlformats.org/spreadsheetml/2006/main" headerRowCount="0" ref="C4:G4" displayName="Table_1" name="Table_1" id="1">
  <tableColumns count="5">
    <tableColumn name="Column1" id="1"/>
    <tableColumn name="Column2" id="2"/>
    <tableColumn name="Column3" id="3"/>
    <tableColumn name="Column4" id="4"/>
    <tableColumn name="Column5" id="5"/>
  </tableColumns>
  <tableStyleInfo name="Solution Review-style" showColumnStripes="0" showFirstColumn="1" showLastColumn="1" showRowStripes="1"/>
</table>
</file>

<file path=xl/tables/table2.xml><?xml version="1.0" encoding="utf-8"?>
<table xmlns="http://schemas.openxmlformats.org/spreadsheetml/2006/main" headerRowCount="0" ref="C5:G5" displayName="Table_2" name="Table_2" id="2">
  <tableColumns count="5">
    <tableColumn name="Column1" id="1"/>
    <tableColumn name="Column2" id="2"/>
    <tableColumn name="Column3" id="3"/>
    <tableColumn name="Column4" id="4"/>
    <tableColumn name="Column5" id="5"/>
  </tableColumns>
  <tableStyleInfo name="Solution Review-style 2" showColumnStripes="0" showFirstColumn="1" showLastColumn="1" showRowStripes="1"/>
</table>
</file>

<file path=xl/tables/table3.xml><?xml version="1.0" encoding="utf-8"?>
<table xmlns="http://schemas.openxmlformats.org/spreadsheetml/2006/main" headerRowCount="0" ref="B6:G7" displayName="Table_3" name="Table_3" id="3">
  <tableColumns count="6">
    <tableColumn name="Column1" id="1"/>
    <tableColumn name="Column2" id="2"/>
    <tableColumn name="Column3" id="3"/>
    <tableColumn name="Column4" id="4"/>
    <tableColumn name="Column5" id="5"/>
    <tableColumn name="Column6" id="6"/>
  </tableColumns>
  <tableStyleInfo name="Solution Review-style 3" showColumnStripes="0" showFirstColumn="1" showLastColumn="1" showRowStripes="1"/>
</table>
</file>

<file path=xl/tables/table4.xml><?xml version="1.0" encoding="utf-8"?>
<table xmlns="http://schemas.openxmlformats.org/spreadsheetml/2006/main" headerRowCount="0" ref="C8:G48" displayName="Table_4" name="Table_4" id="4">
  <tableColumns count="5">
    <tableColumn name="Column1" id="1"/>
    <tableColumn name="Column2" id="2"/>
    <tableColumn name="Column3" id="3"/>
    <tableColumn name="Column4" id="4"/>
    <tableColumn name="Column5" id="5"/>
  </tableColumns>
  <tableStyleInfo name="Solution Review-style 4" showColumnStripes="0" showFirstColumn="1" showLastColumn="1" showRowStripes="1"/>
</table>
</file>

<file path=xl/tables/table5.xml><?xml version="1.0" encoding="utf-8"?>
<table xmlns="http://schemas.openxmlformats.org/spreadsheetml/2006/main" headerRowCount="0" ref="F1:R27" displayName="Table_5" name="Table_5" id="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Visit Scheduling-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B27" displayName="Table_6" name="Table_6" id="6">
  <tableColumns count="2">
    <tableColumn name="Column1" id="1"/>
    <tableColumn name="Column2" id="2"/>
  </tableColumns>
  <tableStyleInfo name="Visit Scheduling-style 2" showColumnStripes="0" showFirstColumn="1" showLastColumn="1" showRowStripes="1"/>
</table>
</file>

<file path=xl/tables/table7.xml><?xml version="1.0" encoding="utf-8"?>
<table xmlns="http://schemas.openxmlformats.org/spreadsheetml/2006/main" headerRowCount="0" ref="E2:E27" displayName="Table_7" name="Table_7" id="7">
  <tableColumns count="1">
    <tableColumn name="Column1" id="1"/>
  </tableColumns>
  <tableStyleInfo name="Visit Scheduling-style 3" showColumnStripes="0" showFirstColumn="1" showLastColumn="1" showRowStripes="1"/>
</table>
</file>

<file path=xl/tables/table8.xml><?xml version="1.0" encoding="utf-8"?>
<table xmlns="http://schemas.openxmlformats.org/spreadsheetml/2006/main" ref="C1:G30" displayName="Table_8" name="Table_8" id="8">
  <tableColumns count="5">
    <tableColumn name="Community Health Worker _x000a_Edit/Fill forms , View Only, Approve Encounter, Void, Cancel " id="1"/>
    <tableColumn name="Project officer/Block Coordinator_x000a_Edit/Fill forms , View Only, Approve Encounter, Void, Cancel " id="2"/>
    <tableColumn name="Patient welfare officer  (Save A Child)_x000a_Edit/Fill forms , View Only, Approve Encounter, Void, Cancel " id="3"/>
    <tableColumn name="Community Trainer_x000a_Edit/Fill forms , View Only, Approve Encounter, Void, Cancel " id="4"/>
    <tableColumn name="General Manager / M&amp;E/ Vice President- Operations_x000a_Edit/Fill forms , View Only, Approve Encounter, Void, Cancel " id="5"/>
  </tableColumns>
  <tableStyleInfo name="Form Metadata &amp; User Group Perm-style" showColumnStripes="0" showFirstColumn="1" showLastColumn="1" showRowStripes="1"/>
</table>
</file>

<file path=xl/tables/table9.xml><?xml version="1.0" encoding="utf-8"?>
<table xmlns="http://schemas.openxmlformats.org/spreadsheetml/2006/main" headerRowCount="0" ref="A2:B30" displayName="Table_9" name="Table_9" id="9">
  <tableColumns count="2">
    <tableColumn name="Column1" id="1"/>
    <tableColumn name="Column2" id="2"/>
  </tableColumns>
  <tableStyleInfo name="Form Metadata &amp; User Group Perm-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7-04T04:19:00.00" personId="{d6f35f12-ff8a-4c38-a316-7fef0af9efa1}" id="{6aee7c81-a242-41b7-a6ff-f7f36000fd7f}" done="0">
    <x18tc:text xml:space="preserve">This is a help text</x18tc:text>
  </x18tc:threadedComment>
  <x18tc:threadedComment ref="A1" dT="2025-09-10T07:01:19.00" personId="{490e5175-706f-4761-b45e-8f205bc3b7b1}" id="{9df0c90a-8cb9-4a27-b17d-84a29148b8f4}" done="1">
    <x18tc:text xml:space="preserve">@ashok.ku22@gmail.com can we add the gender question in the individual registration form
Assigned to ashok.ku22@gmail.com</x18tc:text>
    <x18tc:mentions>
      <x18tc:mention mentionpersonId="{835f2e36-b068-42e9-b126-dd1b06802c41}" mentionId="{784242f2-b78f-4442-b3df-df5af758a2fa}" startIndex="0" length="21"/>
    </x18tc:mentions>
  </x18tc:threadedComment>
  <x18tc:threadedComment ref="A1" dT="2025-09-16T10:19:53.00" personId="{7878cda1-54b0-4f8a-af57-753262fea0d1}" id="{737620f2-501b-4ac0-a69c-cf5b51f2e87f}" parentId="{9df0c90a-8cb9-4a27-b17d-84a29148b8f4}">
    <x18tc:text xml:space="preserve">We add gender here and remove gender from child form</x18tc:text>
  </x18tc:threadedComment>
  <x18tc:threadedComment ref="A1" dT="2025-07-14T12:09:52.00" personId="{7878cda1-54b0-4f8a-af57-753262fea0d1}" id="{050d65b8-4fba-479e-9787-1a2ae1d53b6e}" done="0">
    <x18tc:text xml:space="preserve">Need to discussed with Arjun if condition of age groups as per location</x18tc:text>
  </x18tc:threadedComment>
  <x18tc:threadedComment ref="A1" dT="2025-07-17T04:08:47.00" personId="{78fe4528-2985-49b4-9183-2f45ca9412c8}" id="{149462d7-60be-4037-ab13-99ae0960cf41}" parentId="{050d65b8-4fba-479e-9787-1a2ae1d53b6e}">
    <x18tc:text xml:space="preserve">Anganwadi can be a location type - need to understand if it can be used for individual subject type</x18tc:text>
  </x18tc:threadedComment>
  <x18tc:threadedComment ref="A1" dT="2025-07-24T07:08:10.00" personId="{5507a277-1c99-44ae-aba1-a9413cc01353}" id="{d8c1ce83-5cdb-4d02-b31f-35292d707775}" done="0">
    <x18tc:text xml:space="preserve">Field Can be deleted</x18tc:text>
  </x18tc:threadedComment>
  <x18tc:threadedComment ref="A1" dT="2025-07-24T06:46:25.00" personId="{5507a277-1c99-44ae-aba1-a9413cc01353}" id="{8d018b98-29ba-4330-bb9a-5f78ffd14eef}" done="0">
    <x18tc:text xml:space="preserve">can be removed</x18tc:text>
  </x18tc:threadedComment>
  <x18tc:threadedComment ref="A1" dT="2025-07-14T12:01:50.00" personId="{7878cda1-54b0-4f8a-af57-753262fea0d1}" id="{7968fac5-2228-4e90-b810-3c46bf30ab01}" done="0">
    <x18tc:text xml:space="preserve">Some of mothers or preg women on different conditions could require mental health counseling. It may require an additional form . more details will be shared after 28th July. It will be additional cost to be informed Avni team</x18tc:text>
  </x18tc:threadedComment>
  <x18tc:threadedComment ref="A1" dT="2025-07-24T06:46:52.00" personId="{5507a277-1c99-44ae-aba1-a9413cc01353}" id="{471a666c-218e-4e7f-bea7-67c228b25642}" done="0">
    <x18tc:text xml:space="preserve">New field added</x18tc:text>
  </x18tc:threadedComment>
  <x18tc:threadedComment ref="A1" dT="2025-09-10T12:40:07.00" personId="{490e5175-706f-4761-b45e-8f205bc3b7b1}" id="{a58fd1f2-26d6-40af-ad9e-405981605520}" done="1">
    <x18tc:text xml:space="preserve">@ashok.ku22@gmail.com add counselling points for Mother in this form as well. We will add a question, Is Mother PNC Counselling done? if No show the counselling points
Assigned to ashok.ku22@gmail.com</x18tc:text>
    <x18tc:mentions>
      <x18tc:mention mentionpersonId="{835f2e36-b068-42e9-b126-dd1b06802c41}" mentionId="{14d52738-e998-4a16-87bd-9361f5a6dfcf}" startIndex="0" length="21"/>
    </x18tc:mentions>
  </x18tc:threadedComment>
  <x18tc:threadedComment ref="A1" dT="2025-09-10T13:00:27.00" personId="{7878cda1-54b0-4f8a-af57-753262fea0d1}" id="{d38be8b2-0a00-4a38-8ed3-179f7e1af391}" parentId="{a58fd1f2-26d6-40af-ad9e-405981605520}">
    <x18tc:text xml:space="preserve">Done</x18tc:text>
  </x18tc:threadedComment>
  <x18tc:threadedComment ref="A1" dT="2025-09-10T12:29:38.00" personId="{490e5175-706f-4761-b45e-8f205bc3b7b1}" id="{80f28155-ebdb-462e-ba91-824f92d3c63b}" done="0">
    <x18tc:text xml:space="preserve">@anjali Mother child relationship will be done by relationship link</x18tc:text>
  </x18tc:threadedComment>
  <x18tc:threadedComment ref="A1" dT="2025-09-16T10:37:18.00" personId="{7878cda1-54b0-4f8a-af57-753262fea0d1}" id="{88814fec-f58c-468a-a53b-af1da12b4690}" parentId="{80f28155-ebdb-462e-ba91-824f92d3c63b}">
    <x18tc:text xml:space="preserve">There are 2 scenarios 
1. Beneficiary registered as pregnant women will have their new born child linked with mother -child relationship
2. New born child registered as beneficiary when mother's PNC period is already over and won't be registered as beneficiary(in this scenario mother details will be captured)</x18tc:text>
  </x18tc:threadedComment>
  <x18tc:threadedComment ref="A1" dT="2025-07-24T06:14:54.00" personId="{5507a277-1c99-44ae-aba1-a9413cc01353}" id="{c5a7d40b-fd9d-4773-93b1-e4642df43d37}" done="1">
    <x18tc:text xml:space="preserve">Added field</x18tc:text>
  </x18tc:threadedComment>
  <x18tc:threadedComment ref="A1" dT="2025-07-28T10:04:38.00" personId="{5507a277-1c99-44ae-aba1-a9413cc01353}" id="{db5fc0cf-03d2-42fb-afea-99fcd0cce01b}" done="0">
    <x18tc:text xml:space="preserve">Can we consider taking here since it is covered in immunization</x18tc:text>
  </x18tc:threadedComment>
  <x18tc:threadedComment ref="A1" dT="2025-08-01T10:42:22.00" personId="{32466b1a-36e6-4419-8fba-1687ce6a2868}" id="{412c93fc-b20d-44ff-85ed-56459ca06f37}" done="0">
    <x18tc:text xml:space="preserve">Removed Child Id and added DoB and Age</x18tc:text>
  </x18tc:threadedComment>
  <x18tc:threadedComment ref="A1" dT="2025-08-01T04:00:08.00" personId="{32466b1a-36e6-4419-8fba-1687ce6a2868}" id="{cbaec800-e836-4913-b1e8-5e0aa8a29e23}" done="1">
    <x18tc:text xml:space="preserve">@tnprogramlead@ekam.ngo Mythili is this yes no question or want to measure the weight gain. Write the question accordingly and add options if any</x18tc:text>
    <x18tc:mentions>
      <x18tc:mention mentionpersonId="{6b1965cd-f9e5-41d9-9910-17c486ada433}" mentionId="{f78d762a-aa82-4928-a553-650302f97f32}" startIndex="0" length="23"/>
    </x18tc:mentions>
  </x18tc:threadedComment>
  <x18tc:threadedComment ref="A1" dT="2025-08-01T05:40:35.00" personId="{5507a277-1c99-44ae-aba1-a9413cc01353}" id="{cd1da245-8003-44d5-b373-69b2df111809}" parentId="{cbaec800-e836-4913-b1e8-5e0aa8a29e23}">
    <x18tc:text xml:space="preserve">Yes or No only</x18tc:text>
  </x18tc:threadedComment>
  <x18tc:threadedComment ref="A1" dT="2025-08-06T06:29:22.00" personId="{d3321cf5-0102-49d7-bfdd-afe23b1d3082}" id="{bd245bad-b1e5-42ca-8e5e-4afe77dc95e8}" parentId="{cbaec800-e836-4913-b1e8-5e0aa8a29e23}">
    <x18tc:text xml:space="preserve">@tnprogramlead@ekam.ngo 
Is this going to be pure weight gain, or change in the z-score? 
Zscores should be more reliable in this case, right?</x18tc:text>
    <x18tc:mentions>
      <x18tc:mention mentionpersonId="{6b1965cd-f9e5-41d9-9910-17c486ada433}" mentionId="{64badba9-82dc-4132-ade9-c7ce5e9193f4}" startIndex="0" length="23"/>
    </x18tc:mentions>
  </x18tc:threadedComment>
  <x18tc:threadedComment ref="A1" dT="2025-09-18T08:01:35.00" personId="{5507a277-1c99-44ae-aba1-a9413cc01353}" id="{cf88ee5b-8852-4581-8971-d0e3ad019619}" parentId="{cbaec800-e836-4913-b1e8-5e0aa8a29e23}">
    <x18tc:text xml:space="preserve">@ashok.ku22@gmail.com considering to remove this question, as plotted graphs will show us the weight gain status</x18tc:text>
    <x18tc:mentions>
      <x18tc:mention mentionpersonId="{835f2e36-b068-42e9-b126-dd1b06802c41}" mentionId="{f6f40275-92eb-40e3-84d8-645d7960121c}" startIndex="0" length="21"/>
    </x18tc:mentions>
  </x18tc:threadedComment>
  <x18tc:threadedComment ref="A1" dT="2025-07-30T11:12:18.00" personId="{7878cda1-54b0-4f8a-af57-753262fea0d1}" id="{01596b0a-cfd7-44e9-8af7-723cd4fcf6af}" done="0">
    <x18tc:text xml:space="preserve">@tnprogramlead@ekam.ngo If we have source of Support. Do we need this question?</x18tc:text>
    <x18tc:mentions>
      <x18tc:mention mentionpersonId="{6b1965cd-f9e5-41d9-9910-17c486ada433}" mentionId="{a9f9d798-ed6d-4fe6-909c-3754a17f19af}" startIndex="0" length="23"/>
    </x18tc:mentions>
  </x18tc:threadedComment>
  <x18tc:threadedComment ref="A1" dT="2025-07-30T11:13:29.00" personId="{7878cda1-54b0-4f8a-af57-753262fea0d1}" id="{3d3acbfd-10b1-48d4-b57c-78d68c812600}" done="0">
    <x18tc:text xml:space="preserve">@tnprogramlead@ekam.ngo The name is confusing. Is it okay to write Type of Treatment required</x18tc:text>
    <x18tc:mentions>
      <x18tc:mention mentionpersonId="{6b1965cd-f9e5-41d9-9910-17c486ada433}" mentionId="{f26856a7-7cba-46ce-a599-d3172e0a6ccb}" startIndex="0" length="23"/>
    </x18tc:mentions>
  </x18tc:threadedComment>
  <x18tc:threadedComment ref="A1" dT="2025-07-30T11:14:32.00" personId="{7878cda1-54b0-4f8a-af57-753262fea0d1}" id="{f97766d4-e4b0-4475-b701-f0152f4798db}" done="0">
    <x18tc:text xml:space="preserve">Is this Vendor-Hospital name</x18tc:text>
  </x18tc:threadedComment>
  <x18tc:threadedComment ref="A1" dT="2025-07-24T06:15:01.00" personId="{5507a277-1c99-44ae-aba1-a9413cc01353}" id="{2b9c966a-7fe9-4975-ae2c-9612af47f9fd}" done="1">
    <x18tc:text xml:space="preserve">Added field</x18tc:text>
  </x18tc:threadedComment>
  <x18tc:threadedComment ref="A1" dT="2025-09-15T10:26:36.00" personId="{7878cda1-54b0-4f8a-af57-753262fea0d1}" id="{60d67b93-1487-4ea8-bd86-8764a8f0f971}" done="1">
    <x18tc:text xml:space="preserve">Remove signs and measure from here after discussing with Anjali on Mental health screening approach @anjalib@samanvayfoundation.org</x18tc:text>
    <x18tc:mentions>
      <x18tc:mention mentionpersonId="{5175ac4e-7bdb-4a9b-8220-e40b6eca5016}" mentionId="{992351ce-7bd3-4413-9bbc-b7dc3427774f}" startIndex="100" length="31"/>
    </x18tc:mentions>
  </x18tc:threadedComment>
  <x18tc:threadedComment ref="A1" dT="2025-09-15T10:56:56.00" personId="{7878cda1-54b0-4f8a-af57-753262fea0d1}" id="{d580edbf-9135-4637-96ac-b75c91455201}" done="0">
    <x18tc:text xml:space="preserve">@tnprogramlead@ekam.ngo  let's discuss this question during our call and need for it</x18tc:text>
    <x18tc:mentions>
      <x18tc:mention mentionpersonId="{6b1965cd-f9e5-41d9-9910-17c486ada433}" mentionId="{1c218e6e-adc4-48d1-93fb-aa44bc10c2ba}" startIndex="0" length="23"/>
    </x18tc:mentions>
  </x18tc:threadedComment>
  <x18tc:threadedComment ref="A1" dT="2025-09-15T11:19:32.00" personId="{7878cda1-54b0-4f8a-af57-753262fea0d1}" id="{36c3a8d0-78da-4b37-b562-6d81d87050c5}" done="1">
    <x18tc:text xml:space="preserve">Are you giving counselling on schemes and their benefits if not i will remove this Q @tnprogramlead@ekam.ngo</x18tc:text>
    <x18tc:mentions>
      <x18tc:mention mentionpersonId="{6b1965cd-f9e5-41d9-9910-17c486ada433}" mentionId="{12733970-9809-4ce9-bf1b-2c3e62ae218d}" startIndex="85" length="23"/>
    </x18tc:mentions>
  </x18tc:threadedComment>
  <x18tc:threadedComment ref="A1" dT="2025-07-08T17:34:48.00" personId="{5507a277-1c99-44ae-aba1-a9413cc01353}" id="{ecd8b759-0ae1-4e9e-96dc-72c5a102ccf8}" done="0">
    <x18tc:text xml:space="preserve">Husband's number will be the alternate contact number</x18tc:text>
  </x18tc:threadedComment>
  <x18tc:threadedComment ref="A1" dT="2025-09-01T09:53:30.00" personId="{fd2bf9d2-4f3c-4c17-b45e-883705bc6191}" id="{2815346d-0cce-4a33-8cb8-137d3dadcf09}" done="0">
    <x18tc:text xml:space="preserve">Should be sufficient to have the gender captured in baby's individual registration</x18tc:text>
  </x18tc:threadedComment>
  <x18tc:threadedComment ref="A1" dT="2025-09-01T10:00:23.00" personId="{fd2bf9d2-4f3c-4c17-b45e-883705bc6191}" id="{f1c86241-61a3-4238-8022-0a0561381d72}" done="0">
    <x18tc:text xml:space="preserve">What is the purpose of this.?</x18tc:text>
  </x18tc:threadedComment>
  <x18tc:threadedComment ref="A1" dT="2025-09-17T15:37:24.00" personId="{5507a277-1c99-44ae-aba1-a9413cc01353}" id="{699221ce-76d7-41b4-b271-0fc3211090c4}" done="1">
    <x18tc:text xml:space="preserve">Can this be removed @ashok.ku22@gmail.com</x18tc:text>
    <x18tc:mentions>
      <x18tc:mention mentionpersonId="{835f2e36-b068-42e9-b126-dd1b06802c41}" mentionId="{f2afc39e-03e6-47aa-a50c-cb705f46528d}" startIndex="20" length="21"/>
    </x18tc:mentions>
  </x18tc:threadedComment>
  <x18tc:threadedComment ref="A1" dT="2025-07-17T04:11:51.00" personId="{78fe4528-2985-49b4-9183-2f45ca9412c8}" id="{40d5350b-a30f-496a-833c-a6c14906b5e0}" done="0">
    <x18tc:text xml:space="preserve">Program encounter in Pregnancy and Child programs</x18tc:text>
  </x18tc:threadedComment>
  <x18tc:threadedComment ref="A1" dT="2025-07-28T16:18:44.00" personId="{43c03bef-fc3d-4e0e-b507-74e981014403}" id="{904b0b34-9da1-4543-bb5a-a04b970d7740}" parentId="{40d5350b-a30f-496a-833c-a6c14906b5e0}">
    <x18tc:text xml:space="preserve">They want to do follow up on the referral. How do you plan to approach that ?</x18tc:text>
  </x18tc:threadedComment>
  <x18tc:threadedComment ref="A1" dT="2025-07-17T04:13:28.00" personId="{78fe4528-2985-49b4-9183-2f45ca9412c8}" id="{6f4daead-2152-4347-9872-9a4859357a71}" done="0">
    <x18tc:text xml:space="preserve">is it a monthly intervention?</x18tc:text>
  </x18tc:threadedComment>
  <x18tc:threadedComment ref="A1" dT="2025-07-17T04:10:34.00" personId="{78fe4528-2985-49b4-9183-2f45ca9412c8}" id="{91700d12-ac9f-481c-b732-3a871741f7b5}" done="0">
    <x18tc:text xml:space="preserve">This intervention need not require a separate program. it can be merged with child program or can be a general encounter for 0-18 year individuals</x18tc:text>
  </x18tc:threadedComment>
  <x18tc:threadedComment ref="A1" dT="2025-07-15T09:14:32.00" personId="{7878cda1-54b0-4f8a-af57-753262fea0d1}" id="{bb9d672e-9d59-41e9-b2ec-46380b2a9d70}" done="1">
    <x18tc:text xml:space="preserve">Write approximately no of direct beneficiaries for programs across TN</x18tc:text>
  </x18tc:threadedComment>
  <x18tc:threadedComment ref="A1" dT="2025-07-28T16:11:27.00" personId="{43c03bef-fc3d-4e0e-b507-74e981014403}" id="{451c5aee-2836-4e79-bc0d-02228905d184}" parentId="{bb9d672e-9d59-41e9-b2ec-46380b2a9d70}">
    <x18tc:text xml:space="preserve">@ashok.ku22@gmail.com The program in total deals with only 1000 beneficiaries ?</x18tc:text>
    <x18tc:mentions>
      <x18tc:mention mentionpersonId="{835f2e36-b068-42e9-b126-dd1b06802c41}" mentionId="{ddf71ddd-cbcd-4f05-b3be-01bfaa5c8d34}" startIndex="0" length="21"/>
    </x18tc:mentions>
  </x18tc:threadedComment>
  <x18tc:threadedComment ref="A1" dT="2025-07-29T06:05:39.00" personId="{7878cda1-54b0-4f8a-af57-753262fea0d1}" id="{4e9cebed-5140-45f8-ac58-67c5e3b60516}" done="1">
    <x18tc:text xml:space="preserve">Ashok to update with breastfeeding score assessment</x18tc:text>
  </x18tc:threadedComment>
  <x18tc:threadedComment ref="A1" dT="2025-07-30T12:39:45.00" personId="{7878cda1-54b0-4f8a-af57-753262fea0d1}" id="{b2549ab5-c77a-4ea7-a04e-c30e59ee6574}" done="1">
    <x18tc:text xml:space="preserve">it will removed if we agree project name as subject type after discussion with Arjun</x18tc:text>
  </x18tc:threadedComment>
  <x18tc:threadedComment ref="A1" dT="2025-07-17T04:07:37.00" personId="{78fe4528-2985-49b4-9183-2f45ca9412c8}" id="{2a364dcd-be42-4d20-88b0-2f72fd58cd66}" done="0">
    <x18tc:text xml:space="preserve">Why do we need a separate program for mothers? PNC and post PNC form (Mental health &amp; others) can be clubbed in pregnancy program.</x18tc:text>
  </x18tc:threadedComment>
  <x18tc:threadedComment ref="A1" dT="2025-07-15T07:31:35.00" personId="{7878cda1-54b0-4f8a-af57-753262fea0d1}" id="{836145d6-8b76-41d1-aded-9e1ba7dcc9e2}" done="1">
    <x18tc:text xml:space="preserve">@tnprogramlead@ekam.ngo to what level you want your location hierarchy ?</x18tc:text>
    <x18tc:mentions>
      <x18tc:mention mentionpersonId="{6b1965cd-f9e5-41d9-9910-17c486ada433}" mentionId="{f16e1bc9-4b73-4949-9f43-3d12be9c3d97}" startIndex="0" length="23"/>
    </x18tc:mentions>
  </x18tc:threadedComment>
  <x18tc:threadedComment ref="A1" dT="2025-07-30T11:07:53.00" personId="{43c03bef-fc3d-4e0e-b507-74e981014403}" id="{5bf27af6-779c-4c66-956e-ae558575e5cf}" parentId="{836145d6-8b76-41d1-aded-9e1ba7dcc9e2}">
    <x18tc:text xml:space="preserve">Marked as resolved</x18tc:text>
  </x18tc:threadedComment>
  <x18tc:threadedComment ref="A1" dT="2025-07-31T04:26:06.00" personId="{5507a277-1c99-44ae-aba1-a9413cc01353}" id="{b31292be-3435-491b-bbe7-a5baa0c222f1}" parentId="{836145d6-8b76-41d1-aded-9e1ba7dcc9e2}">
    <x18tc:text xml:space="preserve">i will add block here
Re-opened</x18tc:text>
  </x18tc:threadedComment>
  <x18tc:threadedComment ref="A1" dT="2025-10-17T04:56:15.00" personId="{7878cda1-54b0-4f8a-af57-753262fea0d1}" id="{985ee66b-8ca4-4551-9cf6-35f7dbc0e266}" done="0">
    <x18tc:text xml:space="preserve">@tnprogramlead@ekam.ngo @mnedofficer@ekam.ngo is this dashboard for weight progress of PW during ANC
@anjalib@samanvayfoundation.org will it be query based. Do we need fill column G?</x18tc:text>
    <x18tc:mentions>
      <x18tc:mention mentionpersonId="{6b1965cd-f9e5-41d9-9910-17c486ada433}" mentionId="{f45fcafe-3a38-44db-b003-5b27bf964c06}" startIndex="0" length="23"/>
      <x18tc:mention mentionpersonId="{e54f6afd-3e2a-431a-a2b4-85d24eed3d5f}" mentionId="{488e6957-6d9b-49b2-8372-494d000ae41b}" startIndex="24" length="21"/>
      <x18tc:mention mentionpersonId="{5175ac4e-7bdb-4a9b-8220-e40b6eca5016}" mentionId="{f6114b71-1697-432e-acf7-366ea908f4b2}" startIndex="101" length="31"/>
    </x18tc:mentions>
  </x18tc:threadedComment>
  <x18tc:threadedComment ref="A1" dT="2025-10-17T05:10:39.00" personId="{490e5175-706f-4761-b45e-8f205bc3b7b1}" id="{bfe1cb21-d81d-4ae5-9f6b-104769466961}" parentId="{985ee66b-8ca4-4551-9cf6-35f7dbc0e266}">
    <x18tc:text xml:space="preserve">Not required</x18tc:text>
  </x18tc:threadedComment>
  <x18tc:threadedComment ref="A1" dT="2025-10-17T06:40:27.00" personId="{392040e7-56f5-4c10-8c91-fbdcc01f44c5}" id="{54e971d8-a50c-4fe9-a6ef-fdc065e5552b}" parentId="{985ee66b-8ca4-4551-9cf6-35f7dbc0e266}">
    <x18tc:text xml:space="preserve">Yes, this dashboard was requested by our community trainers and health workers, so we added it. As you said, they wanted to know the weight progress of pregnant women during ANC. @ashok.ku22@gmail.com</x18tc:text>
    <x18tc:mentions>
      <x18tc:mention mentionpersonId="{835f2e36-b068-42e9-b126-dd1b06802c41}" mentionId="{300e38a5-bc61-4cda-86b2-80b245f55600}" startIndex="179" length="21"/>
    </x18tc:mentions>
  </x18tc:threadedComment>
  <x18tc:threadedComment ref="A1" dT="2025-10-27T15:22:12.00" personId="{392040e7-56f5-4c10-8c91-fbdcc01f44c5}" id="{d121af58-6362-451c-af6e-acbb105df84c}" parentId="{985ee66b-8ca4-4551-9cf6-35f7dbc0e266}">
    <x18tc:text xml:space="preserve">After discussion with our team, decision was taken to remove this dashboard card. We will not be requiring this card. Thank You @anjalib@samanvayfoundation.org</x18tc:text>
    <x18tc:mentions>
      <x18tc:mention mentionpersonId="{5175ac4e-7bdb-4a9b-8220-e40b6eca5016}" mentionId="{b3a25b26-cf4b-4f9c-8e16-03d678b41ef7}" startIndex="128" length="31"/>
    </x18tc:mentions>
  </x18tc:threadedComment>
  <x18tc:threadedComment ref="A1" dT="2025-07-28T16:12:16.00" personId="{43c03bef-fc3d-4e0e-b507-74e981014403}" id="{bfe7df7e-ef34-418d-9c18-6d48518bcf37}" done="0">
    <x18tc:text xml:space="preserve">@ashok.ku22@gmail.com What are typical changes involved ? How is Ekam planning to do this? Is there a training that is required ?</x18tc:text>
    <x18tc:mentions>
      <x18tc:mention mentionpersonId="{835f2e36-b068-42e9-b126-dd1b06802c41}" mentionId="{b61942ed-dab9-4521-ab30-d1c672502392}" startIndex="0" length="21"/>
    </x18tc:mentions>
  </x18tc:threadedComment>
  <x18tc:threadedComment ref="A1" dT="2025-07-30T13:27:42.00" personId="{7878cda1-54b0-4f8a-af57-753262fea0d1}" id="{4b38db97-901b-4462-bc36-8e87a5a1abd8}" parentId="{bfe7df7e-ef34-418d-9c18-6d48518bcf37}">
    <x18tc:text xml:space="preserve">@tnprogramlead@ekam.ngo please check this</x18tc:text>
    <x18tc:mentions>
      <x18tc:mention mentionpersonId="{6b1965cd-f9e5-41d9-9910-17c486ada433}" mentionId="{9214f212-e161-4214-a0ff-dd70d8f3f447}" startIndex="0" length="23"/>
    </x18tc:mentions>
  </x18tc:threadedComment>
  <x18tc:threadedComment ref="A1" dT="2025-07-31T04:32:52.00" personId="{5507a277-1c99-44ae-aba1-a9413cc01353}" id="{6a3c5125-a6aa-4b57-9281-65bbd54817ee}" parentId="{bfe7df7e-ef34-418d-9c18-6d48518bcf37}">
    <x18tc:text xml:space="preserve">Not able to correctly understand the question.  These are the challenges right now, well the new app will help us overcome these challenges.</x18tc:text>
  </x18tc:threadedComment>
  <x18tc:threadedComment ref="A1" dT="2025-07-31T04:56:31.00" personId="{43c03bef-fc3d-4e0e-b507-74e981014403}" id="{88601a2e-2486-4c0d-a4af-517799895378}" parentId="{bfe7df7e-ef34-418d-9c18-6d48518bcf37}">
    <x18tc:text xml:space="preserve">So doing changes in the app is easy. But making any changes means some effort either on Ekam or Samanvay's end and also a disruption in process, etc. So i am trying to understand at what frequency are you foreseeing them. It would be good to work on whatever in our control to see these changes don't happen too often</x18tc:text>
  </x18tc:threadedComment>
  <x18tc:threadedComment ref="A1" dT="2025-07-30T12:45:17.00" personId="{7878cda1-54b0-4f8a-af57-753262fea0d1}" id="{fdc8fc0e-e8c5-435a-873d-83370b7d4f90}" done="0">
    <x18tc:text xml:space="preserve">Video testimonials are shared by beneficiaries</x18tc:text>
  </x18tc:threadedComment>
  <x18tc:threadedComment ref="A1" dT="2025-09-25T07:36:18.00" personId="{7878cda1-54b0-4f8a-af57-753262fea0d1}" id="{edc6e985-fda7-4881-889f-07a258c2f2c0}" done="1">
    <x18tc:text xml:space="preserve">@anjalib@samanvayfoundation.org adding a Q for tomorrow's meeting. Is it possible to schedule monthly for 1st 6 months of pregnancy and then weekly visits for last 2 months</x18tc:text>
    <x18tc:mentions>
      <x18tc:mention mentionpersonId="{5175ac4e-7bdb-4a9b-8220-e40b6eca5016}" mentionId="{1f60b449-0606-4d6f-a005-9fb44b5b5bbd}" startIndex="0" length="31"/>
    </x18tc:mentions>
  </x18tc:threadedComment>
  <x18tc:threadedComment ref="A1" dT="2025-09-25T08:33:35.00" personId="{490e5175-706f-4761-b45e-8f205bc3b7b1}" id="{1a8915b9-0184-4cbd-8e41-340f027edac4}" parentId="{edc6e985-fda7-4881-889f-07a258c2f2c0}">
    <x18tc:text xml:space="preserve">@as</x18tc:text>
  </x18tc:threadedComment>
  <x18tc:threadedComment ref="A1" dT="2025-09-26T03:56:09.00" personId="{7878cda1-54b0-4f8a-af57-753262fea0d1}" id="{4d78b30c-40e1-494c-b51e-f5dfe4be25af}" parentId="{edc6e985-fda7-4881-889f-07a258c2f2c0}">
    <x18tc:text xml:space="preserve">If we can schedule PNC from date of delivery at individual. We should be able to do the same for ANC right?</x18tc:text>
  </x18tc:threadedComment>
  <x18tc:threadedComment ref="A1" dT="2025-09-26T04:27:45.00" personId="{490e5175-706f-4761-b45e-8f205bc3b7b1}" id="{a3fa34f6-bcad-41d5-acfa-60c46bfe454a}" parentId="{edc6e985-fda7-4881-889f-07a258c2f2c0}">
    <x18tc:text xml:space="preserve">@ashok.ku22@gmail.com yes</x18tc:text>
    <x18tc:mentions>
      <x18tc:mention mentionpersonId="{835f2e36-b068-42e9-b126-dd1b06802c41}" mentionId="{70752883-11d8-40af-b451-a9eb68d0154f}" startIndex="0" length="21"/>
    </x18tc:mentions>
  </x18tc:threadedComment>
  <x18tc:threadedComment ref="A1" dT="2025-10-17T04:49:09.00" personId="{7878cda1-54b0-4f8a-af57-753262fea0d1}" id="{1d48d6a5-5810-4057-8c7c-60e26d70c63f}" done="1">
    <x18tc:text xml:space="preserve">@mnedofficer@ekam.ngo @tnprogramlead@ekam.ngo @anjalib@samanvayfoundation.org Who has highlighted some of cards in green and why</x18tc:text>
    <x18tc:mentions>
      <x18tc:mention mentionpersonId="{e54f6afd-3e2a-431a-a2b4-85d24eed3d5f}" mentionId="{4e4e5883-17ad-4f26-b783-d1bb5d64b321}" startIndex="0" length="21"/>
      <x18tc:mention mentionpersonId="{6b1965cd-f9e5-41d9-9910-17c486ada433}" mentionId="{46f7c238-3cbd-4b29-97e5-35b636bff916}" startIndex="22" length="23"/>
      <x18tc:mention mentionpersonId="{5175ac4e-7bdb-4a9b-8220-e40b6eca5016}" mentionId="{4d5a1ed1-5c78-49e5-9b9a-aba0bc261efd}" startIndex="46" length="31"/>
    </x18tc:mentions>
  </x18tc:threadedComment>
  <x18tc:threadedComment ref="A1" dT="2025-10-17T06:33:23.00" personId="{392040e7-56f5-4c10-8c91-fbdcc01f44c5}" id="{5c7ce55b-49ed-406b-9bcf-1eb1be5042e4}" parentId="{1d48d6a5-5810-4057-8c7c-60e26d70c63f}">
    <x18tc:text xml:space="preserve">Myself! We were discussing how many exit lists to include, so we have highlighted them. Once we finalise the Google Sheet, we will let you know @ashok.ku22@gmail.com</x18tc:text>
    <x18tc:mentions>
      <x18tc:mention mentionpersonId="{835f2e36-b068-42e9-b126-dd1b06802c41}" mentionId="{4c7c32b0-2c90-45dc-94ad-50a9c9b0f327}" startIndex="144" length="21"/>
    </x18tc:mentions>
  </x18tc:threadedComment>
  <x18tc:threadedComment ref="A1" dT="2025-10-17T07:06:10.00" personId="{32466b1a-36e6-4419-8fba-1687ce6a2868}" id="{ce5cf49b-1703-48b3-a44b-d1030425403d}" parentId="{1d48d6a5-5810-4057-8c7c-60e26d70c63f}">
    <x18tc:text xml:space="preserve">Thanks Manickam for the update. My suggestion would be leave a comment while highlighting items under internal discussion. It will be easier for all us to understand.</x18tc:text>
  </x18tc:threadedComment>
  <x18tc:threadedComment ref="A1" dT="2025-10-17T07:07:44.00" personId="{392040e7-56f5-4c10-8c91-fbdcc01f44c5}" id="{b2508fcf-e411-4add-a918-7c9fa6608ce5}" parentId="{1d48d6a5-5810-4057-8c7c-60e26d70c63f}">
    <x18tc:text xml:space="preserve">Sure! @ashok.ku22@gmail.com</x18tc:text>
    <x18tc:mentions>
      <x18tc:mention mentionpersonId="{835f2e36-b068-42e9-b126-dd1b06802c41}" mentionId="{c913d83a-dacf-4d8b-aff7-fa48580a1bb0}" startIndex="6" length="21"/>
    </x18tc:mentions>
  </x18tc:threadedComment>
  <x18tc:threadedComment ref="A1" dT="2025-09-11T11:13:00.00" personId="{490e5175-706f-4761-b45e-8f205bc3b7b1}" id="{f5d07758-ba2e-4460-8c69-0d432501e305}" done="0">
    <x18tc:text xml:space="preserve">@ashok.ku22@gmail.com in all the forms wherever file is mentioned, do you also want the option to add images?
Assigned to ashok.ku22@gmail.com</x18tc:text>
    <x18tc:mentions>
      <x18tc:mention mentionpersonId="{835f2e36-b068-42e9-b126-dd1b06802c41}" mentionId="{42965980-3e96-47e5-9df3-9ca6b8a4160f}" startIndex="0" length="21"/>
    </x18tc:mentions>
  </x18tc:threadedComment>
  <x18tc:threadedComment ref="A1" dT="2025-09-12T06:06:28.00" personId="{7878cda1-54b0-4f8a-af57-753262fea0d1}" id="{836f44ee-6471-4824-9b3b-52de785ca743}" parentId="{f5d07758-ba2e-4460-8c69-0d432501e305}">
    <x18tc:text xml:space="preserve">this should be uploading documents as PDF and not as image</x18tc:text>
  </x18tc:threadedComment>
  <x18tc:threadedComment ref="A1" dT="2025-07-23T15:13:46.00" personId="{5507a277-1c99-44ae-aba1-a9413cc01353}" id="{2908148a-2332-4422-94a2-cae2c03ee1f7}" done="1">
    <x18tc:text xml:space="preserve">Can be removed</x18tc:text>
  </x18tc:threadedComment>
  <x18tc:threadedComment ref="A1" dT="2025-07-31T06:47:31.00" personId="{7878cda1-54b0-4f8a-af57-753262fea0d1}" id="{72d8aa17-0f49-4bd5-b43b-3510062b8ff9}" done="0">
    <x18tc:text xml:space="preserve">@tnprogramlead@ekam.ngo update this as per our discussion</x18tc:text>
    <x18tc:mentions>
      <x18tc:mention mentionpersonId="{6b1965cd-f9e5-41d9-9910-17c486ada433}" mentionId="{7f3ef76b-f342-4113-bab2-4b8cd0f3fd8b}" startIndex="0" length="23"/>
    </x18tc:mentions>
  </x18tc:threadedComment>
  <x18tc:threadedComment ref="A1" dT="2025-07-23T15:06:32.00" personId="{5507a277-1c99-44ae-aba1-a9413cc01353}" id="{c8529f0d-a9ec-44d7-a884-a7b85d6cc00e}" done="0">
    <x18tc:text xml:space="preserve">Can be removed</x18tc:text>
  </x18tc:threadedComment>
  <x18tc:threadedComment ref="A1" dT="2025-07-08T10:31:28.00" personId="{5507a277-1c99-44ae-aba1-a9413cc01353}" id="{31c1bdb8-b6bb-42c7-9165-5754887d59cc}" done="0">
    <x18tc:text xml:space="preserve">should this go into the delivery form</x18tc:text>
  </x18tc:threadedComment>
  <x18tc:threadedComment ref="A1" dT="2025-07-23T15:12:41.00" personId="{5507a277-1c99-44ae-aba1-a9413cc01353}" id="{bf4c2361-add8-4596-8e26-f0b80eba54c6}" done="1">
    <x18tc:text xml:space="preserve">Field can be removed</x18tc:text>
  </x18tc:threadedComment>
  <x18tc:threadedComment ref="A1" dT="2025-07-25T08:57:12.00" personId="{7878cda1-54b0-4f8a-af57-753262fea0d1}" id="{fd09e2de-09c0-4506-b9ba-1b9b7dc8c00c}" parentId="{bf4c2361-add8-4596-8e26-f0b80eba54c6}">
    <x18tc:text xml:space="preserve">if we writing type of beneficiaries then this field won't be required</x18tc:text>
  </x18tc:threadedComment>
  <x18tc:threadedComment ref="A1" dT="2025-07-23T05:08:22.00" personId="{7878cda1-54b0-4f8a-af57-753262fea0d1}" id="{68c59318-5136-4ff2-b6f5-f2d52b18bad5}" done="0">
    <x18tc:text xml:space="preserve">@tnprogramlead@ekam.ngo Is this a observational Question for fieldworker</x18tc:text>
    <x18tc:mentions>
      <x18tc:mention mentionpersonId="{6b1965cd-f9e5-41d9-9910-17c486ada433}" mentionId="{b34877a6-f9e4-4d61-8590-a44d39ab265e}" startIndex="0" length="23"/>
    </x18tc:mentions>
  </x18tc:threadedComment>
  <x18tc:threadedComment ref="A1" dT="2025-07-23T14:08:10.00" personId="{5507a277-1c99-44ae-aba1-a9413cc01353}" id="{b8674adc-7f46-4a8c-bdde-1a0c226dd75b}" parentId="{68c59318-5136-4ff2-b6f5-f2d52b18bad5}">
    <x18tc:text xml:space="preserve">Yes ji</x18tc:text>
  </x18tc:threadedComment>
  <x18tc:threadedComment ref="A1" dT="2025-07-23T15:04:43.00" personId="{5507a277-1c99-44ae-aba1-a9413cc01353}" id="{8a0ad4e7-22d9-4fa3-b1e5-1cbadd87fb41}" done="0">
    <x18tc:text xml:space="preserve">added field</x18tc:text>
  </x18tc:threadedComment>
  <x18tc:threadedComment ref="A1" dT="2025-09-11T11:07:58.00" personId="{490e5175-706f-4761-b45e-8f205bc3b7b1}" id="{af18cc7b-b565-4398-ad86-79bed707e189}" done="1">
    <x18tc:text xml:space="preserve">@ashok.ku22@gmail.com @ashok.ku22@gmail.com are the name of the attendees required?
Assigned to ashok.ku22@gmail.com</x18tc:text>
    <x18tc:mentions>
      <x18tc:mention mentionpersonId="{835f2e36-b068-42e9-b126-dd1b06802c41}" mentionId="{dad8d149-c0f8-41b3-ad8f-19a871615d6a}" startIndex="0" length="21"/>
      <x18tc:mention mentionpersonId="{835f2e36-b068-42e9-b126-dd1b06802c41}" mentionId="{654a0b1e-c61d-4eaf-90f4-488382bedf30}" startIndex="22" length="21"/>
    </x18tc:mentions>
  </x18tc:threadedComment>
  <x18tc:threadedComment ref="A1" dT="2025-09-12T06:15:40.00" personId="{7878cda1-54b0-4f8a-af57-753262fea0d1}" id="{47da95e5-ae03-4f11-8662-0212f1aee1b4}" parentId="{af18cc7b-b565-4398-ad86-79bed707e189}">
    <x18tc:text xml:space="preserve">Not required</x18tc:text>
  </x18tc:threadedComment>
  <x18tc:threadedComment ref="A1" dT="2025-09-18T07:49:24.00" personId="{5507a277-1c99-44ae-aba1-a9413cc01353}" id="{73b31cad-21b3-4b30-bf4c-60038541aae9}" done="0">
    <x18tc:text xml:space="preserve">@ashok.ku22@gmail.com only 4 boxes to enter data</x18tc:text>
    <x18tc:mentions>
      <x18tc:mention mentionpersonId="{835f2e36-b068-42e9-b126-dd1b06802c41}" mentionId="{6607fce5-1ed3-48e7-9f62-7dc95f1bc85e}" startIndex="0" length="21"/>
    </x18tc:mentions>
  </x18tc:threadedComment>
  <x18tc:threadedComment ref="A1" dT="2025-09-18T07:29:20.00" personId="{5507a277-1c99-44ae-aba1-a9413cc01353}" id="{4766a0a9-dd6b-4db9-9263-cb02e66938d6}" done="0">
    <x18tc:text xml:space="preserve">Breastfeeding assessment preferably as a separate form, since not all project teams will be doing this</x18tc:text>
  </x18tc:threadedComment>
  <x18tc:threadedComment ref="A1" dT="2025-10-27T05:20:02.00" personId="{490e5175-706f-4761-b45e-8f205bc3b7b1}" id="{a3dce465-2fbb-4ac9-90a5-030790637c61}" done="1">
    <x18tc:text xml:space="preserve">@ashok.ku22@gmail.com @tnprogramlead@ekam.ngo @mnedofficer@ekam.ngo Since the Patient Welfare Officer will fill the “Save a Child” form only through the Web App, I don’t think we need an offline dashboard card for the “Save a Child Follow-Up. Please confirm if this is required or not?
Assigned to mnedofficer@ekam.ngo</x18tc:text>
    <x18tc:mentions>
      <x18tc:mention mentionpersonId="{835f2e36-b068-42e9-b126-dd1b06802c41}" mentionId="{07a67e47-378a-457f-8157-a63a8eac760c}" startIndex="0" length="21"/>
      <x18tc:mention mentionpersonId="{6b1965cd-f9e5-41d9-9910-17c486ada433}" mentionId="{55cc22ea-4d5e-4584-8696-ab1ce480af50}" startIndex="22" length="23"/>
      <x18tc:mention mentionpersonId="{e54f6afd-3e2a-431a-a2b4-85d24eed3d5f}" mentionId="{bb55e4b5-0ba0-4f1f-b7d0-968f8c2f6660}" startIndex="46" length="21"/>
    </x18tc:mentions>
  </x18tc:threadedComment>
  <x18tc:threadedComment ref="A1" dT="2025-10-27T15:31:37.00" personId="{392040e7-56f5-4c10-8c91-fbdcc01f44c5}" id="{7b5ba787-2e2a-4ec7-9618-cba0e0def3ca}" parentId="{a3dce465-2fbb-4ac9-90a5-030790637c61}">
    <x18tc:text xml:space="preserve">We can remove this card, as you said it is not required for the mobile application. We agree on this and we can remove this from our side. @anjalib@samanvayfoundation.org</x18tc:text>
    <x18tc:mentions>
      <x18tc:mention mentionpersonId="{5175ac4e-7bdb-4a9b-8220-e40b6eca5016}" mentionId="{ca039514-a106-40cb-bf13-c9c7e8d45eaa}" startIndex="139" length="31"/>
    </x18tc:mentions>
  </x18tc:threadedComment>
  <x18tc:threadedComment ref="A1" dT="2025-09-18T07:17:15.00" personId="{5507a277-1c99-44ae-aba1-a9413cc01353}" id="{e165c344-970a-4065-900c-0d7643f2690b}" done="0">
    <x18tc:text xml:space="preserve">It is there in child registration form, can I remove here? @ashok.ku22@gmail.com</x18tc:text>
    <x18tc:mentions>
      <x18tc:mention mentionpersonId="{835f2e36-b068-42e9-b126-dd1b06802c41}" mentionId="{4fcc46c5-b613-4039-8d9b-af23553e1c5d}" startIndex="59" length="21"/>
    </x18tc:mentions>
  </x18tc:threadedComment>
  <x18tc:threadedComment ref="A1" dT="2025-09-18T07:17:18.00" personId="{5507a277-1c99-44ae-aba1-a9413cc01353}" id="{8b759968-3d79-4c9f-9052-3d360598742b}" done="0">
    <x18tc:text xml:space="preserve">To be captured in delivery form itself</x18tc:text>
  </x18tc:threadedComment>
  <x18tc:threadedComment ref="A1" dT="2025-09-18T07:17:21.00" personId="{5507a277-1c99-44ae-aba1-a9413cc01353}" id="{6e14b5a6-aade-4ecc-b5ba-cfdd7a285d22}" done="0">
    <x18tc:text xml:space="preserve">To be captured in delivery form itself</x18tc:text>
  </x18tc:threadedComment>
  <x18tc:threadedComment ref="A1" dT="2025-07-28T16:32:51.00" personId="{43c03bef-fc3d-4e0e-b507-74e981014403}" id="{5a464a68-59b0-4da1-915c-d3989dd64bdc}" done="1">
    <x18tc:text xml:space="preserve">Why is Adolescent marked in Red here? Is it there in the scope or note?</x18tc:text>
  </x18tc:threadedComment>
  <x18tc:threadedComment ref="A1" dT="2025-07-30T02:48:15.00" personId="{7878cda1-54b0-4f8a-af57-753262fea0d1}" id="{8531b0dc-bb83-42e5-ad2a-fd4a74c55509}" parentId="{5a464a68-59b0-4da1-915c-d3989dd64bdc}">
    <x18tc:text xml:space="preserve">Removed Adolescent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5-10-22T03:49:35.00" personId="{490e5175-706f-4761-b45e-8f205bc3b7b1}" id="{a931f18d-2805-4fb9-b2e2-69ef254babbb}" done="1">
    <x18tc:text xml:space="preserve">@ashok.ku22@gmail.com @tnprogramlead@ekam.ngo @mnedofficer@ekam.ngo if we have to show for each trimester, that itself will become 3 cards (1st trimester, 2nd and 3rd trimester) and we will exhaust the scope. Please confirm if you want to see for all the three trimester or only Pregnant Women in 3rd trimester will do
Assigned to mnedofficer@ekam.ngo</x18tc:text>
    <x18tc:mentions>
      <x18tc:mention mentionpersonId="{835f2e36-b068-42e9-b126-dd1b06802c41}" mentionId="{20f922cf-67f5-416b-a7d1-509a57154e33}" startIndex="0" length="21"/>
      <x18tc:mention mentionpersonId="{6b1965cd-f9e5-41d9-9910-17c486ada433}" mentionId="{8fe9ebd0-b60b-4906-a920-2392e58818d6}" startIndex="22" length="23"/>
      <x18tc:mention mentionpersonId="{e54f6afd-3e2a-431a-a2b4-85d24eed3d5f}" mentionId="{36f51e05-6ab9-4689-9f8a-a3de9d099c9a}" startIndex="46" length="21"/>
    </x18tc:mentions>
  </x18tc:threadedComment>
  <x18tc:threadedComment ref="E13" dT="2025-10-22T03:59:05.00" personId="{490e5175-706f-4761-b45e-8f205bc3b7b1}" id="{7c954398-141e-45af-a79d-2c1cff8e3954}" done="1">
    <x18tc:text xml:space="preserve">@mnedofficer@ekam.ngo @ashok.ku22@gmail.com @tnprogramlead@ekam.ngo what Birth Weight should be considered as High Risk?
Assigned to mnedofficer@ekam.ngo</x18tc:text>
    <x18tc:mentions>
      <x18tc:mention mentionpersonId="{e54f6afd-3e2a-431a-a2b4-85d24eed3d5f}" mentionId="{5bc75264-c082-43f8-90d9-4bc1a8274c44}" startIndex="0" length="21"/>
      <x18tc:mention mentionpersonId="{835f2e36-b068-42e9-b126-dd1b06802c41}" mentionId="{e1825324-5d9a-42da-acf9-15f03387a528}" startIndex="22" length="21"/>
      <x18tc:mention mentionpersonId="{6b1965cd-f9e5-41d9-9910-17c486ada433}" mentionId="{05e1499b-90e0-42bb-a1b4-fb9a90eb55fe}" startIndex="44" length="23"/>
    </x18tc:mentions>
  </x18tc:threadedComment>
  <x18tc:threadedComment ref="E13" dT="2025-10-24T07:59:21.00" personId="{5507a277-1c99-44ae-aba1-a9413cc01353}" id="{b5ff17c0-3866-42bd-8483-35a83b9fb54d}" parentId="{7c954398-141e-45af-a79d-2c1cff8e3954}">
    <x18tc:text xml:space="preserve">Less than 2.5 kg</x18tc:text>
  </x18tc:threadedComment>
  <x18tc:threadedComment ref="E13" dT="2025-10-24T08:19:56.00" personId="{490e5175-706f-4761-b45e-8f205bc3b7b1}" id="{bb0e7e77-51b6-4afd-9c91-962e185dce1e}" parentId="{7c954398-141e-45af-a79d-2c1cff8e3954}">
    <x18tc:text xml:space="preserve">@tnprogramlead@ekam.ngo what are the other danger signs?
Reassigned to tnprogramlead@ekam.ngo</x18tc:text>
    <x18tc:mentions>
      <x18tc:mention mentionpersonId="{6b1965cd-f9e5-41d9-9910-17c486ada433}" mentionId="{073a6361-22a5-4e61-b0aa-e2fe392a82f8}" startIndex="0" length="23"/>
    </x18tc:mentions>
  </x18tc:threadedComment>
  <x18tc:threadedComment ref="E13" dT="2025-10-27T15:26:51.00" personId="{392040e7-56f5-4c10-8c91-fbdcc01f44c5}" id="{2d7e4c9f-ad60-4906-9e5e-8a33c536d0cc}" parentId="{7c954398-141e-45af-a79d-2c1cff8e3954}">
    <x18tc:text xml:space="preserve">Danger signs are listed in the Child Follow-up and Anthropometry form. @anjalib@samanvayfoundation.org</x18tc:text>
    <x18tc:mentions>
      <x18tc:mention mentionpersonId="{5175ac4e-7bdb-4a9b-8220-e40b6eca5016}" mentionId="{23352f23-0ab0-4a6c-b498-6c3fe3fbef27}" startIndex="71" length="31"/>
    </x18tc:mentions>
  </x18tc:threadedComment>
  <x18tc:threadedComment ref="D16" dT="2025-10-24T12:39:45.00" personId="{490e5175-706f-4761-b45e-8f205bc3b7b1}" id="{8ad7575c-7e00-4d01-9c05-0d0b1bad077e}" done="1">
    <x18tc:text xml:space="preserve">@mnedofficer@ekam.ngo what is Child Follow-up Form-3
Assigned to mnedofficer@ekam.ngo</x18tc:text>
    <x18tc:mentions>
      <x18tc:mention mentionpersonId="{e54f6afd-3e2a-431a-a2b4-85d24eed3d5f}" mentionId="{9d8283a3-1783-4c69-ae74-46e58f0eaf26}" startIndex="0" length="21"/>
    </x18tc:mentions>
  </x18tc:threadedComment>
  <x18tc:threadedComment ref="D16" dT="2025-10-24T14:38:29.00" personId="{392040e7-56f5-4c10-8c91-fbdcc01f44c5}" id="{e2921542-a063-4484-9987-2dc6649bbcfb}" parentId="{8ad7575c-7e00-4d01-9c05-0d0b1bad077e}">
    <x18tc:text xml:space="preserve">Sorry, that was my mistake. I had written it as per our Canva format while checking. The correct form name is "Child Follow-up and Anthropometry". @anjalib@samanvayfoundation.org</x18tc:text>
    <x18tc:mentions>
      <x18tc:mention mentionpersonId="{5175ac4e-7bdb-4a9b-8220-e40b6eca5016}" mentionId="{b418ae25-d8d7-4430-b403-be256ce2837d}" startIndex="147" length="31"/>
    </x18tc:mentions>
  </x18tc:threadedComment>
  <x18tc:threadedComment ref="D17" dT="2025-10-24T12:39:53.00" personId="{490e5175-706f-4761-b45e-8f205bc3b7b1}" id="{d3340fe4-dcb8-43c6-a4b5-9b9aac91e87c}" done="1">
    <x18tc:text xml:space="preserve">@mnedofficer@ekam.ngo what is Child Follow-up Form-3
Assigned to mnedofficer@ekam.ngo</x18tc:text>
    <x18tc:mentions>
      <x18tc:mention mentionpersonId="{e54f6afd-3e2a-431a-a2b4-85d24eed3d5f}" mentionId="{6d14b25f-0393-45f7-970c-935e419dec65}" startIndex="0" length="21"/>
    </x18tc:mentions>
  </x18tc:threadedComment>
  <x18tc:threadedComment ref="D17" dT="2025-10-24T14:39:43.00" personId="{392040e7-56f5-4c10-8c91-fbdcc01f44c5}" id="{e48de850-4b31-48e4-b279-23db7f5c058b}" parentId="{d3340fe4-dcb8-43c6-a4b5-9b9aac91e87c}">
    <x18tc:text xml:space="preserve">Same here. It is "Child Follow-Up and Anthropometry" form
@anjalib@samanvayfoundation.org</x18tc:text>
    <x18tc:mentions>
      <x18tc:mention mentionpersonId="{5175ac4e-7bdb-4a9b-8220-e40b6eca5016}" mentionId="{8ace73e1-9a10-4ce6-95c2-d4881c294008}" startIndex="58" length="31"/>
    </x18tc:mentions>
  </x18tc:threadedComment>
  <x18tc:threadedComment ref="D20" dT="2025-10-24T12:40:02.00" personId="{490e5175-706f-4761-b45e-8f205bc3b7b1}" id="{18f81921-e7c3-429c-a84e-d753bd2e4ee2}" done="1">
    <x18tc:text xml:space="preserve">@mnedofficer@ekam.ngo what is Child Follow-up Form-3</x18tc:text>
    <x18tc:mentions>
      <x18tc:mention mentionpersonId="{e54f6afd-3e2a-431a-a2b4-85d24eed3d5f}" mentionId="{9d8181f9-082a-4ad4-a2d8-a53d2af589e9}" startIndex="0" length="21"/>
    </x18tc:mentions>
  </x18tc:threadedComment>
  <x18tc:threadedComment ref="D20" dT="2025-10-24T14:44:16.00" personId="{392040e7-56f5-4c10-8c91-fbdcc01f44c5}" id="{cad75946-3c1d-4468-99d9-8979035e4dd0}" parentId="{18f81921-e7c3-429c-a84e-d753bd2e4ee2}">
    <x18tc:text xml:space="preserve">Here it is Immunization Form or Vaccination_Checklist. @anjalib@samanvayfoundation.org</x18tc:text>
    <x18tc:mentions>
      <x18tc:mention mentionpersonId="{5175ac4e-7bdb-4a9b-8220-e40b6eca5016}" mentionId="{1f8a77d4-fc35-4dc6-a85f-7ce6e3635be5}" startIndex="55" length="31"/>
    </x18tc:mentions>
  </x18tc:threadedComment>
  <x18tc:threadedComment ref="C19" dT="2025-10-28T06:40:22.00" personId="{392040e7-56f5-4c10-8c91-fbdcc01f44c5}" id="{c355870a-25d3-4641-8f44-f1535b5ceb59}" done="1">
    <x18tc:text xml:space="preserve">I have changed the name of the card. @anjalib@samanvayfoundation.org</x18tc:text>
    <x18tc:mentions>
      <x18tc:mention mentionpersonId="{5175ac4e-7bdb-4a9b-8220-e40b6eca5016}" mentionId="{afcefb97-7091-488a-a615-55e50cf5ca25}" startIndex="37" length="31"/>
    </x18tc:mentions>
  </x18tc:threadedComment>
  <x18tc:threadedComment ref="C18" dT="2025-10-30T12:52:35.00" personId="{392040e7-56f5-4c10-8c91-fbdcc01f44c5}" id="{d75f2281-c973-4981-985d-c38617a6f68b}" done="0">
    <x18tc:text xml:space="preserve">Height for age (Stunting status) @anjalib@samanvayfoundation.org We need the complete list of children's stunting status under this card.
Assigned to anjalib@samanvayfoundation.org</x18tc:text>
    <x18tc:mentions>
      <x18tc:mention mentionpersonId="{5175ac4e-7bdb-4a9b-8220-e40b6eca5016}" mentionId="{00fb02c4-babd-419f-89ee-527ccecdb7af}" startIndex="33" length="31"/>
    </x18tc:mentions>
  </x18tc:threadedComment>
  <x18tc:threadedComment ref="C18" dT="2025-11-06T08:20:47.00" personId="{490e5175-706f-4761-b45e-8f205bc3b7b1}" id="{28aaa43d-8e99-48a3-96ae-98af611446b8}" parentId="{d75f2281-c973-4981-985d-c38617a6f68b}">
    <x18tc:text xml:space="preserve">@mnedofficer@ekam.ngo @mnedofficer@ekam.ngo please don't change the details of the cards here. Any changes required, please add it in the UAT feedback sheet. This card was not there in the requirement list
Reassigned to mnedofficer@ekam.ngo</x18tc:text>
    <x18tc:mentions>
      <x18tc:mention mentionpersonId="{e54f6afd-3e2a-431a-a2b4-85d24eed3d5f}" mentionId="{742c5e6d-3189-4f7c-adae-cd401e3c9528}" startIndex="0" length="21"/>
      <x18tc:mention mentionpersonId="{e54f6afd-3e2a-431a-a2b4-85d24eed3d5f}" mentionId="{f7ce72cf-9b82-402a-9cc2-70b5635ba5f7}" startIndex="22" length="21"/>
    </x18tc:mentions>
  </x18tc:threadedComment>
  <x18tc:threadedComment ref="E5" dT="2025-09-26T04:26:30.00" personId="{7878cda1-54b0-4f8a-af57-753262fea0d1}" id="{c46fbf90-03ea-4716-b30a-5724b7a694a8}" done="1">
    <x18tc:text xml:space="preserve">@anjalib@samanvayfoundation.org I think this logic will change as not every danger sign translate to High risk pregnancy. 
There are specific Qs added in the ANC form for 3 type high risk conditions. we need refer to them. Let's discuss during the call.</x18tc:text>
    <x18tc:mentions>
      <x18tc:mention mentionpersonId="{5175ac4e-7bdb-4a9b-8220-e40b6eca5016}" mentionId="{7e99accb-800a-4010-8aa0-ba68559bb4d9}" startIndex="0" length="31"/>
    </x18tc:mentions>
  </x18tc:threadedComment>
  <x18tc:threadedComment ref="E6" dT="2025-11-02T03:38:22.00" personId="{e6adde95-f533-4a42-874d-4d6dc979634d}" id="{be3185d0-83ea-429c-816a-9992f767f9b6}" done="0">
    <x18tc:text xml:space="preserve">@anjalib@samanvayfoundation.org do we need to remove the individual from high risk if the delivery is completed
Assigned to anjalib@samanvayfoundation.org</x18tc:text>
    <x18tc:mentions>
      <x18tc:mention mentionpersonId="{5175ac4e-7bdb-4a9b-8220-e40b6eca5016}" mentionId="{bb6e7bd0-5960-4c18-bcbe-922402327c8f}" startIndex="0" length="31"/>
    </x18tc:mentions>
  </x18tc:threadedComment>
  <x18tc:threadedComment ref="E6" dT="2025-11-03T10:33:41.00" personId="{490e5175-706f-4761-b45e-8f205bc3b7b1}" id="{955bd561-4bb3-4e81-9b67-f4d128644c33}" parentId="{be3185d0-83ea-429c-816a-9992f767f9b6}">
    <x18tc:text xml:space="preserve">@dineshg@samanvayfoundation.org yes only check in ANC and PE. Once delivery is done, remove it from this list
Reassigned to dineshg@samanvayfoundation.org</x18tc:text>
    <x18tc:mentions>
      <x18tc:mention mentionpersonId="{e7d4fcbd-926b-4052-aff0-3e0aa121bb04}" mentionId="{9381bd07-cbf8-41b2-b342-c7ee5bcef59b}" startIndex="0" length="31"/>
    </x18tc:mentions>
  </x18tc:threadedComment>
  <x18tc:threadedComment ref="C17" dT="2025-10-29T11:03:43.00" personId="{490e5175-706f-4761-b45e-8f205bc3b7b1}" id="{48e562fc-c1c5-4aba-93ce-08561629c0a2}" done="0">
    <x18tc:text xml:space="preserve">@mnedofficer@ekam.ngo should we take it from Weight for age or Weight for height question
Assigned to mnedofficer@ekam.ngo</x18tc:text>
    <x18tc:mentions>
      <x18tc:mention mentionpersonId="{e54f6afd-3e2a-431a-a2b4-85d24eed3d5f}" mentionId="{f1bd703f-db95-4adf-9040-e4cd863c14b9}" startIndex="0" length="21"/>
    </x18tc:mentions>
  </x18tc:threadedComment>
  <x18tc:threadedComment ref="C17" dT="2025-10-30T08:52:17.00" personId="{392040e7-56f5-4c10-8c91-fbdcc01f44c5}" id="{e2600ab2-c334-451f-b4ba-a6b70149e15f}" parentId="{48e562fc-c1c5-4aba-93ce-08561629c0a2}">
    <x18tc:text xml:space="preserve">@tnprogramlead@ekam.ngo need your opinion on this? Which Question we need to take?
Reassigned to tnprogramlead@ekam.ngo</x18tc:text>
    <x18tc:mentions>
      <x18tc:mention mentionpersonId="{6b1965cd-f9e5-41d9-9910-17c486ada433}" mentionId="{a009c655-4a88-4c9a-b1b0-22efd822886d}" startIndex="0" length="23"/>
    </x18tc:mentions>
  </x18tc:threadedComment>
  <x18tc:threadedComment ref="C17" dT="2025-10-30T12:50:47.00" personId="{392040e7-56f5-4c10-8c91-fbdcc01f44c5}" id="{a88f3aa4-df1b-4354-801b-934bc7cdb097}" parentId="{48e562fc-c1c5-4aba-93ce-08561629c0a2}">
    <x18tc:text xml:space="preserve">Weight for age (Underweight status). We need the complete list of underweight children under this card. @anjalib@samanvayfoundation.org
Reassigned to anjalib@samanvayfoundation.org</x18tc:text>
    <x18tc:mentions>
      <x18tc:mention mentionpersonId="{5175ac4e-7bdb-4a9b-8220-e40b6eca5016}" mentionId="{2dce30e8-b35c-4fbb-bdff-1d2e513e1e15}" startIndex="104" length="31"/>
    </x18tc:mentions>
  </x18tc:threadedComment>
  <x18tc:threadedComment ref="C17" dT="2025-11-06T08:21:05.00" personId="{490e5175-706f-4761-b45e-8f205bc3b7b1}" id="{7467715e-1860-4d01-a302-5008fec37d23}" parentId="{48e562fc-c1c5-4aba-93ce-08561629c0a2}">
    <x18tc:text xml:space="preserve">@mnedofficer@ekam.ngo @mnedofficer@ekam.ngo please don't change the details of the cards here. Any changes required, please add it in the UAT feedback sheet. This card was earlier MAM Child List
Reassigned to mnedofficer@ekam.ngo</x18tc:text>
    <x18tc:mentions>
      <x18tc:mention mentionpersonId="{e54f6afd-3e2a-431a-a2b4-85d24eed3d5f}" mentionId="{ce797693-d701-4376-9a0e-189103c35c07}" startIndex="0" length="21"/>
      <x18tc:mention mentionpersonId="{e54f6afd-3e2a-431a-a2b4-85d24eed3d5f}" mentionId="{86b75f13-7e62-4593-a520-ad5ed6770e8f}" startIndex="22" length="21"/>
    </x18tc:mentions>
  </x18tc:threadedComment>
  <x18tc:threadedComment ref="C16" dT="2025-10-29T11:03:39.00" personId="{490e5175-706f-4761-b45e-8f205bc3b7b1}" id="{f9919316-6598-47ef-a4a8-6221804dc291}" done="0">
    <x18tc:text xml:space="preserve">@mnedofficer@ekam.ngo should we take it from Weight for age  or Weight for height question
Assigned to mnedofficer@ekam.ngo</x18tc:text>
    <x18tc:mentions>
      <x18tc:mention mentionpersonId="{e54f6afd-3e2a-431a-a2b4-85d24eed3d5f}" mentionId="{8d3cac2f-7612-4db6-bec2-e6db65207b96}" startIndex="0" length="21"/>
    </x18tc:mentions>
  </x18tc:threadedComment>
  <x18tc:threadedComment ref="C16" dT="2025-10-30T08:52:05.00" personId="{392040e7-56f5-4c10-8c91-fbdcc01f44c5}" id="{102cc0da-b08c-4200-9cc8-415ec8a9875b}" parentId="{f9919316-6598-47ef-a4a8-6221804dc291}">
    <x18tc:text xml:space="preserve">@tnprogramlead@ekam.ngo need your opinion on this? Which Question we need to take?
Reassigned to tnprogramlead@ekam.ngo</x18tc:text>
    <x18tc:mentions>
      <x18tc:mention mentionpersonId="{6b1965cd-f9e5-41d9-9910-17c486ada433}" mentionId="{2369881e-04ec-4e59-8e05-ed12f37358e3}" startIndex="0" length="23"/>
    </x18tc:mentions>
  </x18tc:threadedComment>
  <x18tc:threadedComment ref="C16" dT="2025-10-30T12:48:51.00" personId="{392040e7-56f5-4c10-8c91-fbdcc01f44c5}" id="{fedcbb7a-5bfa-4af7-9356-b15bb799afe5}" parentId="{f9919316-6598-47ef-a4a8-6221804dc291}">
    <x18tc:text xml:space="preserve">Weight for Height (Wasting status). We need the complete list of wasting status children under this card. @anjalib@samanvayfoundation.org
Reassigned to anjalib@samanvayfoundation.org</x18tc:text>
    <x18tc:mentions>
      <x18tc:mention mentionpersonId="{5175ac4e-7bdb-4a9b-8220-e40b6eca5016}" mentionId="{bf334dba-4b3b-40da-a8f9-a4406b7d2972}" startIndex="106" length="31"/>
    </x18tc:mentions>
  </x18tc:threadedComment>
  <x18tc:threadedComment ref="C16" dT="2025-11-06T08:20:07.00" personId="{490e5175-706f-4761-b45e-8f205bc3b7b1}" id="{4f9e13cb-30c6-420c-8f18-1d0deac6d258}" parentId="{f9919316-6598-47ef-a4a8-6221804dc291}">
    <x18tc:text xml:space="preserve">@mnedofficer@ekam.ngo please don't change the details of the cards here. Any changes required, please add it in the UAT feedback sheet. This card was earlier SAM Child List
Reassigned to mnedofficer@ekam.ngo</x18tc:text>
    <x18tc:mentions>
      <x18tc:mention mentionpersonId="{e54f6afd-3e2a-431a-a2b4-85d24eed3d5f}" mentionId="{a357c979-94ca-412a-b9e4-0bdd95259ab7}" startIndex="0" length="21"/>
    </x18tc:mentions>
  </x18tc:threadedComment>
  <x18tc:threadedComment ref="F4" dT="2025-10-17T05:17:25.00" personId="{7878cda1-54b0-4f8a-af57-753262fea0d1}" id="{98057816-7363-42d5-8740-c07b18d24b25}" done="1">
    <x18tc:text xml:space="preserve">@anjalib@samanvayfoundation.org usually what are the filters other than date,loc used by other orgs for offline dashboards.</x18tc:text>
    <x18tc:mentions>
      <x18tc:mention mentionpersonId="{5175ac4e-7bdb-4a9b-8220-e40b6eca5016}" mentionId="{2df4650b-2468-48ed-a2c5-ff006e727ce1}" startIndex="0" length="31"/>
    </x18tc:mentions>
  </x18tc:threadedComment>
  <x18tc:threadedComment ref="F4" dT="2025-10-17T08:39:25.00" personId="{490e5175-706f-4761-b45e-8f205bc3b7b1}" id="{2ed3d9e6-d039-401b-9736-aecfb6c37b3a}" parentId="{98057816-7363-42d5-8740-c07b18d24b25}">
    <x18tc:text xml:space="preserve">These are the common ones</x18tc:text>
  </x18tc:threadedComment>
  <x18tc:threadedComment ref="E6" dT="2025-10-23T06:38:59.00" personId="{490e5175-706f-4761-b45e-8f205bc3b7b1}" id="{aed0bff2-36bb-4f0c-934b-572b5942661f}" done="1">
    <x18tc:text xml:space="preserve">@mnedofficer@ekam.ngo please cross check this and confirm. Also if we can add the Pregnancy Weight Progress List condition in this card itself?
Assigned to mnedofficer@ekam.ngo</x18tc:text>
    <x18tc:mentions>
      <x18tc:mention mentionpersonId="{e54f6afd-3e2a-431a-a2b4-85d24eed3d5f}" mentionId="{d4569402-d455-474a-854a-ffea1783f65c}" startIndex="0" length="21"/>
    </x18tc:mentions>
  </x18tc:threadedComment>
  <x18tc:threadedComment ref="E6" dT="2025-10-27T15:23:52.00" personId="{392040e7-56f5-4c10-8c91-fbdcc01f44c5}" id="{fc8c409e-5dd7-4d96-9839-5bb294e249ef}" parentId="{aed0bff2-36bb-4f0c-934b-572b5942661f}">
    <x18tc:text xml:space="preserve">Weight Progress List is not needed; remove it from the ANC High Risk Pregnant Woman List. @anjalib@samanvayfoundation.org
Reassigned to anjalib@samanvayfoundation.org</x18tc:text>
    <x18tc:mentions>
      <x18tc:mention mentionpersonId="{5175ac4e-7bdb-4a9b-8220-e40b6eca5016}" mentionId="{c94fe0a8-916e-4469-998d-f52fb97e6b79}" startIndex="90" length="31"/>
    </x18tc:mentions>
  </x18tc:threadedComment>
  <x18tc:threadedComment ref="C23" dT="2025-10-27T05:11:40.00" personId="{490e5175-706f-4761-b45e-8f205bc3b7b1}" id="{213d3831-b590-45b5-b8ec-66b8932988ae}" done="0">
    <x18tc:text xml:space="preserve">@mnedofficer@ekam.ngo what do you want to see in this dashboard card? Count of number of women enrolled in the Referal Program? and what is this status?
Assigned to mnedofficer@ekam.ngo</x18tc:text>
    <x18tc:mentions>
      <x18tc:mention mentionpersonId="{e54f6afd-3e2a-431a-a2b4-85d24eed3d5f}" mentionId="{a282e587-59f1-4628-a50f-98bf8c23b528}" startIndex="0" length="21"/>
    </x18tc:mentions>
  </x18tc:threadedComment>
  <x18tc:threadedComment ref="C23" dT="2025-10-27T14:55:11.00" personId="{392040e7-56f5-4c10-8c91-fbdcc01f44c5}" id="{24d1e33a-fe92-4f95-8a31-91c6ba8d98d4}" parentId="{213d3831-b590-45b5-b8ec-66b8932988ae}">
    <x18tc:text xml:space="preserve">Yes we can have Beneficiary Referral Status Enrolled in referral program as "Open" Status. So it would be useful to track the referral status of all the beneficiaries in the field level @anjalib@samanvayfoundation.org</x18tc:text>
    <x18tc:mentions>
      <x18tc:mention mentionpersonId="{5175ac4e-7bdb-4a9b-8220-e40b6eca5016}" mentionId="{1b33d35e-0dc1-4a2a-855d-ccbaa52d0fe7}" startIndex="186" length="31"/>
    </x18tc:mentions>
  </x18tc:threadedComment>
  <x18tc:threadedComment ref="C20" dT="2025-10-28T06:46:30.00" personId="{392040e7-56f5-4c10-8c91-fbdcc01f44c5}" id="{125b044c-ed35-481a-b01d-0aa4bbdd8368}" done="0">
    <x18tc:text xml:space="preserve">We want to see child immunization due list. Is it possible? @anjalib@samanvayfoundation.org
Assigned to anjalib@samanvayfoundation.org</x18tc:text>
    <x18tc:mentions>
      <x18tc:mention mentionpersonId="{5175ac4e-7bdb-4a9b-8220-e40b6eca5016}" mentionId="{8b3ef020-6118-4548-bc90-ad16765d5c52}" startIndex="60" length="31"/>
    </x18tc:mentions>
  </x18tc:threadedComment>
  <x18tc:threadedComment ref="C10" dT="2025-10-28T06:40:49.00" personId="{392040e7-56f5-4c10-8c91-fbdcc01f44c5}" id="{6e327f28-d8f1-4c45-9f67-a721fd8b02e1}" done="1">
    <x18tc:text xml:space="preserve">I have changed name of the card. @anjalib@samanvayfoundation.org</x18tc:text>
    <x18tc:mentions>
      <x18tc:mention mentionpersonId="{5175ac4e-7bdb-4a9b-8220-e40b6eca5016}" mentionId="{287c6b44-0aa9-484a-bbe4-82dd57949ac0}" startIndex="33" length="31"/>
    </x18tc:mentions>
  </x18tc:threadedComment>
  <x18tc:threadedComment ref="A35" dT="2025-10-27T09:39:49.00" personId="{7878cda1-54b0-4f8a-af57-753262fea0d1}" id="{a4f088c0-e2b0-4423-bc70-267a422c0092}" done="1">
    <x18tc:text xml:space="preserve">Can we remove the MLD example from this sheet if no one is referring to it? @tnprogramlead@ekam.ngo @mnedofficer@ekam.ngo 
cc: @anjalib@samanvayfoundation.org</x18tc:text>
    <x18tc:mentions>
      <x18tc:mention mentionpersonId="{6b1965cd-f9e5-41d9-9910-17c486ada433}" mentionId="{d1b3e0b1-ff84-41e2-b076-6793ba17dc9c}" startIndex="76" length="23"/>
      <x18tc:mention mentionpersonId="{e54f6afd-3e2a-431a-a2b4-85d24eed3d5f}" mentionId="{ab21e5c3-4f4d-4b50-a9a1-5309ff35661d}" startIndex="100" length="21"/>
      <x18tc:mention mentionpersonId="{5175ac4e-7bdb-4a9b-8220-e40b6eca5016}" mentionId="{05fa8002-e535-45dd-a17d-23ca85f6149a}" startIndex="127" length="31"/>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5-10-22T05:09:20.00" personId="{490e5175-706f-4761-b45e-8f205bc3b7b1}" id="{0e2a79d8-dbe8-46a5-8798-168b31274d8c}" done="1">
    <x18tc:text xml:space="preserve">@ashok.ku22@gmail.com @tnprogramlead@ekam.ngo @mnedofficer@ekam.ngo what is GPLA Score?
Assigned to ashok.ku22@gmail.com</x18tc:text>
    <x18tc:mentions>
      <x18tc:mention mentionpersonId="{835f2e36-b068-42e9-b126-dd1b06802c41}" mentionId="{f8e7481e-e7d0-4b9e-82d2-348798dd31a0}" startIndex="0" length="21"/>
      <x18tc:mention mentionpersonId="{6b1965cd-f9e5-41d9-9910-17c486ada433}" mentionId="{a6737449-b2b6-4c7a-8ab0-2994a5f64ea9}" startIndex="22" length="23"/>
      <x18tc:mention mentionpersonId="{e54f6afd-3e2a-431a-a2b4-85d24eed3d5f}" mentionId="{3191d163-f4dc-406e-aab5-8c038a6a92be}" startIndex="46" length="21"/>
    </x18tc:mentions>
  </x18tc:threadedComment>
  <x18tc:threadedComment ref="C2" dT="2025-10-23T06:42:31.00" personId="{490e5175-706f-4761-b45e-8f205bc3b7b1}" id="{85c3fd1b-0c4c-42ef-b7f5-53e225473ff6}" parentId="{0e2a79d8-dbe8-46a5-8798-168b31274d8c}">
    <x18tc:text xml:space="preserve">@tnprogramlead@ekam.ngo can you give the logic for weight progress
Reassigned to tnprogramlead@ekam.ngo</x18tc:text>
    <x18tc:mentions>
      <x18tc:mention mentionpersonId="{6b1965cd-f9e5-41d9-9910-17c486ada433}" mentionId="{d86a7fe8-f8e6-4dff-9009-24c3af988c4c}" startIndex="0" length="23"/>
    </x18tc:mentions>
  </x18tc:threadedComment>
  <x18tc:threadedComment ref="D2" dT="2025-10-21T11:25:33.00" personId="{392040e7-56f5-4c10-8c91-fbdcc01f44c5}" id="{a7717cb6-bad4-4439-9d4d-2464355a75c5}" done="0">
    <x18tc:text xml:space="preserve">How does this gets displayed for a "No High-risk PW"? Whether it will be displayed as blank? @anjalib@samanvayfoundation.org
Assigned to anjalib@samanvayfoundation.org</x18tc:text>
    <x18tc:mentions>
      <x18tc:mention mentionpersonId="{5175ac4e-7bdb-4a9b-8220-e40b6eca5016}" mentionId="{8f8ce2d4-d0f9-4d25-aba8-7466ac68553b}" startIndex="93" length="31"/>
    </x18tc:mentions>
  </x18tc:threadedComment>
  <x18tc:threadedComment ref="D2" dT="2025-10-22T06:25:30.00" personId="{490e5175-706f-4761-b45e-8f205bc3b7b1}" id="{95756e58-2ceb-4a40-bd94-f16c38925fc2}" parentId="{a7717cb6-bad4-4439-9d4d-2464355a75c5}">
    <x18tc:text xml:space="preserve">@mnedofficer@ekam.ngo @ashok.ku22@gmail.com @tnprogramlead@ekam.ngo we can only show in Red</x18tc:text>
    <x18tc:mentions>
      <x18tc:mention mentionpersonId="{e54f6afd-3e2a-431a-a2b4-85d24eed3d5f}" mentionId="{a660996b-d28d-4f78-b4e1-05fc9da9a8e4}" startIndex="0" length="21"/>
      <x18tc:mention mentionpersonId="{835f2e36-b068-42e9-b126-dd1b06802c41}" mentionId="{7b0c35cb-7886-4dfd-a25c-a5a3576cfd8c}" startIndex="22" length="21"/>
      <x18tc:mention mentionpersonId="{6b1965cd-f9e5-41d9-9910-17c486ada433}" mentionId="{2ed5db71-5463-4429-a4bd-a33f0b5ebee6}" startIndex="44" length="23"/>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10T05:54:39.00" personId="{490e5175-706f-4761-b45e-8f205bc3b7b1}" id="{e4b7e3bf-4e44-41fd-b5fd-9fe8703003cd}" done="1">
    <x18tc:text xml:space="preserve">@ashok.ku22@gmail.com can you get this details verified? We need this to setup the org in webconsole to start the development process
Assigned to ashok.ku22@gmail.com</x18tc:text>
    <x18tc:mentions>
      <x18tc:mention mentionpersonId="{835f2e36-b068-42e9-b126-dd1b06802c41}" mentionId="{0136939d-d2df-46db-8450-e26e8baf601b}" startIndex="0" length="21"/>
    </x18tc:mentions>
  </x18tc:threadedComment>
  <x18tc:threadedComment ref="A1" dT="2025-09-16T10:18:45.00" personId="{7878cda1-54b0-4f8a-af57-753262fea0d1}" id="{1106d264-24b4-4d4d-9b9e-bd75a56d3919}" parentId="{e4b7e3bf-4e44-41fd-b5fd-9fe8703003cd}">
    <x18tc:text xml:space="preserve">As discussed yesterday. Mythili is okay with name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7" dT="2025-09-25T05:01:57.00" personId="{490e5175-706f-4761-b45e-8f205bc3b7b1}" id="{da8e5f57-4509-4f4f-a93e-5493d09762fa}" done="1">
    <x18tc:text xml:space="preserve">@ashok.ku22@gmail.com @tnprogramlead@ekam.ngo can you confirm what should be the overdue days?
example PNC 1 due of 7th day after how many days it should show as overdue so that the user get to know that they have missed the time and need to prioritise this visit
Assigned to ashok.ku22@gmail.com</x18tc:text>
    <x18tc:mentions>
      <x18tc:mention mentionpersonId="{835f2e36-b068-42e9-b126-dd1b06802c41}" mentionId="{90d51d64-9f79-4d15-88ee-479f8853dc28}" startIndex="0" length="21"/>
      <x18tc:mention mentionpersonId="{6b1965cd-f9e5-41d9-9910-17c486ada433}" mentionId="{8f302de0-cc31-46bb-b40e-58c49c5da6d2}" startIndex="22" length="23"/>
    </x18tc:mentions>
  </x18tc:threadedComment>
  <x18tc:threadedComment ref="I7" dT="2025-10-03T09:07:49.00" personId="{e6adde95-f533-4a42-874d-4d6dc979634d}" id="{8521e1d1-b34e-4b7c-9020-c605b85a71ee}" done="1">
    <x18tc:text xml:space="preserve">@anjalib@samanvayfoundation.org what happen if we cancel the visit after pnc 4
Assigned to anjalib@samanvayfoundation.org</x18tc:text>
    <x18tc:mentions>
      <x18tc:mention mentionpersonId="{5175ac4e-7bdb-4a9b-8220-e40b6eca5016}" mentionId="{12dbec5d-bd15-45f6-a3b9-7b5784afff80}" startIndex="0" length="31"/>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 dT="2025-10-09T07:25:25.00" personId="{392040e7-56f5-4c10-8c91-fbdcc01f44c5}" id="{ca4cb299-9619-4a83-96d8-34382a24cdf9}" done="0">
    <x18tc:text xml:space="preserve">@ashokk@samanvayfoundation.org @anjalib@samanvayfoundation.org - Our community trainer needs access for Awareness
Assigned to ashokk@samanvayfoundation.org</x18tc:text>
    <x18tc:mentions>
      <x18tc:mention mentionpersonId="{7676bba9-9e3b-43ad-a698-6ca62d9b1d14}" mentionId="{38496c71-6dfc-4d2f-876e-d79f4b8b4b11}" startIndex="0" length="30"/>
      <x18tc:mention mentionpersonId="{5175ac4e-7bdb-4a9b-8220-e40b6eca5016}" mentionId="{adac26bc-0d64-4740-8fdb-437d9b7f9b1a}" startIndex="31" length="31"/>
    </x18tc:mentions>
  </x18tc:threadedComment>
  <x18tc:threadedComment ref="B1" dT="2025-10-17T04:44:24.00" personId="{7878cda1-54b0-4f8a-af57-753262fea0d1}" id="{05384b05-19cd-4f14-845a-9af356516bd6}" done="0">
    <x18tc:text xml:space="preserve">@tnprogramlead@ekam.ngo @mnedofficer@ekam.ngo please complete this form by today</x18tc:text>
    <x18tc:mentions>
      <x18tc:mention mentionpersonId="{6b1965cd-f9e5-41d9-9910-17c486ada433}" mentionId="{e7e582e1-1273-4d1a-a5cd-94a6c0b72c70}" startIndex="0" length="23"/>
      <x18tc:mention mentionpersonId="{e54f6afd-3e2a-431a-a2b4-85d24eed3d5f}" mentionId="{a5b7af7c-2dcf-40c9-8844-b6b986402aa8}" startIndex="24" length="21"/>
    </x18tc:mentions>
  </x18tc:threadedComment>
  <x18tc:threadedComment ref="B1" dT="2025-10-17T06:20:42.00" personId="{392040e7-56f5-4c10-8c91-fbdcc01f44c5}" id="{d8b5c279-9f6b-40e7-80cd-6cdea2ff8d35}" parentId="{05384b05-19cd-4f14-845a-9af356516bd6}">
    <x18tc:text xml:space="preserve">Sure after discussing with our team we will complete it by today @ashok.ku22@gmail.com</x18tc:text>
    <x18tc:mentions>
      <x18tc:mention mentionpersonId="{835f2e36-b068-42e9-b126-dd1b06802c41}" mentionId="{37c7a050-98c1-436b-bb5b-b833b1933b10}" startIndex="65" length="21"/>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4" dT="2025-09-19T10:23:06.00" personId="{7878cda1-54b0-4f8a-af57-753262fea0d1}" id="{8420ad1d-11bd-4534-8708-0e64a4d0332f}" done="0">
    <x18tc:text xml:space="preserve">@anjalib@samanvayfoundation.org as discussed in the meeting, sharing more location details
Assigned to anjalib@samanvayfoundation.org</x18tc:text>
    <x18tc:mentions>
      <x18tc:mention mentionpersonId="{5175ac4e-7bdb-4a9b-8220-e40b6eca5016}" mentionId="{41f463c5-5020-4230-a70b-abac90770ccb}" startIndex="0" length="31"/>
    </x18tc:mentions>
  </x18tc:threadedComment>
  <x18tc:threadedComment ref="A5" dT="2025-09-16T10:14:44.00" personId="{7878cda1-54b0-4f8a-af57-753262fea0d1}" id="{4efd79f7-d11a-4372-9e3c-b0d66eb60447}" done="0">
    <x18tc:text xml:space="preserve">@anjalib@samanvayfoundation.org Shared by Mythili please check we can discuss during our call at 5 pm if you have any Qs</x18tc:text>
    <x18tc:mentions>
      <x18tc:mention mentionpersonId="{5175ac4e-7bdb-4a9b-8220-e40b6eca5016}" mentionId="{0e474fbd-4e95-4224-83e4-b0abbe4ebe9c}" startIndex="0" length="31"/>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5-09-24T10:35:08.00" personId="{490e5175-706f-4761-b45e-8f205bc3b7b1}" id="{950ec42a-2cf8-4e11-a99b-3d39a9df9ecf}" done="1">
    <x18tc:text xml:space="preserve">@ashok.ku22@gmail.com @tnprogramlead@ekam.ngo for pregnancy program enrolment eligibility can we add this condition?
Assigned to ashok.ku22@gmail.com</x18tc:text>
    <x18tc:mentions>
      <x18tc:mention mentionpersonId="{835f2e36-b068-42e9-b126-dd1b06802c41}" mentionId="{66205960-cab5-499b-b7e3-7e0da946fbb5}" startIndex="0" length="21"/>
      <x18tc:mention mentionpersonId="{6b1965cd-f9e5-41d9-9910-17c486ada433}" mentionId="{8124e1cf-cb98-4a8f-8544-9e5c47b0c47e}" startIndex="22" length="23"/>
    </x18tc:mentions>
  </x18tc:threadedComment>
  <x18tc:threadedComment ref="C4" dT="2025-09-24T10:45:25.00" personId="{5507a277-1c99-44ae-aba1-a9413cc01353}" id="{493924d0-1f01-4360-87ea-7bca56649f4b}" parentId="{950ec42a-2cf8-4e11-a99b-3d39a9df9ecf}">
    <x18tc:text xml:space="preserve">Yes ji it can be added..</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5" dT="2025-07-29T05:52:41.00" personId="{43c03bef-fc3d-4e0e-b507-74e981014403}" id="{c32c5a11-3a5b-4c01-8d5e-2c952005e8d2}" done="0">
    <x18tc:text xml:space="preserve">This is too much text typing of repeat information. It will be mostly same i believe for every individual within the village. Can we create a separate subject type for this ? 
Also, how is all of this information plan to be utilised ? Will the field worker be using this info or the programme managers and how ? Our modelling could depend on that as well.</x18tc:text>
  </x18tc:threadedComment>
  <x18tc:threadedComment ref="C35" dT="2025-07-30T07:10:38.00" personId="{7878cda1-54b0-4f8a-af57-753262fea0d1}" id="{ad078da8-d10a-45a4-a862-d9a142142c5b}" parentId="{c32c5a11-3a5b-4c01-8d5e-2c952005e8d2}">
    <x18tc:text xml:space="preserve">@tnprogramlead@ekam.ngo please respond to this query</x18tc:text>
    <x18tc:mentions>
      <x18tc:mention mentionpersonId="{6b1965cd-f9e5-41d9-9910-17c486ada433}" mentionId="{9ccfcc48-3cdc-490b-9994-63725c08ae03}" startIndex="0" length="23"/>
    </x18tc:mentions>
  </x18tc:threadedComment>
  <x18tc:threadedComment ref="C35" dT="2025-07-30T13:24:46.00" personId="{7878cda1-54b0-4f8a-af57-753262fea0d1}" id="{67aa5932-b7c9-4574-8d11-cc9477a349cf}" parentId="{c32c5a11-3a5b-4c01-8d5e-2c952005e8d2}">
    <x18tc:text xml:space="preserve">Map these details CHW. Offline dashboard they want to see no of beneficiaries under a ICDS</x18tc:text>
  </x18tc:threadedComment>
  <x18tc:threadedComment ref="C35" dT="2025-07-31T04:36:19.00" personId="{5507a277-1c99-44ae-aba1-a9413cc01353}" id="{6484c164-b20f-4a1d-be39-46e782724452}" parentId="{c32c5a11-3a5b-4c01-8d5e-2c952005e8d2}">
    <x18tc:text xml:space="preserve">We will need these details for every beneficiary, CHW wise, for the offline dashboard. Is there a better way to do this, we can discuss.</x18tc:text>
  </x18tc:threadedComment>
  <x18tc:threadedComment ref="C35" dT="2025-09-02T07:02:29.00" personId="{fd2bf9d2-4f3c-4c17-b45e-883705bc6191}" id="{c923d043-c4b1-472d-9ff9-04985368a1fe}" parentId="{c32c5a11-3a5b-4c01-8d5e-2c952005e8d2}">
    <x18tc:text xml:space="preserve">We would make use of Location Heirarchy to maintain this info. Additionally, Location Properties would be used to store Incharge, name and Number for a location.</x18tc:text>
  </x18tc:threadedComment>
  <x18tc:threadedComment ref="C35" dT="2025-09-16T10:40:12.00" personId="{7878cda1-54b0-4f8a-af57-753262fea0d1}" id="{3a1aff0d-47ef-468d-9020-448b3dbd3dcf}" parentId="{c32c5a11-3a5b-4c01-8d5e-2c952005e8d2}">
    <x18tc:text xml:space="preserve">@anjalib@samanvayfoundation.org Can you confirm if we have to remove these facility tracking details data fields once clocation hierarchy is confirmed</x18tc:text>
    <x18tc:mentions>
      <x18tc:mention mentionpersonId="{5175ac4e-7bdb-4a9b-8220-e40b6eca5016}" mentionId="{72ce39fe-4d52-4f8d-90b1-91beeafd5ac9}" startIndex="0" length="31"/>
    </x18tc:mentions>
  </x18tc:threadedComment>
  <x18tc:threadedComment ref="C6" dT="2025-09-29T07:38:02.00" personId="{e6adde95-f533-4a42-874d-4d6dc979634d}" id="{2da6f632-c37a-46ac-abea-d90d7822bc5d}" done="1">
    <x18tc:text xml:space="preserve">@anjalib@samanvayfoundation.org can we have age limit for child i can select age 25 as child
Assigned to anjalib@samanvayfoundation.org</x18tc:text>
    <x18tc:mentions>
      <x18tc:mention mentionpersonId="{5175ac4e-7bdb-4a9b-8220-e40b6eca5016}" mentionId="{f0fc0f91-6490-4b29-bd1a-4593eea798bb}" startIndex="0" length="31"/>
    </x18tc:mentions>
  </x18tc:threadedComment>
  <x18tc:threadedComment ref="C6" dT="2025-10-01T06:03:39.00" personId="{490e5175-706f-4761-b45e-8f205bc3b7b1}" id="{b259b685-3441-40e8-bc0d-bfdf9ad5f1f8}" parentId="{2da6f632-c37a-46ac-abea-d90d7822bc5d}">
    <x18tc:text xml:space="preserve">@dineshg@samanvayfoundation.org we can keep it as 19 years
Reassigned to dineshg@samanvayfoundation.org</x18tc:text>
    <x18tc:mentions>
      <x18tc:mention mentionpersonId="{e7d4fcbd-926b-4052-aff0-3e0aa121bb04}" mentionId="{a8e0484d-e7ea-456d-bc61-aa5043b73cca}" startIndex="0" length="31"/>
    </x18tc:mentions>
  </x18tc:threadedComment>
  <x18tc:threadedComment ref="C31" dT="2025-07-24T09:04:57.00" personId="{5507a277-1c99-44ae-aba1-a9413cc01353}" id="{7f3ae243-cc82-4713-897b-8352dd82c13b}" done="1">
    <x18tc:text xml:space="preserve">Condition added</x18tc:text>
  </x18tc:threadedComment>
  <x18tc:threadedComment ref="C18" dT="2025-09-23T13:19:44.00" personId="{490e5175-706f-4761-b45e-8f205bc3b7b1}" id="{2c676835-765e-4b0f-99e8-fafc70a9936d}" done="0">
    <x18tc:text xml:space="preserve">@ashok.ku22@gmail.com @tnprogramlead@ekam.ngo can we add these options "Self-employed in agriculture with land
Self-employed in non-agricultural activities
Landless agriculture labour
Casual workers/ daily wage earners
Salaried employment/Govt. employee
Other
NA"</x18tc:text>
    <x18tc:mentions>
      <x18tc:mention mentionpersonId="{835f2e36-b068-42e9-b126-dd1b06802c41}" mentionId="{ffdb1575-731b-4fd8-9a9c-b7a362c0a37d}" startIndex="0" length="21"/>
      <x18tc:mention mentionpersonId="{6b1965cd-f9e5-41d9-9910-17c486ada433}" mentionId="{b956a7b1-a5d5-4eb9-87ca-18cd69456fd2}" startIndex="22" length="23"/>
    </x18tc:mentions>
  </x18tc:threadedComment>
  <x18tc:threadedComment ref="C18" dT="2025-09-24T09:07:42.00" personId="{5507a277-1c99-44ae-aba1-a9413cc01353}" id="{cf2ecb31-8796-4290-89ef-c8a49a2d2fdb}" parentId="{2c676835-765e-4b0f-99e8-fafc70a9936d}">
    <x18tc:text xml:space="preserve">Homemaker
Government Employee 
Private Sector Employee
Self-employed/Business
Farmer/Agricultural Worker
Daily Wages/Laborer
Others</x18tc:text>
  </x18tc:threadedComment>
  <x18tc:threadedComment ref="C13" dT="2025-10-01T02:51:44.00" personId="{e6adde95-f533-4a42-874d-4d6dc979634d}" id="{31017612-4ea1-41f0-bcb1-e3e13a854181}" done="1">
    <x18tc:text xml:space="preserve">@anjalib@samanvayfoundation.org do we need to add the age restriction because i can gve the child age as mother age itself
Assigned to anjalib@samanvayfoundation.org</x18tc:text>
    <x18tc:mentions>
      <x18tc:mention mentionpersonId="{5175ac4e-7bdb-4a9b-8220-e40b6eca5016}" mentionId="{f60139b8-7ff4-4b89-84e1-4c3e73154877}" startIndex="0" length="31"/>
    </x18tc:mentions>
  </x18tc:threadedComment>
  <x18tc:threadedComment ref="C13" dT="2025-10-01T06:04:11.00" personId="{490e5175-706f-4761-b45e-8f205bc3b7b1}" id="{787db0bd-a35c-41af-af85-ff9b664a7fbc}" parentId="{31017612-4ea1-41f0-bcb1-e3e13a854181}">
    <x18tc:text xml:space="preserve">@dineshg@samanvayfoundation.org we can give that
Reassigned to dineshg@samanvayfoundation.org</x18tc:text>
    <x18tc:mentions>
      <x18tc:mention mentionpersonId="{e7d4fcbd-926b-4052-aff0-3e0aa121bb04}" mentionId="{8875a6c1-5273-40ca-b4cb-8ae9cce2352b}" startIndex="0" length="31"/>
    </x18tc:mentions>
  </x18tc:threadedComment>
  <x18tc:threadedComment ref="C16" dT="2025-09-23T06:37:58.00" personId="{490e5175-706f-4761-b45e-8f205bc3b7b1}" id="{783fb2ba-1442-4441-8933-63528ed9a59e}" done="1">
    <x18tc:text xml:space="preserve">@anjalib@samanvayfoundation.org add occupation and share with Ashok and Mythili to check
Assigned to anjalib@samanvayfoundation.org</x18tc:text>
    <x18tc:mentions>
      <x18tc:mention mentionpersonId="{5175ac4e-7bdb-4a9b-8220-e40b6eca5016}" mentionId="{f53a39e0-5c73-46fe-9e54-dbd7515c0afa}" startIndex="0" length="31"/>
    </x18tc:mentions>
  </x18tc:threadedComment>
  <x18tc:threadedComment ref="C33" dT="2025-07-24T06:16:05.00" personId="{5507a277-1c99-44ae-aba1-a9413cc01353}" id="{14181e67-534a-4871-8ee6-31d0a4d682a5}" done="1">
    <x18tc:text xml:space="preserve">Edited field</x18tc:text>
  </x18tc:threadedComment>
  <x18tc:threadedComment ref="C33" dT="2025-09-01T09:39:27.00" personId="{490e5175-706f-4761-b45e-8f205bc3b7b1}" id="{3ba7bc17-4f9e-41c3-bddc-06c94fd33287}" done="1">
    <x18tc:text xml:space="preserve">@arjunk@samanvayfoundation.org can we move these questions to Household Registration form 18 - 22
Assigned to arjunk@samanvayfoundation.org</x18tc:text>
    <x18tc:mentions>
      <x18tc:mention mentionpersonId="{fc51c010-e2ab-4847-bebe-d8d403a581b0}" mentionId="{57e14a88-e06d-4f05-bc66-6b078a85cf90}" startIndex="0" length="30"/>
    </x18tc:mentions>
  </x18tc:threadedComment>
  <x18tc:threadedComment ref="C33" dT="2025-09-01T09:51:03.00" personId="{43c03bef-fc3d-4e0e-b507-74e981014403}" id="{b50f84af-2d20-4959-89ad-16c8cbf40d04}" parentId="{3ba7bc17-4f9e-41c3-bddc-06c94fd33287}">
    <x18tc:text xml:space="preserve">There is no households in this project</x18tc:text>
  </x18tc:threadedComment>
  <x18tc:threadedComment ref="C20" dT="2025-07-23T15:01:40.00" personId="{5507a277-1c99-44ae-aba1-a9413cc01353}" id="{3bacb261-ceda-4788-9d8d-04f84c3a864b}" done="1">
    <x18tc:text xml:space="preserve">Edited field - Added mother</x18tc:text>
  </x18tc:threadedComment>
  <x18tc:threadedComment ref="C22" dT="2025-07-23T15:02:57.00" personId="{5507a277-1c99-44ae-aba1-a9413cc01353}" id="{7cf45657-52bb-4deb-b8e7-9baa921e208a}" done="1">
    <x18tc:text xml:space="preserve">Father can be removed everywhere</x18tc:text>
  </x18tc:threadedComment>
  <x18tc:threadedComment ref="C22" dT="2025-07-28T16:34:50.00" personId="{43c03bef-fc3d-4e0e-b507-74e981014403}" id="{9fa9d60c-67e6-4b1d-9ae8-cc288f8551de}" parentId="{7cf45657-52bb-4deb-b8e7-9baa921e208a}">
    <x18tc:text xml:space="preserve">Why ?</x18tc:text>
  </x18tc:threadedComment>
  <x18tc:threadedComment ref="C32" dT="2025-10-31T03:46:09.00" personId="{490e5175-706f-4761-b45e-8f205bc3b7b1}" id="{64b90c8f-1ddf-4992-bb47-791dcace5c04}" done="0">
    <x18tc:text xml:space="preserve">@adams@samanvayfoundation.org can you suggest and put a max limit for this?
Assigned to adams@samanvayfoundation.org</x18tc:text>
    <x18tc:mentions>
      <x18tc:mention mentionpersonId="{c1d360b8-edff-419f-9d64-96c634fcfc59}" mentionId="{cb1a1459-f4f9-4936-ad54-4b08eaec54db}" startIndex="0" length="29"/>
    </x18tc:mentions>
  </x18tc:threadedComment>
  <x18tc:threadedComment ref="C32" dT="2025-10-31T06:18:52.00" personId="{2eef28f8-d98b-4213-9c46-359f771d9623}" id="{7dff4111-86da-4105-b596-c9f7c109e990}" parentId="{64b90c8f-1ddf-4992-bb47-791dcace5c04}">
    <x18tc:text xml:space="preserve">The maximum limit can be 15 L, right? I took the reference from another organization. Could you please confirm?</x18tc:text>
  </x18tc:threadedComment>
  <x18tc:threadedComment ref="C32" dT="2025-10-31T06:37:54.00" personId="{490e5175-706f-4761-b45e-8f205bc3b7b1}" id="{811c1393-9aac-4662-b429-54cff21cdde4}" parentId="{64b90c8f-1ddf-4992-bb47-791dcace5c04}">
    <x18tc:text xml:space="preserve">@mnedofficer@ekam.ngo Will the maximum limit  of15 Lakh work?
Reassigned to mnedofficer@ekam.ngo</x18tc:text>
    <x18tc:mentions>
      <x18tc:mention mentionpersonId="{e54f6afd-3e2a-431a-a2b4-85d24eed3d5f}" mentionId="{a42aff5c-ad54-4357-9dca-70f01de9193a}" startIndex="0" length="21"/>
    </x18tc:mentions>
  </x18tc:threadedComment>
  <x18tc:threadedComment ref="C32" dT="2025-10-31T06:44:50.00" personId="{392040e7-56f5-4c10-8c91-fbdcc01f44c5}" id="{9ce07c5b-0db4-4119-8879-475c65d9c06d}" parentId="{64b90c8f-1ddf-4992-bb47-791dcace5c04}">
    <x18tc:text xml:space="preserve">What could be the upper limit for annual income? can we discuss later not today. @tnprogramlead@ekam.ngo
Reassigned to tnprogramlead@ekam.ngo</x18tc:text>
    <x18tc:mentions>
      <x18tc:mention mentionpersonId="{6b1965cd-f9e5-41d9-9910-17c486ada433}" mentionId="{ec47de72-33ed-444d-8201-8f39f2ca46f1}" startIndex="81" length="23"/>
    </x18tc:mentions>
  </x18tc:threadedComment>
  <x18tc:threadedComment ref="C21" dT="2025-07-23T15:05:16.00" personId="{5507a277-1c99-44ae-aba1-a9413cc01353}" id="{dfb89f0a-23bd-422e-98a8-a190d2db4f9d}" done="1">
    <x18tc:text xml:space="preserve">Mother added</x18tc:text>
  </x18tc:threadedComment>
  <x18tc:threadedComment ref="C38" dT="2025-09-19T07:00:47.00" personId="{490e5175-706f-4761-b45e-8f205bc3b7b1}" id="{0509c301-19ec-42e6-be1c-a85a7809f429}" done="0">
    <x18tc:text xml:space="preserve">@ashok.ku22@gmail.com what is the purpose of capturing the VHN In charge and AWW In charge details in this form?
Assigned to ashok.ku22@gmail.com</x18tc:text>
    <x18tc:mentions>
      <x18tc:mention mentionpersonId="{835f2e36-b068-42e9-b126-dd1b06802c41}" mentionId="{36d35bcf-2426-44dd-9136-4e5e9c2987ca}" startIndex="0" length="21"/>
    </x18tc:mentions>
  </x18tc:threadedComment>
  <x18tc:threadedComment ref="C38" dT="2025-09-19T10:27:40.00" personId="{7878cda1-54b0-4f8a-af57-753262fea0d1}" id="{e9d213c4-58fb-4e21-9867-ad0759bdcd33}" parentId="{0509c301-19ec-42e6-be1c-a85a7809f429}">
    <x18tc:text xml:space="preserve">For coordinating with respective in-chargers e.g. for her visits to aganwadi centres and who is related to particular mother</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 dT="2025-09-22T04:22:24.00" personId="{490e5175-706f-4761-b45e-8f205bc3b7b1}" id="{af24b949-d9e6-424c-b496-fcb2694f2cd4}" done="1">
    <x18tc:text xml:space="preserve">@ashok.ku22@gmail.com @tnprogramlead@ekam.ngo 
I think this question is not needed in Pregnancy enrolment as we are capturing this in child enrolment and delivery form
Assigned to ashok.ku22@gmail.com</x18tc:text>
    <x18tc:mentions>
      <x18tc:mention mentionpersonId="{835f2e36-b068-42e9-b126-dd1b06802c41}" mentionId="{7326ee12-bf4a-4170-b75a-46514d0bf40f}" startIndex="0" length="21"/>
      <x18tc:mention mentionpersonId="{6b1965cd-f9e5-41d9-9910-17c486ada433}" mentionId="{982fe53f-e71a-4496-bbde-566e069dded8}" startIndex="22" length="23"/>
    </x18tc:mentions>
  </x18tc:threadedComment>
  <x18tc:threadedComment ref="C14" dT="2025-09-22T09:49:23.00" personId="{7878cda1-54b0-4f8a-af57-753262fea0d1}" id="{6781e152-397c-4389-9168-607d54e94156}" parentId="{af24b949-d9e6-424c-b496-fcb2694f2cd4}">
    <x18tc:text xml:space="preserve">Agreed</x18tc:text>
  </x18tc:threadedComment>
  <x18tc:threadedComment ref="C7" dT="2025-09-30T07:28:44.00" personId="{e6adde95-f533-4a42-874d-4d6dc979634d}" id="{2bd8d7cc-0ddc-4645-bced-3a1869428277}" done="1">
    <x18tc:text xml:space="preserve">@anjalib@samanvayfoundation.org do we need to restrict the month and also i think it should be greater than pcime registration
Assigned to anjalib@samanvayfoundation.org</x18tc:text>
    <x18tc:mentions>
      <x18tc:mention mentionpersonId="{5175ac4e-7bdb-4a9b-8220-e40b6eca5016}" mentionId="{f5696f14-4079-419d-8e36-5a1cc01c1cf6}" startIndex="0" length="31"/>
    </x18tc:mentions>
  </x18tc:threadedComment>
  <x18tc:threadedComment ref="C7" dT="2025-09-30T08:52:53.00" personId="{490e5175-706f-4761-b45e-8f205bc3b7b1}" id="{1698f571-3582-4816-b655-c78e6a376b79}" parentId="{2bd8d7cc-0ddc-4645-bced-3a1869428277}">
    <x18tc:text xml:space="preserve">@dineshg@samanvayfoundation.org need to check this with client. I will update on this on Friday. You can add a comment and move forward
Reassigned to dineshg@samanvayfoundation.org</x18tc:text>
    <x18tc:mentions>
      <x18tc:mention mentionpersonId="{e7d4fcbd-926b-4052-aff0-3e0aa121bb04}" mentionId="{c81207f8-d0b9-4517-88eb-4481ece5275a}" startIndex="0" length="31"/>
    </x18tc:mentions>
  </x18tc:threadedComment>
  <x18tc:threadedComment ref="C4" dT="2025-09-30T07:27:49.00" personId="{e6adde95-f533-4a42-874d-4d6dc979634d}" id="{5e6a2a36-07b6-4024-b9c4-f6ef4febaaac}" done="1">
    <x18tc:text xml:space="preserve">@anjalib@samanvayfoundation.org do we need to restrict the month
Assigned to anjalib@samanvayfoundation.org</x18tc:text>
    <x18tc:mentions>
      <x18tc:mention mentionpersonId="{5175ac4e-7bdb-4a9b-8220-e40b6eca5016}" mentionId="{182d12f2-18fa-4bd1-950b-f6334b1df3d4}" startIndex="0" length="31"/>
    </x18tc:mentions>
  </x18tc:threadedComment>
  <x18tc:threadedComment ref="C4" dT="2025-09-30T08:51:19.00" personId="{490e5175-706f-4761-b45e-8f205bc3b7b1}" id="{5c969fd6-2e2a-4b22-a196-f778dc9c3f09}" parentId="{5e6a2a36-07b6-4024-b9c4-f6ef4febaaac}">
    <x18tc:text xml:space="preserve">@dineshg@samanvayfoundation.org not required
Reassigned to dineshg@samanvayfoundation.org</x18tc:text>
    <x18tc:mentions>
      <x18tc:mention mentionpersonId="{e7d4fcbd-926b-4052-aff0-3e0aa121bb04}" mentionId="{698ff9ca-5e2f-4552-b301-63410be73b4c}" startIndex="0" length="31"/>
    </x18tc:mentions>
  </x18tc:threadedComment>
  <x18tc:threadedComment ref="C4" dT="2025-11-17T07:19:26.00" personId="{6c227de8-41ec-46d5-a7fe-bf7b68a0e337}" id="{34a34fcc-ac1f-4b82-9f93-b34cacc2a14a}" parentId="{5e6a2a36-07b6-4024-b9c4-f6ef4febaaac}">
    <x18tc:text xml:space="preserve">@anjalib@samanvayfoundation.org 
I guess we have to restrict the month data to either 9 or 10 month it will take any random number.
This will cause issue while creating Reports.</x18tc:text>
    <x18tc:mentions>
      <x18tc:mention mentionpersonId="{5175ac4e-7bdb-4a9b-8220-e40b6eca5016}" mentionId="{5c09077d-d098-4667-8903-3f6c1b2babc0}" startIndex="0" length="31"/>
    </x18tc:mentions>
  </x18tc:threadedComment>
  <x18tc:threadedComment ref="C4" dT="2025-11-17T07:19:35.00" personId="{6c227de8-41ec-46d5-a7fe-bf7b68a0e337}" id="{14fb598f-82e4-40d9-a56d-2c5ae23e03da}" parentId="{5e6a2a36-07b6-4024-b9c4-f6ef4febaaac}">
    <x18tc:text xml:space="preserve">@anjalib@samanvayfoundation.org 
I guess we have to restrict the month data to either 9 or 10 month it will take any random number.
This will cause issue while creating Reports.
Reassigned to anjalib@samanvayfoundation.org</x18tc:text>
    <x18tc:mentions>
      <x18tc:mention mentionpersonId="{5175ac4e-7bdb-4a9b-8220-e40b6eca5016}" mentionId="{b6ec2a5d-83f3-45e5-852e-86e635cf77af}" startIndex="0" length="31"/>
    </x18tc:mentions>
  </x18tc:threadedComment>
  <x18tc:threadedComment ref="C12" dT="2025-09-30T11:01:58.00" personId="{e6adde95-f533-4a42-874d-4d6dc979634d}" id="{1592bb9e-620d-4361-bad4-124837816a11}" done="1">
    <x18tc:text xml:space="preserve">@anjalib@samanvayfoundation.org i think we need to restrict the lmp date i can able to enter the date as more than a year
Assigned to anjalib@samanvayfoundation.org</x18tc:text>
    <x18tc:mentions>
      <x18tc:mention mentionpersonId="{5175ac4e-7bdb-4a9b-8220-e40b6eca5016}" mentionId="{6ec4632f-15e5-4571-a6f5-34be22b2fe33}" startIndex="0" length="31"/>
    </x18tc:mentions>
  </x18tc:threadedComment>
  <x18tc:threadedComment ref="C12" dT="2025-10-01T06:06:01.00" personId="{490e5175-706f-4761-b45e-8f205bc3b7b1}" id="{170c509c-d494-4c3e-b0dc-f0a6623be394}" parentId="{1592bb9e-620d-4361-bad4-124837816a11}">
    <x18tc:text xml:space="preserve">@dineshg@samanvayfoundation.org we can keep it as cannot be future and more than last one year
Reassigned to dineshg@samanvayfoundation.org</x18tc:text>
    <x18tc:mentions>
      <x18tc:mention mentionpersonId="{e7d4fcbd-926b-4052-aff0-3e0aa121bb04}" mentionId="{ce474226-bc9f-43ae-8a9a-aaeff95270a7}" startIndex="0" length="31"/>
    </x18tc:mentions>
  </x18tc:threadedComment>
  <x18tc:threadedComment ref="C11" dT="2025-11-24T09:55:22.00" personId="{490e5175-706f-4761-b45e-8f205bc3b7b1}" id="{1d93edeb-6dd1-4e9f-9707-d2e7e1e7d5d3}" done="0">
    <x18tc:text xml:space="preserve">@mnedofficer@ekam.ngo @tnprogramlead@ekam.ngo do we show Rh factor based on Blood Group selected? If blood group is A+, B+ ect the positive one we show as RH Factor positive and if Blood Group is negative RH factor is also negative
Assigned to mnedofficer@ekam.ngo</x18tc:text>
    <x18tc:mentions>
      <x18tc:mention mentionpersonId="{e54f6afd-3e2a-431a-a2b4-85d24eed3d5f}" mentionId="{87c51ea7-5335-4015-b94b-3954d9980d6d}" startIndex="0" length="21"/>
      <x18tc:mention mentionpersonId="{6b1965cd-f9e5-41d9-9910-17c486ada433}" mentionId="{2f03db71-4271-44b7-abcd-e63ad7e4f325}" startIndex="22" length="23"/>
    </x18tc:mentions>
  </x18tc:threadedComment>
  <x18tc:threadedComment ref="C11" dT="2025-11-24T11:27:15.00" personId="{392040e7-56f5-4c10-8c91-fbdcc01f44c5}" id="{b5f5d7fe-1e2a-49d2-9aa6-ae2399268b27}" parentId="{1d93edeb-6dd1-4e9f-9707-d2e7e1e7d5d3}">
    <x18tc:text xml:space="preserve">Yes we can go-ahead with this suggestion @anjalib@samanvayfoundation.org</x18tc:text>
    <x18tc:mentions>
      <x18tc:mention mentionpersonId="{5175ac4e-7bdb-4a9b-8220-e40b6eca5016}" mentionId="{c515dfb3-5c47-4717-b823-1bde40690313}" startIndex="41" length="31"/>
    </x18tc:mentions>
  </x18tc:threadedComment>
  <x18tc:threadedComment ref="C8" dT="2025-11-24T09:54:00.00" personId="{490e5175-706f-4761-b45e-8f205bc3b7b1}" id="{996d9044-3c6f-4a76-ab37-0cbbd9e327fc}" done="0">
    <x18tc:text xml:space="preserve">@mnedofficer@ekam.ngo @tnprogramlead@ekam.ngo Can we autocalculate this based on LMP or you want to manually enter it?
Assigned to mnedofficer@ekam.ngo</x18tc:text>
    <x18tc:mentions>
      <x18tc:mention mentionpersonId="{e54f6afd-3e2a-431a-a2b4-85d24eed3d5f}" mentionId="{bb59291c-6728-45e6-8d9e-ea81aed818f9}" startIndex="0" length="21"/>
      <x18tc:mention mentionpersonId="{6b1965cd-f9e5-41d9-9910-17c486ada433}" mentionId="{5849ce6b-3d7b-4cf1-a2bd-0b821cb3f7f9}" startIndex="22" length="23"/>
    </x18tc:mentions>
  </x18tc:threadedComment>
  <x18tc:threadedComment ref="C8" dT="2025-11-24T11:20:55.00" personId="{392040e7-56f5-4c10-8c91-fbdcc01f44c5}" id="{e731d272-bade-42cb-84e9-3486a79c7a74}" parentId="{996d9044-3c6f-4a76-ab37-0cbbd9e327fc}">
    <x18tc:text xml:space="preserve">This can be done as manually.</x18tc:text>
  </x18tc:threadedComment>
  <x18tc:threadedComment ref="C23" dT="2025-09-15T10:50:54.00" personId="{7878cda1-54b0-4f8a-af57-753262fea0d1}" id="{67b3e22f-ff61-4020-b9ae-8a80a798e485}" done="1">
    <x18tc:text xml:space="preserve">@tnprogramlead@ekam.ngo  Is this question asked to pregnant women or mothers or both
Assigned to tnprogramlead@ekam.ngo</x18tc:text>
    <x18tc:mentions>
      <x18tc:mention mentionpersonId="{6b1965cd-f9e5-41d9-9910-17c486ada433}" mentionId="{b720fad1-c44e-42ee-a313-7ffd54194931}" startIndex="0" length="23"/>
    </x18tc:mentions>
  </x18tc:threadedComment>
  <x18tc:threadedComment ref="C7" dT="2025-11-24T09:53:53.00" personId="{490e5175-706f-4761-b45e-8f205bc3b7b1}" id="{0969ac98-80c9-4f99-8a57-65d2557edf85}" done="0">
    <x18tc:text xml:space="preserve">@mnedofficer@ekam.ngo @tnprogramlead@ekam.ngo Can we autocalculate this based on LMP or you want to manually enter it?
Assigned to mnedofficer@ekam.ngo</x18tc:text>
    <x18tc:mentions>
      <x18tc:mention mentionpersonId="{e54f6afd-3e2a-431a-a2b4-85d24eed3d5f}" mentionId="{d922a399-c865-4112-957c-b99063ccc9b8}" startIndex="0" length="21"/>
      <x18tc:mention mentionpersonId="{6b1965cd-f9e5-41d9-9910-17c486ada433}" mentionId="{83aa1d86-26d6-48ed-a608-9cd4c71e0fb1}" startIndex="22" length="23"/>
    </x18tc:mentions>
  </x18tc:threadedComment>
  <x18tc:threadedComment ref="C7" dT="2025-11-24T11:18:57.00" personId="{392040e7-56f5-4c10-8c91-fbdcc01f44c5}" id="{a77506d5-fcb3-4ef2-9bac-0c51e6df9d57}" parentId="{0969ac98-80c9-4f99-8a57-65d2557edf85}">
    <x18tc:text xml:space="preserve">It can be auto-calculated but wanted to re-check it as UAT once autogenerated after calculation.</x18tc:text>
  </x18tc:threadedComment>
  <x18tc:threadedComment ref="C48" dT="2025-09-15T10:55:42.00" personId="{7878cda1-54b0-4f8a-af57-753262fea0d1}" id="{c0d59a10-db38-40d8-b94e-942756b59459}" done="1">
    <x18tc:text xml:space="preserve">FYI : Add this field to capture the address in case there is change of place post delivery. currently kept dattype as text as PNC data will be collect over a call in case of place change @tnprogramlead@ekam.ngo @anjalib@samanvayfoundation.org</x18tc:text>
    <x18tc:mentions>
      <x18tc:mention mentionpersonId="{6b1965cd-f9e5-41d9-9910-17c486ada433}" mentionId="{3ee90499-ff44-4718-b58a-bb4e30b445e1}" startIndex="187" length="23"/>
      <x18tc:mention mentionpersonId="{5175ac4e-7bdb-4a9b-8220-e40b6eca5016}" mentionId="{bae57fa7-28c9-4c7f-8640-aa6973b0a0f4}" startIndex="211" length="31"/>
    </x18tc:mentions>
  </x18tc:threadedComment>
  <x18tc:threadedComment ref="J44" dT="2025-09-17T03:25:55.00" personId="{7878cda1-54b0-4f8a-af57-753262fea0d1}" id="{712b22da-8f56-4aa6-9eba-f15987a5ce1a}" done="1">
    <x18tc:text xml:space="preserve">@tnprogramlead@ekam.ngo update the options
Assigned to tnprogramlead@ekam.ngo</x18tc:text>
    <x18tc:mentions>
      <x18tc:mention mentionpersonId="{6b1965cd-f9e5-41d9-9910-17c486ada433}" mentionId="{21270fe4-c436-4f0f-9968-64fb6d273b4b}" startIndex="0" length="23"/>
    </x18tc:mentions>
  </x18tc:threadedComment>
  <x18tc:threadedComment ref="J46" dT="2025-09-17T03:42:08.00" personId="{7878cda1-54b0-4f8a-af57-753262fea0d1}" id="{e0c7f129-7f33-45fb-bcb7-a4178193101f}" done="1">
    <x18tc:text xml:space="preserve">@tnprogramlead@ekam.ngo  Will you register beneficiaries in 7th month when they have migrated to mother's place. Let me know if you want change options as 1. Current place of stay 2. New place of stay
Assigned to tnprogramlead@ekam.ngo</x18tc:text>
    <x18tc:mentions>
      <x18tc:mention mentionpersonId="{6b1965cd-f9e5-41d9-9910-17c486ada433}" mentionId="{21367814-d863-4b44-9828-22f1384904e3}" startIndex="0" length="23"/>
    </x18tc:mentions>
  </x18tc:threadedComment>
  <x18tc:threadedComment ref="C44" dT="2025-09-17T14:46:32.00" personId="{5507a277-1c99-44ae-aba1-a9413cc01353}" id="{bd5fdadf-d564-4f69-9bc6-26a3ecb88438}" done="1">
    <x18tc:text xml:space="preserve">To be asked only for pregnant women</x18tc:text>
  </x18tc:threadedComment>
  <x18tc:threadedComment ref="J36" dT="2025-09-24T10:23:38.00" personId="{2eef28f8-d98b-4213-9c46-359f771d9623}" id="{21e85cad-8d4b-4f91-8bde-c1d1fa94c5d5}" done="0">
    <x18tc:text xml:space="preserve">Added None Option aswell</x18tc:text>
  </x18tc:threadedComment>
  <x18tc:threadedComment ref="C8" dT="2025-09-01T10:13:08.00" personId="{fd2bf9d2-4f3c-4c17-b45e-883705bc6191}" id="{b0ca95f0-809a-4eef-bf9f-cd0ba235becf}" done="1">
    <x18tc:text xml:space="preserve">Since this seems to be a common form for Mother and Pregnancy Enrolments, the questions need to have much more conditional logic, which is not specified in the requirements.</x18tc:text>
  </x18tc:threadedComment>
  <x18tc:threadedComment ref="C44" dT="2025-09-09T04:19:23.00" personId="{490e5175-706f-4761-b45e-8f205bc3b7b1}" id="{1ed717f3-b716-4743-9bc0-0088378987d5}" done="1">
    <x18tc:text xml:space="preserve">@ashok.ku22@gmail.com instead of leaving it as a free-text can you can make it a single-select  question with predefined delivery location options?
Assigned to ashok.ku22@gmail.com</x18tc:text>
    <x18tc:mentions>
      <x18tc:mention mentionpersonId="{835f2e36-b068-42e9-b126-dd1b06802c41}" mentionId="{7e287e93-cd4c-433a-b76b-1cedfadb1281}" startIndex="0" length="21"/>
    </x18tc:mentions>
  </x18tc:threadedComment>
  <x18tc:threadedComment ref="C44" dT="2025-09-17T03:24:55.00" personId="{7878cda1-54b0-4f8a-af57-753262fea0d1}" id="{8c962f53-9f8c-491b-9179-83c739107386}" parentId="{1ed717f3-b716-4743-9bc0-0088378987d5}">
    <x18tc:text xml:space="preserve">Added options</x18tc:text>
  </x18tc:threadedComment>
  <x18tc:threadedComment ref="C46" dT="2025-09-09T04:20:27.00" personId="{490e5175-706f-4761-b45e-8f205bc3b7b1}" id="{0c553639-5c0c-469b-ba8d-847d696b39f9}" done="1">
    <x18tc:text xml:space="preserve">@ashok.ku22@gmail.com 
instead of leaving it as a free-text can you can make it a single-select question?
Assigned to ashok.ku22@gmail.com</x18tc:text>
    <x18tc:mentions>
      <x18tc:mention mentionpersonId="{835f2e36-b068-42e9-b126-dd1b06802c41}" mentionId="{dec25442-9825-4613-bf0e-9e02d9cbd1ea}" startIndex="0" length="21"/>
    </x18tc:mentions>
  </x18tc:threadedComment>
  <x18tc:threadedComment ref="C46" dT="2025-09-09T04:23:51.00" personId="{32466b1a-36e6-4419-8fba-1687ce6a2868}" id="{dbd10a5c-7426-4c4d-b5e5-58e37cd3ed16}" parentId="{0c553639-5c0c-469b-ba8d-847d696b39f9}">
    <x18tc:text xml:space="preserve">Let me discuss with Mythili and update accordingly</x18tc:text>
  </x18tc:threadedComment>
  <x18tc:threadedComment ref="C46" dT="2025-09-15T10:40:56.00" personId="{7878cda1-54b0-4f8a-af57-753262fea0d1}" id="{5861f2f5-7282-40af-9378-632bd2713e97}" parentId="{0c553639-5c0c-469b-ba8d-847d696b39f9}">
    <x18tc:text xml:space="preserve">@tnprogramlead@ekam.ngo 
1.Please add options to this question 
2. I see this question you have add in the "Pregnant Women Follow-up Form 2" any reasons
Reassigned to tnprogramlead@ekam.ngo</x18tc:text>
    <x18tc:mentions>
      <x18tc:mention mentionpersonId="{6b1965cd-f9e5-41d9-9910-17c486ada433}" mentionId="{f31159f9-b202-4bfe-a3b3-793d6eb8a044}" startIndex="0" length="23"/>
    </x18tc:mentions>
  </x18tc:threadedComment>
  <x18tc:threadedComment ref="D44" dT="2025-09-01T09:44:56.00" personId="{fd2bf9d2-4f3c-4c17-b45e-883705bc6191}" id="{0d6a8736-dbbd-4dd4-bb5e-76853838db44}" done="1">
    <x18tc:text xml:space="preserve">should these instead be simple options, like PHC or Home, etc</x18tc:text>
  </x18tc:threadedComment>
  <x18tc:threadedComment ref="D44" dT="2025-09-02T07:24:30.00" personId="{fd2bf9d2-4f3c-4c17-b45e-883705bc6191}" id="{2d597e92-a11e-43cc-8dd0-da3a2f20f52a}" parentId="{0d6a8736-dbbd-4dd4-bb5e-76853838db44}">
    <x18tc:text xml:space="preserve">Check with client</x18tc:text>
  </x18tc:threadedComment>
  <x18tc:threadedComment ref="D44" dT="2025-09-17T03:25:19.00" personId="{7878cda1-54b0-4f8a-af57-753262fea0d1}" id="{e8750892-3896-4a2e-98ab-eaf1f2e8a596}" parentId="{0d6a8736-dbbd-4dd4-bb5e-76853838db44}">
    <x18tc:text xml:space="preserve">Changes done</x18tc:text>
  </x18tc:threadedComment>
  <x18tc:threadedComment ref="J48" dT="2025-09-01T09:44:13.00" personId="{fd2bf9d2-4f3c-4c17-b45e-883705bc6191}" id="{98e3a6d2-9770-4270-b0fc-de34f093cee2}" done="1">
    <x18tc:text xml:space="preserve">Why have complete address here.? Rather just the   place as Home or relative's home etc..</x18tc:text>
  </x18tc:threadedComment>
  <x18tc:threadedComment ref="J48" dT="2025-09-15T10:46:33.00" personId="{7878cda1-54b0-4f8a-af57-753262fea0d1}" id="{f727c2be-287e-448b-9817-0352f3181e0f}" parentId="{98e3a6d2-9770-4270-b0fc-de34f093cee2}">
    <x18tc:text xml:space="preserve">this will be extra field for address. if they stay away from the registered address</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4" dT="2025-09-18T05:55:02.00" personId="{5507a277-1c99-44ae-aba1-a9413cc01353}" id="{266bce7f-6693-4f19-af59-cc2872465e9a}" done="1">
    <x18tc:text xml:space="preserve">This has been added, the topic number can it be selected here @ashok.ku22@gmail.com</x18tc:text>
    <x18tc:mentions>
      <x18tc:mention mentionpersonId="{835f2e36-b068-42e9-b126-dd1b06802c41}" mentionId="{3590c856-74f0-484a-b635-ac82bd0979d2}" startIndex="62" length="21"/>
    </x18tc:mentions>
  </x18tc:threadedComment>
  <x18tc:threadedComment ref="C24" dT="2025-09-18T07:46:37.00" personId="{32466b1a-36e6-4419-8fba-1687ce6a2868}" id="{e17e2324-ddfd-499c-bf17-7bcdfc7ecff2}" parentId="{266bce7f-6693-4f19-af59-cc2872465e9a}">
    <x18tc:text xml:space="preserve">Let discuss this</x18tc:text>
  </x18tc:threadedComment>
  <x18tc:threadedComment ref="C20" dT="2025-09-15T11:07:05.00" personId="{7878cda1-54b0-4f8a-af57-753262fea0d1}" id="{bfe51b72-607b-4819-b916-a56a281dcf31}" done="1">
    <x18tc:text xml:space="preserve">@tnprogramlead@ekam.ngo do you want the options in the same order as mentioned PW follow up form 2 and i will make all Qs under multi-select with question Health Education topics covered . Is this format okay with you?</x18tc:text>
    <x18tc:mentions>
      <x18tc:mention mentionpersonId="{6b1965cd-f9e5-41d9-9910-17c486ada433}" mentionId="{bf824292-b191-43c8-ad86-0dcd20434ed1}" startIndex="0" length="23"/>
    </x18tc:mentions>
  </x18tc:threadedComment>
  <x18tc:threadedComment ref="C8" dT="2025-09-15T11:16:04.00" personId="{7878cda1-54b0-4f8a-af57-753262fea0d1}" id="{17922e80-1465-4f4b-840b-5c8c9fdf8962}" done="1">
    <x18tc:text xml:space="preserve">@tnprogramlead@ekam.ngo  in the form 1 you written " Urine Albumin (Positive/Negative/Not taken)" and " Blood sugar (Positive/Negative/Not taken)" so do need numeric values in the app or these options
Assigned to tnprogramlead@ekam.ngo</x18tc:text>
    <x18tc:mentions>
      <x18tc:mention mentionpersonId="{6b1965cd-f9e5-41d9-9910-17c486ada433}" mentionId="{88241984-8a16-4d6c-84be-4b6abf4c54fa}" startIndex="0" length="23"/>
    </x18tc:mentions>
  </x18tc:threadedComment>
  <x18tc:threadedComment ref="C8" dT="2025-09-17T14:57:00.00" personId="{5507a277-1c99-44ae-aba1-a9413cc01353}" id="{179b53d1-466f-4533-a725-72e067bcc492}" parentId="{17922e80-1465-4f4b-840b-5c8c9fdf8962}">
    <x18tc:text xml:space="preserve">Values not needed</x18tc:text>
  </x18tc:threadedComment>
  <x18tc:threadedComment ref="C9" dT="2025-09-15T10:15:39.00" personId="{7878cda1-54b0-4f8a-af57-753262fea0d1}" id="{9510c1c7-fd65-4840-b53f-db2cfca56830}" done="1">
    <x18tc:text xml:space="preserve">@tnprogramlead@ekam.ngo it is mentioned Blood Sugar in "Pregnant Women Follow-up Form 1" and marked in red . let me know if you want to go ahead with blood sugar. I see in the form weight till blood sugar marked in red. Are these fields confirmed.
Assigned to tnprogramlead@ekam.ngo</x18tc:text>
    <x18tc:mentions>
      <x18tc:mention mentionpersonId="{6b1965cd-f9e5-41d9-9910-17c486ada433}" mentionId="{52435c75-89b2-4525-8653-22bdc3d9e649}" startIndex="0" length="23"/>
    </x18tc:mentions>
  </x18tc:threadedComment>
  <x18tc:threadedComment ref="C9" dT="2025-09-17T14:59:50.00" personId="{5507a277-1c99-44ae-aba1-a9413cc01353}" id="{d9c1fdc5-a9af-4cce-a144-8aa8d51f5f51}" parentId="{9510c1c7-fd65-4840-b53f-db2cfca56830}">
    <x18tc:text xml:space="preserve">Confirmed, options added</x18tc:text>
  </x18tc:threadedComment>
  <x18tc:threadedComment ref="M5" dT="2025-09-22T13:00:35.00" personId="{490e5175-706f-4761-b45e-8f205bc3b7b1}" id="{d3d02c26-c5e1-44f0-8122-3086251db179}" done="1">
    <x18tc:text xml:space="preserve">@ashok.ku22@gmail.com @tnprogramlead@ekam.ngo do we need this? If yes what is the recommended weight gain?
Assigned to ashok.ku22@gmail.com</x18tc:text>
    <x18tc:mentions>
      <x18tc:mention mentionpersonId="{835f2e36-b068-42e9-b126-dd1b06802c41}" mentionId="{d0ce358f-bec6-42f5-b2da-fc24b1acc3c9}" startIndex="0" length="21"/>
      <x18tc:mention mentionpersonId="{6b1965cd-f9e5-41d9-9910-17c486ada433}" mentionId="{0956d822-cf45-4b60-99ea-c4bdf9753a2b}" startIndex="22" length="23"/>
    </x18tc:mentions>
  </x18tc:threadedComment>
  <x18tc:threadedComment ref="M5" dT="2025-09-24T09:22:54.00" personId="{5507a277-1c99-44ae-aba1-a9413cc01353}" id="{1bb5871f-f9bc-4da7-94bd-6c17b70f3b2c}" parentId="{d3d02c26-c5e1-44f0-8122-3086251db179}">
    <x18tc:text xml:space="preserve">Minimum recommended weight gain is at least 0.5 kg per month.</x18tc:text>
  </x18tc:threadedComment>
  <x18tc:threadedComment ref="C22" dT="2025-09-17T13:03:22.00" personId="{7878cda1-54b0-4f8a-af57-753262fea0d1}" id="{9f2ad0ad-aa5b-44ec-b427-8ad5578e3b9d}" done="1">
    <x18tc:text xml:space="preserve">@tnprogramlead@ekam.ngo is this Q asked if any option from previous question selected or for any specific options. Please mention here</x18tc:text>
    <x18tc:mentions>
      <x18tc:mention mentionpersonId="{6b1965cd-f9e5-41d9-9910-17c486ada433}" mentionId="{5907ce45-601d-44f4-bcb3-21f5de11e484}" startIndex="0" length="23"/>
    </x18tc:mentions>
  </x18tc:threadedComment>
  <x18tc:threadedComment ref="C31" dT="2025-09-17T12:25:40.00" personId="{7878cda1-54b0-4f8a-af57-753262fea0d1}" id="{afb6ef95-887b-4368-99a5-3aea9c986a8b}" done="1">
    <x18tc:text xml:space="preserve">@tnprogramlead@ekam.ngo 
please check if all high risk conditions are captured or not . whatever conditions are missing please share a list with Ashok. We will add them in ANC as additional high risk conditions and include 2 Qs to check when to fill this high risk data field. Q1. Is high risk pregnancy observed in earlier visit - Yes and No . if Yes -Ask if the high risk condition is same -Yes or No . if No - Ask select the high risk condition (Also ask it for Q1 is No)</x18tc:text>
    <x18tc:mentions>
      <x18tc:mention mentionpersonId="{6b1965cd-f9e5-41d9-9910-17c486ada433}" mentionId="{93e79ea7-237e-4621-a34a-a472b9b3384e}" startIndex="0" length="23"/>
    </x18tc:mentions>
  </x18tc:threadedComment>
  <x18tc:threadedComment ref="K20" dT="2025-09-17T15:32:31.00" personId="{5507a277-1c99-44ae-aba1-a9413cc01353}" id="{7a8fa1be-5e9f-4dff-834b-3db24a050da0}" done="1">
    <x18tc:text xml:space="preserve">A, B, C, D, and E are common to pregnant women and mother @ashok.ku22@gmail.com</x18tc:text>
    <x18tc:mentions>
      <x18tc:mention mentionpersonId="{835f2e36-b068-42e9-b126-dd1b06802c41}" mentionId="{ec14fc1d-6116-4d84-860e-9790675ea93b}" startIndex="58" length="21"/>
    </x18tc:mentions>
  </x18tc:threadedComment>
  <x18tc:threadedComment ref="K20" dT="2025-09-18T11:56:05.00" personId="{7878cda1-54b0-4f8a-af57-753262fea0d1}" id="{a188c8c2-016f-4b49-9b1e-6b3c36449239}" parentId="{7a8fa1be-5e9f-4dff-834b-3db24a050da0}">
    <x18tc:text xml:space="preserve">Topics A,B,C,D,E if covered during ANC for pregnant women needed not be provided in counselling during PNC @anjalib@samanvayfoundation.org Let me know if it is possible or not .</x18tc:text>
    <x18tc:mentions>
      <x18tc:mention mentionpersonId="{5175ac4e-7bdb-4a9b-8220-e40b6eca5016}" mentionId="{5f2eabe0-fb86-4dc2-8962-4cc0e35e78e0}" startIndex="107" length="31"/>
    </x18tc:mentions>
  </x18tc:threadedComment>
  <x18tc:threadedComment ref="K20" dT="2025-09-22T13:02:57.00" personId="{490e5175-706f-4761-b45e-8f205bc3b7b1}" id="{9f9a3c04-103a-484b-8beb-5d78d49ec9f7}" parentId="{7a8fa1be-5e9f-4dff-834b-3db24a050da0}">
    <x18tc:text xml:space="preserve">Possible</x18tc:text>
  </x18tc:threadedComment>
  <x18tc:threadedComment ref="A17" dT="2025-07-28T16:26:06.00" personId="{43c03bef-fc3d-4e0e-b507-74e981014403}" id="{614fe203-0e25-428c-8f3c-69ca733bdf88}" done="1">
    <x18tc:text xml:space="preserve">@ashok.ku22@gmail.com Why are each of them separate questions? Can they be a single question with multi-select answers ?</x18tc:text>
    <x18tc:mentions>
      <x18tc:mention mentionpersonId="{835f2e36-b068-42e9-b126-dd1b06802c41}" mentionId="{13978634-b62e-4bb5-b34e-0547115c8990}" startIndex="0" length="21"/>
    </x18tc:mentions>
  </x18tc:threadedComment>
  <x18tc:threadedComment ref="A17" dT="2025-07-30T07:15:46.00" personId="{7878cda1-54b0-4f8a-af57-753262fea0d1}" id="{f02fe85f-54f0-4153-8f58-1a3e16fc8e97}" parentId="{614fe203-0e25-428c-8f3c-69ca733bdf88}">
    <x18tc:text xml:space="preserve">@tnprogramlead@ekam.ngo Does it work if we convert it into a single question with multi select and upon selection of any of options would lead to high risk preg that would be used for referral. are we doing any other analysis on danger signs other than high risk preg tracking and refferal</x18tc:text>
    <x18tc:mentions>
      <x18tc:mention mentionpersonId="{6b1965cd-f9e5-41d9-9910-17c486ada433}" mentionId="{5c8a98fc-eebd-4618-ad4c-c5d0fd92af59}" startIndex="0" length="23"/>
    </x18tc:mentions>
  </x18tc:threadedComment>
  <x18tc:threadedComment ref="A17" dT="2025-07-31T04:47:20.00" personId="{5507a277-1c99-44ae-aba1-a9413cc01353}" id="{82756f82-0cc9-45ce-afd8-7d624be92df4}" parentId="{614fe203-0e25-428c-8f3c-69ca733bdf88}">
    <x18tc:text xml:space="preserve">If we would want to understand the different types of danger signs reported across the beneficiaries, we can still do it right.   We are fine with a single question with multiselect option</x18tc:text>
  </x18tc:threadedComment>
  <x18tc:threadedComment ref="A17" dT="2025-07-31T05:06:43.00" personId="{7878cda1-54b0-4f8a-af57-753262fea0d1}" id="{f305dccb-96cc-4041-aeed-3c21837357f4}" parentId="{614fe203-0e25-428c-8f3c-69ca733bdf88}">
    <x18tc:text xml:space="preserve">Yes it is possible</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 dT="2025-09-23T13:21:26.00" personId="{490e5175-706f-4761-b45e-8f205bc3b7b1}" id="{8ec8b65c-a489-4ab0-94d0-54e6a9244357}" done="0">
    <x18tc:text xml:space="preserve">@ashok.ku22@gmail.com @tnprogramlead@ekam.ngo can you confirm this form question and option
Assigned to ashok.ku22@gmail.com</x18tc:text>
    <x18tc:mentions>
      <x18tc:mention mentionpersonId="{835f2e36-b068-42e9-b126-dd1b06802c41}" mentionId="{7c601b54-7949-43d5-b69b-7fe0b13689ba}" startIndex="0" length="21"/>
      <x18tc:mention mentionpersonId="{6b1965cd-f9e5-41d9-9910-17c486ada433}" mentionId="{a58f29fc-9cad-4237-becd-515bc457cb11}" startIndex="22" length="23"/>
    </x18tc:mentions>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8" dT="2025-10-03T08:34:13.00" personId="{e6adde95-f533-4a42-874d-4d6dc979634d}" id="{c01af489-ff9f-45fe-9a2f-b389c063b35f}" done="1">
    <x18tc:text xml:space="preserve">@anjalib@samanvayfoundation.org for blood pressure do we need this logic
Assigned to anjalib@samanvayfoundation.org</x18tc:text>
    <x18tc:mentions>
      <x18tc:mention mentionpersonId="{5175ac4e-7bdb-4a9b-8220-e40b6eca5016}" mentionId="{d924de35-4074-446c-88a0-48c56fc51fdb}" startIndex="0" length="31"/>
    </x18tc:mentions>
  </x18tc:threadedComment>
  <x18tc:threadedComment ref="M8" dT="2025-10-03T08:52:02.00" personId="{490e5175-706f-4761-b45e-8f205bc3b7b1}" id="{2724023b-b0c6-4a4c-9ddd-0928200b84e4}" parentId="{c01af489-ff9f-45fe-9a2f-b389c063b35f}">
    <x18tc:text xml:space="preserve">@dineshg@samanvayfoundation.org not required
Reassigned to dineshg@samanvayfoundation.org</x18tc:text>
    <x18tc:mentions>
      <x18tc:mention mentionpersonId="{e7d4fcbd-926b-4052-aff0-3e0aa121bb04}" mentionId="{5934a176-28c1-42ae-9a92-b26a15b8a923}" startIndex="0" length="31"/>
    </x18tc:mentions>
  </x18tc:threadedComment>
  <x18tc:threadedComment ref="A30" dT="2025-07-25T06:07:08.00" personId="{7878cda1-54b0-4f8a-af57-753262fea0d1}" id="{9a7f05c7-3780-448c-8c71-eb589cc88b6e}" done="1">
    <x18tc:text xml:space="preserve">Aim to create Breastfeeding awareness among the mothers during PNC period. The Breastfeeding Score is done during the 4 schedule PNC(out of them 1 is onphone call). The objective is to get 100 score for each mother. On visit the score keeps on increasing till 100 is achieved. Score is achieved message should pop up</x18tc:text>
  </x18tc:threadedComment>
  <x18tc:threadedComment ref="C18" dT="2025-09-18T12:19:29.00" personId="{7878cda1-54b0-4f8a-af57-753262fea0d1}" id="{0e7fe704-3c29-4c22-8da3-0e4282af1927}" done="1">
    <x18tc:text xml:space="preserve">Make it multiple choice</x18tc:text>
  </x18tc:threadedComment>
  <x18tc:threadedComment ref="C53" dT="2025-09-18T07:41:13.00" personId="{5507a277-1c99-44ae-aba1-a9413cc01353}" id="{4204f49e-be6a-4d8f-96bf-eceddb7fb19b}" done="1">
    <x18tc:text xml:space="preserve">How to capture?</x18tc:text>
  </x18tc:threadedComment>
  <x18tc:threadedComment ref="C23" dT="2025-09-19T07:10:14.00" personId="{7878cda1-54b0-4f8a-af57-753262fea0d1}" id="{6a9cfe0d-bc9f-42fb-8873-21cd3142274d}" done="1">
    <x18tc:text xml:space="preserve">@anjalib@samanvayfoundation.org  Can we move to breastfeeding page if we answer yes to Do you need to visit again for Counselling? as this Q leads to schedule the next visit
Assigned to anjalib@samanvayfoundation.org</x18tc:text>
    <x18tc:mentions>
      <x18tc:mention mentionpersonId="{5175ac4e-7bdb-4a9b-8220-e40b6eca5016}" mentionId="{f5c89d0b-a1f0-427d-ada6-65c5bc0d2878}" startIndex="0" length="31"/>
    </x18tc:mentions>
  </x18tc:threadedComment>
  <x18tc:threadedComment ref="A26" dT="2025-09-18T07:39:50.00" personId="{5507a277-1c99-44ae-aba1-a9413cc01353}" id="{0b392042-b71e-4a98-baba-53d193e1c972}" done="1">
    <x18tc:text xml:space="preserve">Breastfeeding assessment prefer it to be a separate form and not as part of PN followup</x18tc:text>
  </x18tc:threadedComment>
  <x18tc:threadedComment ref="K22" dT="2025-09-18T07:27:57.00" personId="{5507a277-1c99-44ae-aba1-a9413cc01353}" id="{ad2bc431-8e76-4545-a0c7-6ae3225e718a}" done="1">
    <x18tc:text xml:space="preserve">@ashok.ku22@gmail.com</x18tc:text>
    <x18tc:mentions>
      <x18tc:mention mentionpersonId="{835f2e36-b068-42e9-b126-dd1b06802c41}" mentionId="{d3f697a0-7fd1-4828-a87b-073bb343cd23}" startIndex="0" length="21"/>
    </x18tc:mentions>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 dT="2025-09-23T13:22:04.00" personId="{490e5175-706f-4761-b45e-8f205bc3b7b1}" id="{137f668d-8b8d-48da-957f-36e44a0bee3f}" done="0">
    <x18tc:text xml:space="preserve">@ashok.ku22@gmail.com @tnprogramlead@ekam.ngo can you confirm this form question and option
Assigned to ashok.ku22@gmail.com</x18tc:text>
    <x18tc:mentions>
      <x18tc:mention mentionpersonId="{835f2e36-b068-42e9-b126-dd1b06802c41}" mentionId="{9e63f332-c3c5-4ad4-8368-d1fd5ce37431}" startIndex="0" length="21"/>
      <x18tc:mention mentionpersonId="{6b1965cd-f9e5-41d9-9910-17c486ada433}" mentionId="{50acb5e1-16de-43c2-87a5-fed1560b6efd}" startIndex="22" length="23"/>
    </x18tc:mentions>
  </x18tc:threadedComment>
  <x18tc:threadedComment ref="E4" dT="2025-09-26T06:36:36.00" personId="{7878cda1-54b0-4f8a-af57-753262fea0d1}" id="{cc968df0-f9d0-4781-a0dd-ad6c585e721f}" parentId="{137f668d-8b8d-48da-957f-36e44a0bee3f}">
    <x18tc:text xml:space="preserve">options suggested by Anjali: "Temporarily Migrated 
Death 
Went to relative or other place 
Not known 
Other"</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1" dT="2025-09-16T10:25:47.00" personId="{7878cda1-54b0-4f8a-af57-753262fea0d1}" id="{7d259609-b9a5-4efc-adfa-231ba1a321b7}" done="1">
    <x18tc:text xml:space="preserve">Refer this https://drive.google.com/file/d/1Zf3pDeoecV-7z1iyUjgOCzoCxUEb3OsD/view?usp=sharing to calculate the high risk conditions</x18tc:text>
    <x18tc:extLst>
      <ext uri="{F7C98A9C-CBB3-438F-8F68-D28B6AF4A901}">
        <xltc2:checksum/>
        <xltc2:hyperlink startIndex="11" length="82" url="https://drive.google.com/file/d/1Zf3pDeoecV-7z1iyUjgOCzoCxUEb3OsD/view?usp=sharing"/>
      </ext>
    </x18tc:extLst>
  </x18tc:threadedComment>
  <x18tc:threadedComment ref="A1" dT="2025-09-11T12:01:25.00" personId="{490e5175-706f-4761-b45e-8f205bc3b7b1}" id="{646ec369-89de-4ed8-8d98-f43b7a8bae60}" done="1">
    <x18tc:text xml:space="preserve">@ashok.ku22@gmail.com what will be the visit scheduling for this form? Couldn't find it in the SRS
Assigned to ashok.ku22@gmail.com</x18tc:text>
    <x18tc:mentions>
      <x18tc:mention mentionpersonId="{835f2e36-b068-42e9-b126-dd1b06802c41}" mentionId="{51b60848-b70b-4565-8659-06282618e0a8}" startIndex="0" length="21"/>
    </x18tc:mentions>
  </x18tc:threadedComment>
  <x18tc:threadedComment ref="A1" dT="2025-09-12T06:02:13.00" personId="{7878cda1-54b0-4f8a-af57-753262fea0d1}" id="{3f55ff6b-cbaa-4479-b8c9-d0876518ff19}" parentId="{646ec369-89de-4ed8-8d98-f43b7a8bae60}">
    <x18tc:text xml:space="preserve">Initially each component of the mental health screening  was included in the ANC and PNC or enrollment as per requirement. Then it was suggested to make all of mental health acreening as 1 form. I have updated SRS now. I would like to know what is the right approach to ask MH screening questions</x18tc:text>
  </x18tc:threadedComment>
  <x18tc:threadedComment ref="A1" dT="2025-09-16T10:22:53.00" personId="{7878cda1-54b0-4f8a-af57-753262fea0d1}" id="{1706a488-b711-412d-9720-d538290ba43a}" parentId="{646ec369-89de-4ed8-8d98-f43b7a8bae60}">
    <x18tc:text xml:space="preserve">As per our discussion on 15th Sept call. We dedicated to have mental health screening as separate form</x18tc:text>
  </x18tc:threadedComment>
  <x18tc:threadedComment ref="A2" dT="2025-09-10T05:36:49.00" personId="{32466b1a-36e6-4419-8fba-1687ce6a2868}" id="{fa9014c7-6c30-480f-87ce-1e9c34151641}" done="1">
    <x18tc:text xml:space="preserve">Refer this https://drive.google.com/file/d/1Zf3pDeoecV-7z1iyUjgOCzoCxUEb3OsD/view?usp=sharing to calculate the high risk conditions</x18tc:text>
    <x18tc:extLst>
      <ext uri="{F7C98A9C-CBB3-438F-8F68-D28B6AF4A901}">
        <xltc2:checksum/>
        <xltc2:hyperlink startIndex="11" length="82" url="https://drive.google.com/file/d/1Zf3pDeoecV-7z1iyUjgOCzoCxUEb3OsD/view?usp=sharing"/>
      </ext>
    </x18tc:extLst>
  </x18tc:threadedComment>
  <x18tc:threadedComment ref="C17" dT="2025-10-01T04:22:24.00" personId="{2eef28f8-d98b-4213-9c46-359f771d9623}" id="{ab698ba0-c51b-43ad-adb8-201c23d9201a}" done="1">
    <x18tc:text xml:space="preserve">@anjalib@samanvayfoundation.org We need to create new card for this</x18tc:text>
    <x18tc:mentions>
      <x18tc:mention mentionpersonId="{5175ac4e-7bdb-4a9b-8220-e40b6eca5016}" mentionId="{20bfb290-0694-4b80-837d-cda21e893e55}" startIndex="0" length="31"/>
    </x18tc:mentions>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1" dT="2025-07-30T07:29:38.00" personId="{7878cda1-54b0-4f8a-af57-753262fea0d1}" id="{86cef903-0f9a-400f-a62e-8e4f98e9fffe}" done="1">
    <x18tc:text xml:space="preserve">@tnprogramlead@ekam.ngo If yes leads to high risk conditions and can lead to referral then better to have options with multiselect instead of text field. Please confirm. If same is applicable for child ? if yes then have options for the child question</x18tc:text>
    <x18tc:mentions>
      <x18tc:mention mentionpersonId="{6b1965cd-f9e5-41d9-9910-17c486ada433}" mentionId="{4b0f8f47-8a1b-45f0-aaa1-7a24a3213080}" startIndex="0" length="23"/>
    </x18tc:mentions>
  </x18tc:threadedComment>
  <x18tc:threadedComment ref="J8" dT="2025-07-24T06:48:18.00" personId="{5507a277-1c99-44ae-aba1-a9413cc01353}" id="{0b70dffd-b131-406d-8d5b-e43d68cfc255}" done="1">
    <x18tc:text xml:space="preserve">Baby died to be removed, as neonatal death cannot be included as delivery outcome</x18tc:text>
  </x18tc:threadedComment>
  <x18tc:threadedComment ref="J17" dT="2025-07-24T06:49:09.00" personId="{5507a277-1c99-44ae-aba1-a9413cc01353}" id="{7906444e-f8c8-4887-9525-96425a1865a7}" done="1">
    <x18tc:text xml:space="preserve">Dead - means space to write the reason for death and number of days after which death happened</x18tc:text>
  </x18tc:threadedComment>
  <x18tc:threadedComment ref="C1" dT="2025-09-10T12:31:31.00" personId="{490e5175-706f-4761-b45e-8f205bc3b7b1}" id="{8334f8d6-1f45-4542-b37b-94f585548022}" done="1">
    <x18tc:text xml:space="preserve">@anjalib@samanvayfoundation.org for mother whose PNC period is over, they are not going to enrol that individual to the Pregnancy program. They will do the Ind Registration form for the child and include few questions related to delivery in the IR form instelf and Child Program flow will continue
Assigned to anjalib@samanvayfoundation.org</x18tc:text>
    <x18tc:mentions>
      <x18tc:mention mentionpersonId="{5175ac4e-7bdb-4a9b-8220-e40b6eca5016}" mentionId="{e78932d5-5385-4e83-9419-4c82e3f4a543}" startIndex="0" length="31"/>
    </x18tc:mentions>
  </x18tc:threadedComment>
  <x18tc:threadedComment ref="C10" dT="2025-09-27T11:47:11.00" personId="{e6adde95-f533-4a42-874d-4d6dc979634d}" id="{8c6b5213-8473-45ca-b593-25655f06e59a}" done="1">
    <x18tc:text xml:space="preserve">@anjalib@samanvayfoundation.org others do we need to add the text field to get the other details
Assigned to anjalib@samanvayfoundation.org</x18tc:text>
    <x18tc:mentions>
      <x18tc:mention mentionpersonId="{5175ac4e-7bdb-4a9b-8220-e40b6eca5016}" mentionId="{48bc6631-63b1-4d18-aec8-0da90ac4508a}" startIndex="0" length="31"/>
    </x18tc:mentions>
  </x18tc:threadedComment>
  <x18tc:threadedComment ref="C10" dT="2025-10-03T05:00:32.00" personId="{490e5175-706f-4761-b45e-8f205bc3b7b1}" id="{40317e64-7a25-4477-a4d7-79b339171145}" parentId="{8c6b5213-8473-45ca-b593-25655f06e59a}">
    <x18tc:text xml:space="preserve">@dineshg@samanvayfoundation.org yes this will be a text field. I added it
Reassigned to dineshg@samanvayfoundation.org</x18tc:text>
    <x18tc:mentions>
      <x18tc:mention mentionpersonId="{e7d4fcbd-926b-4052-aff0-3e0aa121bb04}" mentionId="{44ed6492-9761-4c6a-ba6a-8feaa93b1c62}" startIndex="0" length="31"/>
    </x18tc:mentions>
  </x18tc:threadedComment>
  <x18tc:threadedComment ref="J14" dT="2025-07-24T07:01:01.00" personId="{5507a277-1c99-44ae-aba1-a9413cc01353}" id="{26dd63fd-a156-4ca6-96bf-0695f2ba650f}" done="1">
    <x18tc:text xml:space="preserve">Space to write the reason and number of days after which the death happened</x18tc:text>
  </x18tc:threadedComment>
  <x18tc:threadedComment ref="J14" dT="2025-07-30T07:43:12.00" personId="{7878cda1-54b0-4f8a-af57-753262fea0d1}" id="{78f25f72-a045-4f67-86f7-bf0eb5301bf0}" parentId="{26dd63fd-a156-4ca6-96bf-0695f2ba650f}">
    <x18tc:text xml:space="preserve">@tnprogramlead@ekam.ngo Is the status of mother question is asked only to beneficiary who enrolled as preg women in our program and may die during delivery and we want to capture the reasons for the same and you want to capture status of their baby?</x18tc:text>
    <x18tc:mentions>
      <x18tc:mention mentionpersonId="{6b1965cd-f9e5-41d9-9910-17c486ada433}" mentionId="{4824735a-0a09-4f55-b8e3-3519baa97282}" startIndex="0" length="23"/>
    </x18tc:mentions>
  </x18tc:threadedComment>
  <x18tc:threadedComment ref="J14" dT="2025-07-30T13:18:37.00" personId="{7878cda1-54b0-4f8a-af57-753262fea0d1}" id="{f0663a3e-6bac-45c2-a7ca-5dac533d8e7a}" parentId="{26dd63fd-a156-4ca6-96bf-0695f2ba650f}">
    <x18tc:text xml:space="preserve">Discuss with Arjun how to capture this.</x18tc:text>
  </x18tc:threadedComment>
  <x18tc:threadedComment ref="J25" dT="2025-07-08T11:14:46.00" personId="{5507a277-1c99-44ae-aba1-a9413cc01353}" id="{bfb1cc40-d0be-4451-be7f-f8b900e935df}" done="1">
    <x18tc:text xml:space="preserve">Separate for baby and child</x18tc:text>
  </x18tc:threadedComment>
  <x18tc:threadedComment ref="J20" dT="2025-07-08T11:16:11.00" personId="{5507a277-1c99-44ae-aba1-a9413cc01353}" id="{eefe4c03-227d-4c35-bc2f-699801d7b450}" done="1">
    <x18tc:text xml:space="preserve">Mother can have fever, seizures, heavy bleeding</x18tc:text>
  </x18tc:threadedComment>
  <x18tc:threadedComment ref="J20" dT="2025-07-24T06:58:51.00" personId="{5507a277-1c99-44ae-aba1-a9413cc01353}" id="{19935745-0b04-4850-996b-84aa6481b7c4}" parentId="{eefe4c03-227d-4c35-bc2f-699801d7b450}">
    <x18tc:text xml:space="preserve">We need space to write the type of complication</x18tc:text>
  </x18tc:threadedComment>
  <x18tc:threadedComment ref="J20" dT="2025-07-30T07:20:00.00" personId="{7878cda1-54b0-4f8a-af57-753262fea0d1}" id="{549675f7-ca6d-4d7b-990a-52c2f79d1954}" parentId="{eefe4c03-227d-4c35-bc2f-699801d7b450}">
    <x18tc:text xml:space="preserve">@tnprogramlead@ekam.ngo this should be two separate questions for mother and child not a single question, if response to question is yes then followup question should be asked. I am making the changes please check if it works for you</x18tc:text>
    <x18tc:mentions>
      <x18tc:mention mentionpersonId="{6b1965cd-f9e5-41d9-9910-17c486ada433}" mentionId="{8a86710e-5149-4ef1-88c5-81476ffdd503}" startIndex="0" length="23"/>
    </x18tc:mentions>
  </x18tc:threadedComment>
  <x18tc:threadedComment ref="J20" dT="2025-07-31T04:49:42.00" personId="{5507a277-1c99-44ae-aba1-a9413cc01353}" id="{d1e25876-4d84-4702-b968-2a1fb9db778e}" parentId="{eefe4c03-227d-4c35-bc2f-699801d7b450}">
    <x18tc:text xml:space="preserve">Fine ji</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 dT="2025-09-23T07:50:55.00" personId="{490e5175-706f-4761-b45e-8f205bc3b7b1}" id="{ad1319f2-f4db-42f1-973d-08831be9641b}" done="1">
    <x18tc:text xml:space="preserve">@ashok.ku22@gmail.com @tnprogramlead@ekam.ngo can you verify this?
Assigned to ashok.ku22@gmail.com</x18tc:text>
    <x18tc:mentions>
      <x18tc:mention mentionpersonId="{835f2e36-b068-42e9-b126-dd1b06802c41}" mentionId="{893512d4-94bf-4269-ba0c-f45b55a88ec0}" startIndex="0" length="21"/>
      <x18tc:mention mentionpersonId="{6b1965cd-f9e5-41d9-9910-17c486ada433}" mentionId="{019ff094-2493-4946-a91a-d0b2b8a53c0d}" startIndex="22" length="23"/>
    </x18tc:mentions>
  </x18tc:threadedComment>
  <x18tc:threadedComment ref="I2" dT="2025-09-24T09:16:47.00" personId="{5507a277-1c99-44ae-aba1-a9413cc01353}" id="{044078c7-556d-44b7-9d2f-f6f131bf61c1}" parentId="{ad1319f2-f4db-42f1-973d-08831be9641b}">
    <x18tc:text xml:space="preserve">Revised the option</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1" dT="2025-09-19T05:13:03.00" personId="{7878cda1-54b0-4f8a-af57-753262fea0d1}" id="{103ee0cd-0c9a-4679-9c35-da1c19446b5e}" done="1">
    <x18tc:text xml:space="preserve">Add an additional data field for calculating this</x18tc:text>
  </x18tc:threadedComment>
  <x18tc:threadedComment ref="D4" dT="2025-11-24T04:31:57.00" personId="{72c1a079-4a4d-4686-9993-f18977bcc20d}" id="{511caab6-a4cf-44f5-80e7-488f02a67703}" done="1">
    <x18tc:text xml:space="preserve">@anjalib@samanvayfoundation.org its wrong in app
Assigned to anjalib@samanvayfoundation.org</x18tc:text>
    <x18tc:mentions>
      <x18tc:mention mentionpersonId="{5175ac4e-7bdb-4a9b-8220-e40b6eca5016}" mentionId="{a1f1d2c2-bc39-47b1-9ebf-56cc60a13bc9}" startIndex="0" length="31"/>
    </x18tc:mentions>
  </x18tc:threadedComment>
  <x18tc:threadedComment ref="D4" dT="2025-11-24T06:04:58.00" personId="{490e5175-706f-4761-b45e-8f205bc3b7b1}" id="{7c4cf216-cdd4-44ed-a0a6-3318457b5041}" parentId="{511caab6-a4cf-44f5-80e7-488f02a67703}">
    <x18tc:text xml:space="preserve">It will be text</x18tc:text>
  </x18tc:threadedComment>
  <x18tc:threadedComment ref="D7" dT="2025-09-29T09:48:42.00" personId="{2eef28f8-d98b-4213-9c46-359f771d9623}" id="{c2ddf9f0-2218-4103-bd10-637d6fe41eac}" done="1">
    <x18tc:text xml:space="preserve">making it multi-select</x18tc:text>
  </x18tc:threadedComment>
  <x18tc:threadedComment ref="C12" dT="2025-09-30T03:33:00.00" personId="{2eef28f8-d98b-4213-9c46-359f771d9623}" id="{134914f1-3f35-4969-8bce-cc85d42f7825}" done="0">
    <x18tc:text xml:space="preserve">This question is getting repeated</x18tc:text>
  </x18tc:threadedComment>
  <x18tc:threadedComment ref="C20" dT="2025-09-30T03:36:55.00" personId="{2eef28f8-d98b-4213-9c46-359f771d9623}" id="{3f295777-ad5a-4eec-ac7e-051dac70acb9}" done="1">
    <x18tc:text xml:space="preserve">No need of this question</x18tc:text>
  </x18tc:threadedComment>
  <x18tc:threadedComment ref="C34" dT="2025-09-17T03:57:22.00" personId="{7878cda1-54b0-4f8a-af57-753262fea0d1}" id="{c561e0c1-9650-4be3-bc58-699ae08cb87c}" done="1">
    <x18tc:text xml:space="preserve">@tnprogramlead@ekam.ngo  can you confirm if the 4 Qs highlighted in yellow are required or not as these will be asked for child who are enrolled after 42 days. I think we should remove it.
Assigned to tnprogramlead@ekam.ngo</x18tc:text>
    <x18tc:mentions>
      <x18tc:mention mentionpersonId="{6b1965cd-f9e5-41d9-9910-17c486ada433}" mentionId="{0d937c42-e6cf-491a-92e7-9214bf8244cb}" startIndex="0" length="23"/>
    </x18tc:mentions>
  </x18tc:threadedComment>
  <x18tc:threadedComment ref="C5" dT="2025-09-11T11:49:09.00" personId="{490e5175-706f-4761-b45e-8f205bc3b7b1}" id="{069b7ec9-7ee6-40c2-be53-83c94cbaf7d0}" done="1">
    <x18tc:text xml:space="preserve">@ashok.ku22@gmail.com I think this should be a numeric data type and based on the weight entered we can show the status
Assigned to ashok.ku22@gmail.com</x18tc:text>
    <x18tc:mentions>
      <x18tc:mention mentionpersonId="{835f2e36-b068-42e9-b126-dd1b06802c41}" mentionId="{27c71f70-8904-4f36-84d1-7e99d49dcd7c}" startIndex="0" length="21"/>
    </x18tc:mentions>
  </x18tc:threadedComment>
  <x18tc:threadedComment ref="C5" dT="2025-09-11T11:56:10.00" personId="{32466b1a-36e6-4419-8fba-1687ce6a2868}" id="{9dbcca56-533e-4589-b176-6c5419f9dbe9}" parentId="{069b7ec9-7ee6-40c2-be53-83c94cbaf7d0}">
    <x18tc:text xml:space="preserve">Agreed</x18tc:text>
  </x18tc:threadedComment>
  <x18tc:threadedComment ref="K15" dT="2025-10-24T05:28:07.00" personId="{392040e7-56f5-4c10-8c91-fbdcc01f44c5}" id="{131a9812-0e2f-44b5-8867-b8f4d90ceb18}" done="0">
    <x18tc:text xml:space="preserve">My suggestion would be we can remove the condition/validation rule as "Gravida refers to the total number of times a woman has been pregnant, regardless of the duration, outcome, or number of fetuses involved" We need to discuss critically important  @tnprogramlead@ekam.ngo
Assigned to tnprogramlead@ekam.ngo</x18tc:text>
    <x18tc:mentions>
      <x18tc:mention mentionpersonId="{6b1965cd-f9e5-41d9-9910-17c486ada433}" mentionId="{7d10d78d-66b6-459b-bec7-6658bc294a03}" startIndex="251" length="23"/>
    </x18tc:mentions>
  </x18tc:threadedComment>
  <x18tc:threadedComment ref="C38" dT="2025-07-28T16:35:47.00" personId="{43c03bef-fc3d-4e0e-b507-74e981014403}" id="{07cb6ac8-6a97-4fc6-a9a6-3ad2a81455c0}" done="1">
    <x18tc:text xml:space="preserve">Why is this in Individual registration? Normally this is in pregnancy enrolment</x18tc:text>
  </x18tc:threadedComment>
  <x18tc:threadedComment ref="C38" dT="2025-07-29T05:54:46.00" personId="{43c03bef-fc3d-4e0e-b507-74e981014403}" id="{d54fe9e4-a65d-4b61-a59a-a3109b198638}" parentId="{07cb6ac8-6a97-4fc6-a9a6-3ad2a81455c0}">
    <x18tc:text xml:space="preserve">So i learnt this for those children who's mother was not tracked in the program. Question is  is this even relevant then from the child's health perspective. We can always capture when that woman becomes pregnant again.</x18tc:text>
  </x18tc:threadedComment>
  <x18tc:threadedComment ref="C38" dT="2025-07-30T07:11:55.00" personId="{7878cda1-54b0-4f8a-af57-753262fea0d1}" id="{46a98811-ac0a-4f1a-946f-58167e518966}" parentId="{07cb6ac8-6a97-4fc6-a9a6-3ad2a81455c0}">
    <x18tc:text xml:space="preserve">@tnprogramlead@ekam.ngo please respond to this query and we can discuss further on a call if required</x18tc:text>
    <x18tc:mentions>
      <x18tc:mention mentionpersonId="{6b1965cd-f9e5-41d9-9910-17c486ada433}" mentionId="{b3642a31-46db-47e7-825a-407017ba8ca6}" startIndex="0" length="23"/>
    </x18tc:mentions>
  </x18tc:threadedComment>
  <x18tc:threadedComment ref="C38" dT="2025-07-31T04:39:07.00" personId="{5507a277-1c99-44ae-aba1-a9413cc01353}" id="{a9c54cf8-a19a-4e03-bcb2-fd8928ab8603}" parentId="{07cb6ac8-6a97-4fc6-a9a6-3ad2a81455c0}">
    <x18tc:text xml:space="preserve">As per donor requirement, Government registration ID is mandatory for every beneficiary, we need to get the Aadhar number or PICME, aadhar has always been a challenge, so we keep it optional and PICME we try to get for all the mothers..Sometimes though they register soon, the number gets generated at a later period of time, please suggest on that too, but we need this for all - pregnant women, mother and child.</x18tc:text>
  </x18tc:threadedComment>
  <x18tc:threadedComment ref="B5" dT="2025-09-19T07:13:42.00" personId="{490e5175-706f-4761-b45e-8f205bc3b7b1}" id="{4289c73c-1dff-461d-a3af-f32f99468e7b}" done="0">
    <x18tc:text xml:space="preserve">@himeshr@samanvayfoundation.org need to discuss with Arjun if we link the mother child through a question in the form or through add relationship? 
Note: We will keep the Delivery details of mother who are not registered but info is needed in a separate form call Status of Mother
Assigned to himeshr@samanvayfoundation.org</x18tc:text>
    <x18tc:mentions>
      <x18tc:mention mentionpersonId="{70475cfd-fd38-4105-9693-19ffed00b919}" mentionId="{aa862056-7563-4759-9e3d-c9385f4d8127}" startIndex="0" length="31"/>
    </x18tc:mentions>
  </x18tc:threadedComment>
  <x18tc:threadedComment ref="C2" dT="2025-11-06T06:40:59.00" personId="{e6adde95-f533-4a42-874d-4d6dc979634d}" id="{080ad2fd-9f2d-4d50-a9ae-e9f9b88e801f}" done="1">
    <x18tc:text xml:space="preserve">@anjalib@samanvayfoundation.org if the ask is yes for death then we dont need to schedule the child followup
Assigned to anjalib@samanvayfoundation.org</x18tc:text>
    <x18tc:mentions>
      <x18tc:mention mentionpersonId="{5175ac4e-7bdb-4a9b-8220-e40b6eca5016}" mentionId="{e3f530ce-f6b5-4515-800f-68c824f724aa}" startIndex="0" length="31"/>
    </x18tc:mentions>
  </x18tc:threadedComment>
  <x18tc:threadedComment ref="C2" dT="2025-11-24T06:02:10.00" personId="{490e5175-706f-4761-b45e-8f205bc3b7b1}" id="{8620e2b5-7120-4634-a50f-f13f3f5aef1a}" parentId="{080ad2fd-9f2d-4d50-a9ae-e9f9b88e801f}">
    <x18tc:text xml:space="preserve">yes</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7" dT="2025-10-14T07:42:45.00" personId="{392040e7-56f5-4c10-8c91-fbdcc01f44c5}" id="{fdf00b6b-6733-4123-9cb2-80d6343935ff}" done="1">
    <x18tc:text xml:space="preserve">We will remove "Over height (Tall)" Category as there is no such category as per WHO Child Growth Standards</x18tc:text>
  </x18tc:threadedComment>
  <x18tc:threadedComment ref="J27" dT="2025-10-17T11:41:26.00" personId="{490e5175-706f-4761-b45e-8f205bc3b7b1}" id="{3450561f-2dbc-452a-a773-b8758a63badd}" parentId="{fdf00b6b-6733-4123-9cb2-80d6343935ff}">
    <x18tc:text xml:space="preserve">@mnedofficer@ekam.ngo  If z-score &gt; +3 which category it will be? @ashok.ku22@gmail.com @tnprogramlead@ekam.ngo</x18tc:text>
    <x18tc:mentions>
      <x18tc:mention mentionpersonId="{e54f6afd-3e2a-431a-a2b4-85d24eed3d5f}" mentionId="{054eff67-03cf-4f38-9390-5cb1313ac33a}" startIndex="0" length="21"/>
      <x18tc:mention mentionpersonId="{835f2e36-b068-42e9-b126-dd1b06802c41}" mentionId="{0ad41d6a-9310-4fb3-8c09-83bb769ffa20}" startIndex="66" length="21"/>
      <x18tc:mention mentionpersonId="{6b1965cd-f9e5-41d9-9910-17c486ada433}" mentionId="{01b839c9-ecbf-45e7-a597-926bad885ce0}" startIndex="88" length="23"/>
    </x18tc:mentions>
  </x18tc:threadedComment>
  <x18tc:threadedComment ref="J27" dT="2025-10-17T12:03:56.00" personId="{392040e7-56f5-4c10-8c91-fbdcc01f44c5}" id="{da330a5a-1203-401b-a7ff-7dc7dafb382b}" parentId="{fdf00b6b-6733-4123-9cb2-80d6343935ff}">
    <x18tc:text xml:space="preserve">We can remove that category. Make "Normal" as ≥ -2. There is no need for an upper limit. "Normal" can be the last category. @anjalib@samanvayfoundation.org</x18tc:text>
    <x18tc:mentions>
      <x18tc:mention mentionpersonId="{5175ac4e-7bdb-4a9b-8220-e40b6eca5016}" mentionId="{1269a377-bbd8-47f6-a03b-9f928b3af8e6}" startIndex="124" length="31"/>
    </x18tc:mentions>
  </x18tc:threadedComment>
  <x18tc:threadedComment ref="C20" dT="2025-09-18T07:59:52.00" personId="{5507a277-1c99-44ae-aba1-a9413cc01353}" id="{a76ec849-6a75-429d-a021-36adb2abca77}" done="1">
    <x18tc:text xml:space="preserve">Can be shifted to breast feeding asssment form</x18tc:text>
  </x18tc:threadedComment>
  <x18tc:threadedComment ref="C20" dT="2025-09-19T07:54:45.00" personId="{7878cda1-54b0-4f8a-af57-753262fea0d1}" id="{9a2d08ce-5485-4736-b63a-3b5832b50d3e}" parentId="{a76ec849-6a75-429d-a021-36adb2abca77}">
    <x18tc:text xml:space="preserve">Marked as resolved</x18tc:text>
  </x18tc:threadedComment>
  <x18tc:threadedComment ref="C20" dT="2025-09-19T07:58:28.00" personId="{7878cda1-54b0-4f8a-af57-753262fea0d1}" id="{e671b66f-3979-4cef-82bf-0ed4de3df40a}" parentId="{a76ec849-6a75-429d-a021-36adb2abca77}">
    <x18tc:text xml:space="preserve">@tnprogramlead@ekam.ngo Why you want to shift this to assessment? Don't you want to know KMC child's breastfeeding status?</x18tc:text>
    <x18tc:mentions>
      <x18tc:mention mentionpersonId="{6b1965cd-f9e5-41d9-9910-17c486ada433}" mentionId="{2a297180-bc95-4ed5-9a10-7e238f8ba14c}" startIndex="0" length="23"/>
    </x18tc:mentions>
  </x18tc:threadedComment>
  <x18tc:threadedComment ref="J26" dT="2025-10-14T07:42:11.00" personId="{392040e7-56f5-4c10-8c91-fbdcc01f44c5}" id="{391b3ad0-10b2-4981-afd3-30c4d2994a2c}" done="1">
    <x18tc:text xml:space="preserve">We will add "Overweight" and "Obese" Category as per WHO Category @tnprogramlead@ekam.ngo @anjalib@samanvayfoundation.org @ashok.ku22@gmail.com
Assigned to tnprogramlead@ekam.ngo</x18tc:text>
    <x18tc:mentions>
      <x18tc:mention mentionpersonId="{6b1965cd-f9e5-41d9-9910-17c486ada433}" mentionId="{cf6eca62-3d03-496a-b72a-7cb4ee774fba}" startIndex="66" length="23"/>
      <x18tc:mention mentionpersonId="{5175ac4e-7bdb-4a9b-8220-e40b6eca5016}" mentionId="{a77cd514-82fc-4845-a842-859e6d99995e}" startIndex="90" length="31"/>
      <x18tc:mention mentionpersonId="{835f2e36-b068-42e9-b126-dd1b06802c41}" mentionId="{3cec8ccc-2d51-45f9-a70a-d2a01b1f75bc}" startIndex="122" length="21"/>
    </x18tc:mentions>
  </x18tc:threadedComment>
  <x18tc:threadedComment ref="J25" dT="2025-10-14T07:41:55.00" personId="{392040e7-56f5-4c10-8c91-fbdcc01f44c5}" id="{4ae3efe5-efa8-4dff-acb7-1372892912b5}" done="1">
    <x18tc:text xml:space="preserve">We will add "Overweight" and "Obese" Category as per WHO Category @tnprogramlead@ekam.ngo @anjalib@samanvayfoundation.org @ashok.ku22@gmail.com
Assigned to tnprogramlead@ekam.ngo</x18tc:text>
    <x18tc:mentions>
      <x18tc:mention mentionpersonId="{6b1965cd-f9e5-41d9-9910-17c486ada433}" mentionId="{360104c4-3458-4c16-95ae-4866054da938}" startIndex="66" length="23"/>
      <x18tc:mention mentionpersonId="{5175ac4e-7bdb-4a9b-8220-e40b6eca5016}" mentionId="{192e1007-afe6-4a7f-8bea-55834a4e9ae3}" startIndex="90" length="31"/>
      <x18tc:mention mentionpersonId="{835f2e36-b068-42e9-b126-dd1b06802c41}" mentionId="{ce17b6e9-7186-4690-b706-a2cf78ee39f5}" startIndex="122" length="21"/>
    </x18tc:mentions>
  </x18tc:threadedComment>
  <x18tc:threadedComment ref="A21" dT="2025-07-24T10:53:42.00" personId="{7878cda1-54b0-4f8a-af57-753262fea0d1}" id="{b47aa477-2a15-4817-877e-86d2bbfb828a}" done="1">
    <x18tc:text xml:space="preserve">Monthly entries</x18tc:text>
  </x18tc:threadedComment>
  <x18tc:threadedComment ref="C20" dT="2025-08-01T03:58:52.00" personId="{32466b1a-36e6-4419-8fba-1687ce6a2868}" id="{cfb7ba00-19c8-42e3-ad7e-d8361f8d17db}" done="1">
    <x18tc:text xml:space="preserve">@tnprogramlead@ekam.ngo  What are options for this Q. Please add them</x18tc:text>
    <x18tc:mentions>
      <x18tc:mention mentionpersonId="{6b1965cd-f9e5-41d9-9910-17c486ada433}" mentionId="{3b087dcf-f9a3-430b-9d33-7290646c50cd}" startIndex="0" length="23"/>
    </x18tc:mentions>
  </x18tc:threadedComment>
  <x18tc:threadedComment ref="C20" dT="2025-08-01T05:37:20.00" personId="{5507a277-1c99-44ae-aba1-a9413cc01353}" id="{fad858b3-6d3f-4299-aeae-453f01aac180}" parentId="{cfb7ba00-19c8-42e3-ad7e-d8361f8d17db}">
    <x18tc:text xml:space="preserve">Added</x18tc:text>
  </x18tc:threadedComment>
  <x18tc:threadedComment ref="C37" dT="2025-09-24T09:18:20.00" personId="{490e5175-706f-4761-b45e-8f205bc3b7b1}" id="{b1466757-34a2-420c-bf4d-be4b618d759b}" done="1">
    <x18tc:text xml:space="preserve">@ashok.ku22@gmail.com @tnprogramlead@ekam.ngo do we need to add the logic of not showing the counselling points that are already given once?
Assigned to ashok.ku22@gmail.com</x18tc:text>
    <x18tc:mentions>
      <x18tc:mention mentionpersonId="{835f2e36-b068-42e9-b126-dd1b06802c41}" mentionId="{1a0c14b1-a658-41ad-bea1-9a365dc40361}" startIndex="0" length="21"/>
      <x18tc:mention mentionpersonId="{6b1965cd-f9e5-41d9-9910-17c486ada433}" mentionId="{157a66b9-7c77-4ed6-accc-6f302b65e73e}" startIndex="22" length="23"/>
    </x18tc:mentions>
  </x18tc:threadedComment>
  <x18tc:threadedComment ref="C37" dT="2025-09-24T09:35:37.00" personId="{5507a277-1c99-44ae-aba1-a9413cc01353}" id="{97d254aa-b8b6-44ff-9eae-ef99d8715637}" parentId="{b1466757-34a2-420c-bf4d-be4b618d759b}">
    <x18tc:text xml:space="preserve">yes ji, under health education, they should be able to select the topic only once.  Because we will need count on how many mothers have been trained on a specific topic..If they are able to select a topic more than once then this would become challenging.</x18tc:text>
    <x18tc:extLst>
      <ext uri="{F7C98A9C-CBB3-438F-8F68-D28B6AF4A901}">
        <xltc2:checksum/>
        <xltc2:hyperlink startIndex="163" length="9" url="http://topic..If"/>
      </ext>
    </x18tc:extLst>
  </x18tc:threadedComment>
  <x18tc:threadedComment ref="C18" dT="2025-10-06T04:13:47.00" personId="{490e5175-706f-4761-b45e-8f205bc3b7b1}" id="{99b57626-1981-4b83-8b82-ac0dd10e7dba}" done="1">
    <x18tc:text xml:space="preserve">@tnprogramlead@ekam.ngo @ashok.ku22@gmail.com KMC Day 1 starts from Date of Delivery or from the question KMC started on?
Assigned to tnprogramlead@ekam.ngo</x18tc:text>
    <x18tc:mentions>
      <x18tc:mention mentionpersonId="{6b1965cd-f9e5-41d9-9910-17c486ada433}" mentionId="{d0001422-c5bb-4008-b8b7-e80e16af5acc}" startIndex="0" length="23"/>
      <x18tc:mention mentionpersonId="{835f2e36-b068-42e9-b126-dd1b06802c41}" mentionId="{72ac7856-47dc-4f54-9379-e439891bfcc6}" startIndex="24" length="21"/>
    </x18tc:mentions>
  </x18tc:threadedComment>
  <x18tc:threadedComment ref="C18" dT="2025-10-09T09:35:11.00" personId="{7878cda1-54b0-4f8a-af57-753262fea0d1}" id="{caeebe92-aca3-4fe1-8e66-ad5901388617}" parentId="{99b57626-1981-4b83-8b82-ac0dd10e7dba}">
    <x18tc:text xml:space="preserve">Date of Delivery</x18tc:text>
  </x18tc:threadedComment>
  <x18tc:threadedComment ref="C18" dT="2025-09-19T06:20:15.00" personId="{490e5175-706f-4761-b45e-8f205bc3b7b1}" id="{1eabde0f-600c-492a-8dbe-e084e86f3d08}" done="1">
    <x18tc:text xml:space="preserve">@anjali This will be captured till 7 weeks. Health Workers will capture this data end of each week. Each follow up till 7th week we need to show what was last week Avg and this week how much KMC given</x18tc:text>
  </x18tc:threadedComment>
  <x18tc:threadedComment ref="C13" dT="2025-09-11T11:27:51.00" personId="{490e5175-706f-4761-b45e-8f205bc3b7b1}" id="{631273a6-fcbb-4e73-8c9d-b5d06d0ea969}" done="1">
    <x18tc:text xml:space="preserve">@ashok.ku22@gmail.com 1. Should have a option of No danger signs
2. If any of the danger signs are selected in this question, and answer to question "Do you think Child needs further referral?" is Yes, do we scheduled the Referral to hospital form or when 
If yes when to schedule it?
Assigned to ashok.ku22@gmail.com</x18tc:text>
    <x18tc:mentions>
      <x18tc:mention mentionpersonId="{835f2e36-b068-42e9-b126-dd1b06802c41}" mentionId="{62260f59-2725-46d7-a7d8-6853cb9c209f}" startIndex="0" length="21"/>
    </x18tc:mentions>
  </x18tc:threadedComment>
  <x18tc:threadedComment ref="C13" dT="2025-09-11T12:22:40.00" personId="{32466b1a-36e6-4419-8fba-1687ce6a2868}" id="{b4db70c7-21ff-4023-b88b-4ec178647447}" parentId="{631273a6-fcbb-4e73-8c9d-b5d06d0ea969}">
    <x18tc:text xml:space="preserve">1. We will add no danger signs option. Agreed
2. Yes as mentioned by it AND condition danger sign 
+ yes to Q. schedule part I will confirm</x18tc:text>
  </x18tc:threadedComment>
  <x18tc:threadedComment ref="C9" dT="2025-10-29T11:18:21.00" personId="{392040e7-56f5-4c10-8c91-fbdcc01f44c5}" id="{3e7e95bb-0515-4d56-90b6-1ca1a2daa868}" done="1">
    <x18tc:text xml:space="preserve">Change the question to : Does the children receive Nutrition support from Ekam.</x18tc:text>
  </x18tc:threadedComment>
  <x18tc:threadedComment ref="D2" dT="2025-09-18T07:43:34.00" personId="{5507a277-1c99-44ae-aba1-a9413cc01353}" id="{222c0526-d6b2-4747-8b93-5af6faa831b4}" done="1">
    <x18tc:text xml:space="preserve">Not filled</x18tc:text>
  </x18tc:threadedComment>
  <x18tc:threadedComment ref="C19" dT="2025-09-18T08:14:15.00" personId="{5507a277-1c99-44ae-aba1-a9413cc01353}" id="{b120c212-6f76-4f96-93e1-341cf073015f}" done="1">
    <x18tc:text xml:space="preserve">Can KMC  be a separate form, in the app</x18tc:text>
  </x18tc:threadedComment>
  <x18tc:threadedComment ref="K25" dT="2025-10-03T10:18:14.00" personId="{490e5175-706f-4761-b45e-8f205bc3b7b1}" id="{2b9f4922-3311-4cd9-a852-f691016ed0e7}" done="1">
    <x18tc:text xml:space="preserve">@ashok.ku22@gmail.com @tnprogramlead@ekam.ngo can you confirm is this range tags are correct?
Assigned to ashok.ku22@gmail.com</x18tc:text>
    <x18tc:mentions>
      <x18tc:mention mentionpersonId="{835f2e36-b068-42e9-b126-dd1b06802c41}" mentionId="{ebf6cc9b-7c90-4611-a9f9-1b80750a9553}" startIndex="0" length="21"/>
      <x18tc:mention mentionpersonId="{6b1965cd-f9e5-41d9-9910-17c486ada433}" mentionId="{4c4c6b76-5ea3-44a3-81aa-ca9e02f8a016}" startIndex="22" length="23"/>
    </x18tc:mentions>
  </x18tc:threadedComment>
  <x18tc:threadedComment ref="K25" dT="2025-10-09T09:40:25.00" personId="{5507a277-1c99-44ae-aba1-a9413cc01353}" id="{8c83931d-9f58-458e-b38c-8acaf00a1eda}" parentId="{2b9f4922-3311-4cd9-a852-f691016ed0e7}">
    <x18tc:text xml:space="preserve">Yes, the range tags are correct, only exception is when a child has bilateral pitting edema, even if the z-scores are normal, it is categorized as SAM child</x18tc:text>
  </x18tc:threadedComment>
  <x18tc:threadedComment ref="K25" dT="2025-10-09T09:45:20.00" personId="{7878cda1-54b0-4f8a-af57-753262fea0d1}" id="{d66fcf52-d432-4fad-a290-5ee719e9dfde}" parentId="{2b9f4922-3311-4cd9-a852-f691016ed0e7}">
    <x18tc:text xml:space="preserve">can we add a Q asking if child has bilateral pitting edema (Yes,No) accordingly.
1 total reaction
Manickam S reacted with 👍 at 2025-10-14 08:13 AM</x18tc:text>
  </x18tc:threadedComment>
  <x18tc:threadedComment ref="K25" dT="2025-10-14T06:48:25.00" personId="{392040e7-56f5-4c10-8c91-fbdcc01f44c5}" id="{1c9a950a-416a-40cb-adeb-5bb9ef1d5be7}" parentId="{2b9f4922-3311-4cd9-a852-f691016ed0e7}">
    <x18tc:text xml:space="preserve">For "Overweight," change the range to &gt; +2 SD to ≤ +3 SD. Add a new category, "Obese," with a range of &gt; +3 SD. Confirm these changes. Also, please add a question asking if the child has bilateral pitting oedema (Yes/No) after the z-score question. The child should be categorised as SAM or MAM, even if z-scores are normal, if bilateral pitting oedema is present (Yes). @anjalib@samanvayfoundation.org</x18tc:text>
    <x18tc:mentions>
      <x18tc:mention mentionpersonId="{5175ac4e-7bdb-4a9b-8220-e40b6eca5016}" mentionId="{d8074e00-dc85-4ddb-98ff-4af8390a2b05}" startIndex="371" length="31"/>
    </x18tc:mentions>
  </x18tc:threadedComment>
  <x18tc:threadedComment ref="K25" dT="2025-10-14T08:15:50.00" personId="{392040e7-56f5-4c10-8c91-fbdcc01f44c5}" id="{149a049a-afb8-4cda-bc2a-8ab7c994c4c8}" parentId="{2b9f4922-3311-4cd9-a852-f691016ed0e7}">
    <x18tc:text xml:space="preserve">Should we need to incorporate MUAC as a criterion for children aged 6 to 59 months, using a population reference. Should we measure MUAC during data collection, or provide options like these MUAC cutoffs: &lt;115 mm (or &lt;11.5 cm) / ≥115 mm and &lt;125 mm (or &lt;12.5 cm) / ≥125 mm (or ≥12.5 cm)?</x18tc:text>
  </x18tc:threadedComment>
  <x18tc:threadedComment ref="K25" dT="2025-10-17T04:59:39.00" personId="{7878cda1-54b0-4f8a-af57-753262fea0d1}" id="{aff4d959-1486-44b1-b192-b0fd8d2f97b1}" parentId="{2b9f4922-3311-4cd9-a852-f691016ed0e7}">
    <x18tc:text xml:space="preserve">@mnedofficer@ekam.ngo is the above question related to MUAC for Mythili or Anjali. can you clarify ? how is MUAC related to this question
Reassigned to mnedofficer@ekam.ngo</x18tc:text>
    <x18tc:mentions>
      <x18tc:mention mentionpersonId="{e54f6afd-3e2a-431a-a2b4-85d24eed3d5f}" mentionId="{ae5853b4-a6c7-4ee8-a7cd-605f20205080}" startIndex="0" length="21"/>
    </x18tc:mentions>
  </x18tc:threadedComment>
  <x18tc:threadedComment ref="K25" dT="2025-10-17T05:32:48.00" personId="{392040e7-56f5-4c10-8c91-fbdcc01f44c5}" id="{053e21a7-a7e9-4c1c-9f0a-d326ab25c10b}" parentId="{2b9f4922-3311-4cd9-a852-f691016ed0e7}">
    <x18tc:text xml:space="preserve">The MUAC was related to Wasting status in the field or community level since the MUAC (Mid-Upper Arm Circumference) and bilateral pitting edema are the fastest, most effective tools for assessing wasting status (acute malnutrition). The standard, officially adopted MUAC cut-off range for diagnosing Severe Acute Malnutrition (SAM) and Moderate Acute Malnutrition (MAM) in children aged 6–59 months in India aligns with the World Health Organization (WHO) guidelines. This was question asked to @tnprogramlead@ekam.ngo
Reassigned to tnprogramlead@ekam.ngo</x18tc:text>
    <x18tc:mentions>
      <x18tc:mention mentionpersonId="{6b1965cd-f9e5-41d9-9910-17c486ada433}" mentionId="{c65a78fc-f9e6-4b8c-a854-cd60d2c72a98}" startIndex="495" length="23"/>
    </x18tc:mentions>
  </x18tc:threadedComment>
  <x18tc:threadedComment ref="K25" dT="2025-10-17T12:18:28.00" personId="{490e5175-706f-4761-b45e-8f205bc3b7b1}" id="{04944bfd-e76d-4512-86a8-f0d554217573}" parentId="{2b9f4922-3311-4cd9-a852-f691016ed0e7}">
    <x18tc:text xml:space="preserve">@mnedofficer@ekam.ngo I did not understand the requirement for this. Can you please add here what needs to be done for this question?
Reassigned to mnedofficer@ekam.ngo</x18tc:text>
    <x18tc:mentions>
      <x18tc:mention mentionpersonId="{e54f6afd-3e2a-431a-a2b4-85d24eed3d5f}" mentionId="{3e8ce97e-1518-4af4-80cf-a4a5c6fb7ac8}" startIndex="0" length="21"/>
    </x18tc:mentions>
  </x18tc:threadedComment>
  <x18tc:threadedComment ref="K25" dT="2025-10-17T13:33:55.00" personId="{392040e7-56f5-4c10-8c91-fbdcc01f44c5}" id="{fec477ab-64fc-4114-83cd-d9de37ca8161}" parentId="{2b9f4922-3311-4cd9-a852-f691016ed0e7}">
    <x18tc:text xml:space="preserve">We need to add the question "Does the child have bilateral pitting edema?" (Yes/No) before the Z-score question. The responses should be tied to the assessment, so children with bilateral pitting edema are categorised as SAM, even with normal Z-scores for this question @anjalib@samanvayfoundation.org
Reassigned to anjalib@samanvayfoundation.org</x18tc:text>
    <x18tc:mentions>
      <x18tc:mention mentionpersonId="{5175ac4e-7bdb-4a9b-8220-e40b6eca5016}" mentionId="{9bfcd549-3f7a-4e6d-a789-86be1f8dabbb}" startIndex="270" length="31"/>
    </x18tc:mentions>
  </x18tc:threadedComment>
  <x18tc:threadedComment ref="K27" dT="2025-10-03T10:19:08.00" personId="{490e5175-706f-4761-b45e-8f205bc3b7b1}" id="{f79032a4-5898-402d-ba72-380e64ee316b}" done="1">
    <x18tc:text xml:space="preserve">@ashok.ku22@gmail.com @tnprogramlead@ekam.ngo can you confirm if these tags are correct
Assigned to ashok.ku22@gmail.com</x18tc:text>
    <x18tc:mentions>
      <x18tc:mention mentionpersonId="{835f2e36-b068-42e9-b126-dd1b06802c41}" mentionId="{b23f674e-6375-4209-a844-f62b84a5c469}" startIndex="0" length="21"/>
      <x18tc:mention mentionpersonId="{6b1965cd-f9e5-41d9-9910-17c486ada433}" mentionId="{bbd92732-972c-424d-83b9-c37ad1136beb}" startIndex="22" length="23"/>
    </x18tc:mentions>
  </x18tc:threadedComment>
  <x18tc:threadedComment ref="K27" dT="2025-10-14T07:19:10.00" personId="{392040e7-56f5-4c10-8c91-fbdcc01f44c5}" id="{f0d03869-fabd-4462-86a8-f5796e664699}" parentId="{f79032a4-5898-402d-ba72-380e64ee316b}">
    <x18tc:text xml:space="preserve">"Over height (Tall)" categorization is not present according to Child Malnutrition classification @anjalib@samanvayfoundation.org @tnprogramlead@ekam.ngo @ashok.ku22@gmail.com</x18tc:text>
    <x18tc:mentions>
      <x18tc:mention mentionpersonId="{5175ac4e-7bdb-4a9b-8220-e40b6eca5016}" mentionId="{79df81e2-3c3a-457e-8829-b4fde5d1715b}" startIndex="98" length="31"/>
      <x18tc:mention mentionpersonId="{6b1965cd-f9e5-41d9-9910-17c486ada433}" mentionId="{6dfa4821-b818-470e-98ba-eb5b00b7b293}" startIndex="130" length="23"/>
      <x18tc:mention mentionpersonId="{835f2e36-b068-42e9-b126-dd1b06802c41}" mentionId="{57b8a18f-87df-4eb3-bf69-3d2ba39e5099}" startIndex="154" length="21"/>
    </x18tc:mentions>
  </x18tc:threadedComment>
  <x18tc:threadedComment ref="K27" dT="2025-10-17T05:02:01.00" personId="{7878cda1-54b0-4f8a-af57-753262fea0d1}" id="{09a80e8f-7ca4-489d-bbc8-9d193954f3cd}" parentId="{f79032a4-5898-402d-ba72-380e64ee316b}">
    <x18tc:text xml:space="preserve">@mnedofficer@ekam.ngo manickham only include changes that Anjali needs to update. The comments should be added after internally discussed and confirmed to avoid confusion</x18tc:text>
    <x18tc:mentions>
      <x18tc:mention mentionpersonId="{e54f6afd-3e2a-431a-a2b4-85d24eed3d5f}" mentionId="{a8b3bca7-c1b8-492a-b984-f7d33e524f8c}" startIndex="0" length="21"/>
    </x18tc:mentions>
  </x18tc:threadedComment>
  <x18tc:threadedComment ref="K27" dT="2025-10-17T05:59:26.00" personId="{392040e7-56f5-4c10-8c91-fbdcc01f44c5}" id="{0a46f491-8527-4ed1-ab65-1db34235660c}" parentId="{f79032a4-5898-402d-ba72-380e64ee316b}">
    <x18tc:text xml:space="preserve">We can remove the "Over-height (Tall)" categorization. As per any National level NFHS or DHS survey and related literature, "Over height (Tall)" is not classified, so we can remove that range, and the other category ranges are correct. @anjalib@samanvayfoundation.org
Reassigned to anjalib@samanvayfoundation.org</x18tc:text>
    <x18tc:mentions>
      <x18tc:mention mentionpersonId="{5175ac4e-7bdb-4a9b-8220-e40b6eca5016}" mentionId="{7ea9d061-47d8-46d0-b312-5177b5f76d74}" startIndex="236" length="31"/>
    </x18tc:mentions>
  </x18tc:threadedComment>
  <x18tc:threadedComment ref="K27" dT="2025-10-17T11:33:58.00" personId="{490e5175-706f-4761-b45e-8f205bc3b7b1}" id="{baabe3ef-e298-43d1-9a1a-e0a5ecd8e66d}" parentId="{f79032a4-5898-402d-ba72-380e64ee316b}">
    <x18tc:text xml:space="preserve">Marked as done</x18tc:text>
  </x18tc:threadedComment>
  <x18tc:threadedComment ref="K27" dT="2025-10-17T11:34:24.00" personId="{490e5175-706f-4761-b45e-8f205bc3b7b1}" id="{8a77b8d1-02a4-4969-a1ef-cf38ebd627fd}" parentId="{f79032a4-5898-402d-ba72-380e64ee316b}">
    <x18tc:text xml:space="preserve">Re-opened</x18tc:text>
  </x18tc:threadedComment>
  <x18tc:threadedComment ref="K27" dT="2025-10-17T11:50:57.00" personId="{490e5175-706f-4761-b45e-8f205bc3b7b1}" id="{562593f1-9797-47ad-a781-db94d525cd6a}" parentId="{f79032a4-5898-402d-ba72-380e64ee316b}">
    <x18tc:text xml:space="preserve">@mnedofficer@ekam.ngo what category to include if : z-score &gt; +3
Reassigned to mnedofficer@ekam.ngo</x18tc:text>
    <x18tc:mentions>
      <x18tc:mention mentionpersonId="{e54f6afd-3e2a-431a-a2b4-85d24eed3d5f}" mentionId="{840ceb23-1652-4731-8cc6-d214e8982b70}" startIndex="0" length="21"/>
    </x18tc:mentions>
  </x18tc:threadedComment>
  <x18tc:threadedComment ref="K27" dT="2025-10-17T12:00:34.00" personId="{392040e7-56f5-4c10-8c91-fbdcc01f44c5}" id="{24944a11-87c0-4a66-8b67-d04505b357e5}" parentId="{f79032a4-5898-402d-ba72-380e64ee316b}">
    <x18tc:text xml:space="preserve">We can remove that category. Make "Normal" as ≥ -2. There is no need for an upper limit. "Normal" can be the last category. @anjalib@samanvayfoundation.org
Reassigned to anjalib@samanvayfoundation.org</x18tc:text>
    <x18tc:mentions>
      <x18tc:mention mentionpersonId="{5175ac4e-7bdb-4a9b-8220-e40b6eca5016}" mentionId="{b9374c0a-2b12-4b39-9146-9480cd0c0f7d}" startIndex="124" length="31"/>
    </x18tc:mentions>
  </x18tc:threadedComment>
  <x18tc:threadedComment ref="K26" dT="2025-10-03T10:18:18.00" personId="{490e5175-706f-4761-b45e-8f205bc3b7b1}" id="{25c733c2-e81a-45e5-8765-7ca6f001d39c}" done="1">
    <x18tc:text xml:space="preserve">@ashok.ku22@gmail.com @tnprogramlead@ekam.ngo can you confirm is this range tags are correct?
Assigned to ashok.ku22@gmail.com</x18tc:text>
    <x18tc:mentions>
      <x18tc:mention mentionpersonId="{835f2e36-b068-42e9-b126-dd1b06802c41}" mentionId="{198b7c14-ad39-4a7c-969e-b7bb5258e6fa}" startIndex="0" length="21"/>
      <x18tc:mention mentionpersonId="{6b1965cd-f9e5-41d9-9910-17c486ada433}" mentionId="{9bc71175-a92e-450c-b8bd-33768e5fb17f}" startIndex="22" length="23"/>
    </x18tc:mentions>
  </x18tc:threadedComment>
  <x18tc:threadedComment ref="K26" dT="2025-10-14T07:08:44.00" personId="{392040e7-56f5-4c10-8c91-fbdcc01f44c5}" id="{84c916f0-a2c0-452d-bbb6-5b11ed63a78e}" parentId="{25c733c2-e81a-45e5-8765-7ca6f001d39c}">
    <x18tc:text xml:space="preserve">Except for "Overweight," which is &gt; +2 SD to ≤ +3 SD, and the addition of a new category, "Obese," which is &gt; +3 SD. We can use these ranges for categorisation. @anjalib@samanvayfoundation.org</x18tc:text>
    <x18tc:mentions>
      <x18tc:mention mentionpersonId="{5175ac4e-7bdb-4a9b-8220-e40b6eca5016}" mentionId="{82bace81-c938-4415-980f-124cffae9116}" startIndex="161" length="31"/>
    </x18tc:mentions>
  </x18tc:threadedComment>
  <x18tc:threadedComment ref="K26" dT="2025-10-17T05:03:49.00" personId="{7878cda1-54b0-4f8a-af57-753262fea0d1}" id="{e433c013-35f8-4799-a3e3-b86b5b871ed5}" parentId="{25c733c2-e81a-45e5-8765-7ca6f001d39c}">
    <x18tc:text xml:space="preserve">@anjalib@samanvayfoundation.org have you noted down this change. Any further clarification required?</x18tc:text>
    <x18tc:mentions>
      <x18tc:mention mentionpersonId="{5175ac4e-7bdb-4a9b-8220-e40b6eca5016}" mentionId="{70ce8f28-e69f-428c-9fdc-54f497144080}" startIndex="0" length="31"/>
    </x18tc:mentions>
  </x18tc:threadedComment>
  <x18tc:threadedComment ref="K26" dT="2025-10-17T08:37:57.00" personId="{490e5175-706f-4761-b45e-8f205bc3b7b1}" id="{7d9ca725-0d61-4ded-ab6c-10ab8ddf5495}" parentId="{25c733c2-e81a-45e5-8765-7ca6f001d39c}">
    <x18tc:text xml:space="preserve">@ashok.ku22@gmail.com noted</x18tc:text>
    <x18tc:mentions>
      <x18tc:mention mentionpersonId="{835f2e36-b068-42e9-b126-dd1b06802c41}" mentionId="{b55257b5-f013-42c5-a9bf-beedae09b9d8}" startIndex="0" length="21"/>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 dT="2025-09-26T06:54:15.00" personId="{7878cda1-54b0-4f8a-af57-753262fea0d1}" id="{0c4bd7ec-4d62-4d43-a0b0-538b5ff41686}" done="1">
    <x18tc:text xml:space="preserve">@tnprogramlead@ekam.ngo update child options</x18tc:text>
    <x18tc:mentions>
      <x18tc:mention mentionpersonId="{6b1965cd-f9e5-41d9-9910-17c486ada433}" mentionId="{15342511-ba1a-41cd-815a-ab7d3cf88a0b}" startIndex="0" length="23"/>
    </x18tc:mentions>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 dT="2025-08-01T04:07:19.00" personId="{32466b1a-36e6-4419-8fba-1687ce6a2868}" id="{90603130-21d1-4dac-878f-13ad09d6d492}" done="1">
    <x18tc:text xml:space="preserve">As mentioned by Mythili : we are considering children under 1 year of age, later we might expand to 5 years</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24T12:57:21.00" personId="{7878cda1-54b0-4f8a-af57-753262fea0d1}" id="{68e6a958-1466-4dc0-8334-89f4120245df}" done="0">
    <x18tc:text xml:space="preserve">@anjalib@samanvayfoundation.org can we remove this form as we have vaccination_checklist form</x18tc:text>
    <x18tc:mentions>
      <x18tc:mention mentionpersonId="{5175ac4e-7bdb-4a9b-8220-e40b6eca5016}" mentionId="{3cc01cb5-5386-4fa2-903a-ebe4d2c2376b}" startIndex="0" length="31"/>
    </x18tc:mentions>
  </x18tc:threadedComment>
  <x18tc:threadedComment ref="A1" dT="2025-10-24T13:03:27.00" personId="{490e5175-706f-4761-b45e-8f205bc3b7b1}" id="{f9e66a5f-6fd9-483c-a359-a98425bde145}" parentId="{68e6a958-1466-4dc0-8334-89f4120245df}">
    <x18tc:text xml:space="preserve">Creating this as a checklist only. I will hide this</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5-10-23T10:05:20.00" personId="{490e5175-706f-4761-b45e-8f205bc3b7b1}" id="{2471bc0c-c740-4860-b80d-2e0752511dc3}" done="0">
    <x18tc:text xml:space="preserve">@mnedofficer@ekam.ngo what does Day 42 mean in the recommended age?
Assigned to mnedofficer@ekam.ngo</x18tc:text>
    <x18tc:mentions>
      <x18tc:mention mentionpersonId="{e54f6afd-3e2a-431a-a2b4-85d24eed3d5f}" mentionId="{7ed67048-8a9e-4117-8231-71fbfcceab0f}" startIndex="0" length="21"/>
    </x18tc:mentions>
  </x18tc:threadedComment>
  <x18tc:threadedComment ref="B5" dT="2025-10-24T05:46:51.00" personId="{392040e7-56f5-4c10-8c91-fbdcc01f44c5}" id="{d6055a92-bc35-4142-a876-26ba8d580323}" parentId="{2471bc0c-c740-4860-b80d-2e0752511dc3}">
    <x18tc:text xml:space="preserve">The ideal age or time (in days/ weeks/months) when the vaccine should be given to maximize its effectiveness. Here the 42nd Day is ideal day for giving the corresponding vaccine. @anjalib@samanvayfoundation.org I will convert the days into weeks/months into days by today.</x18tc:text>
    <x18tc:mentions>
      <x18tc:mention mentionpersonId="{5175ac4e-7bdb-4a9b-8220-e40b6eca5016}" mentionId="{46996b62-50fc-40ee-960f-32d59b342f73}" startIndex="179" length="31"/>
    </x18tc:mentions>
  </x18tc:threadedComment>
  <x18tc:threadedComment ref="B27" dT="2025-10-24T05:59:51.00" personId="{392040e7-56f5-4c10-8c91-fbdcc01f44c5}" id="{0e8cf50e-eff0-4d38-94b0-66995d18ca45}" done="0">
    <x18tc:text xml:space="preserve">Check on this too @anjalib@samanvayfoundation.org to know the difference between Due by (days)/Critical (days) / Overdue(days) / Expired (days) to have a clarity. I will change all the weeks/months to days.
Assigned to anjalib@samanvayfoundation.org</x18tc:text>
    <x18tc:mentions>
      <x18tc:mention mentionpersonId="{5175ac4e-7bdb-4a9b-8220-e40b6eca5016}" mentionId="{a8d1b4e6-e88b-48e5-82b0-db26251005ba}" startIndex="18" length="31"/>
    </x18tc:mentions>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15T11:28:26.00" personId="{7878cda1-54b0-4f8a-af57-753262fea0d1}" id="{fc6fd552-1a02-4ef0-ac8f-9312c558ee23}" done="1">
    <x18tc:text xml:space="preserve">@tnprogramlead@ekam.ngo @anjalib@samanvayfoundation.org Discuss the flow of Qs and scheduling during today's call</x18tc:text>
    <x18tc:mentions>
      <x18tc:mention mentionpersonId="{6b1965cd-f9e5-41d9-9910-17c486ada433}" mentionId="{2f67d63a-5735-4f35-bba5-9f6c271adf75}" startIndex="0" length="23"/>
      <x18tc:mention mentionpersonId="{5175ac4e-7bdb-4a9b-8220-e40b6eca5016}" mentionId="{3ad83f76-3245-403b-b0c4-01c21cdfc5a0}" startIndex="24" length="31"/>
    </x18tc:mentions>
  </x18tc:threadedComment>
  <x18tc:threadedComment ref="J4" dT="2025-09-11T12:25:22.00" personId="{32466b1a-36e6-4419-8fba-1687ce6a2868}" id="{01dc4c92-9f60-4d25-a25b-30248d15af15}" done="1">
    <x18tc:text xml:space="preserve">@tnprogramlead@ekam.ngo  Mythili to add options for all types risks</x18tc:text>
    <x18tc:mentions>
      <x18tc:mention mentionpersonId="{6b1965cd-f9e5-41d9-9910-17c486ada433}" mentionId="{4a2d18a6-83b8-415a-8e67-d44022afb35f}" startIndex="0" length="23"/>
    </x18tc:mentions>
  </x18tc:threadedComment>
</x18tc:ThreadedComments>
</file>

<file path=xl/threadedComments/threadedComment2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9" dT="2025-07-11T08:19:32.00" personId="{7878cda1-54b0-4f8a-af57-753262fea0d1}" id="{459edca5-9b7f-4a7a-a8a0-9bd0a28e5425}" done="1">
    <x18tc:text xml:space="preserve">@tnprogramlead@ekam.ngo write options</x18tc:text>
    <x18tc:mentions>
      <x18tc:mention mentionpersonId="{6b1965cd-f9e5-41d9-9910-17c486ada433}" mentionId="{6834c58a-3a5f-488c-9675-f1612fbd9e29}" startIndex="0" length="23"/>
    </x18tc:mentions>
  </x18tc:threadedComment>
  <x18tc:threadedComment ref="C5" dT="2025-09-25T04:55:59.00" personId="{490e5175-706f-4761-b45e-8f205bc3b7b1}" id="{d130b183-54b2-41c4-bbc1-b48fb5fa1b04}" done="0">
    <x18tc:text xml:space="preserve">@ashok.ku22@gmail.com @tnprogramlead@ekam.ngo instead of asking these questions again here, we can take it from the Individual Registration form. In the Name of the Child Question, we can ask the user to select the child name which is registered and based on the the below details will be available from the Individual Registration form
Gender
Date of Birth
Father's Name
Father's Occupation
Mother's Name
Mother's Occupation
State
District
Address
Please confirm if this works
Assigned to ashok.ku22@gmail.com</x18tc:text>
    <x18tc:mentions>
      <x18tc:mention mentionpersonId="{835f2e36-b068-42e9-b126-dd1b06802c41}" mentionId="{9329cca9-ffc7-4f93-a796-f951efd2d76b}" startIndex="0" length="21"/>
      <x18tc:mention mentionpersonId="{6b1965cd-f9e5-41d9-9910-17c486ada433}" mentionId="{3cddc150-015f-4b56-ba8f-0b20ea62682c}" startIndex="22" length="23"/>
    </x18tc:mentions>
  </x18tc:threadedComment>
  <x18tc:threadedComment ref="C5" dT="2025-09-25T05:07:32.00" personId="{7878cda1-54b0-4f8a-af57-753262fea0d1}" id="{728ac983-d211-4708-81a2-0e309f16df6b}" parentId="{d130b183-54b2-41c4-bbc1-b48fb5fa1b04}">
    <x18tc:text xml:space="preserve">Just that I am clear you are suggesting for children referred from MCH programs their data will be pulled from individual reg form and for other child refferred from outside the programs if we will have section in individual reg form asking these basic details and then we will option to enrol to Save a child program.</x18tc:text>
  </x18tc:threadedComment>
  <x18tc:threadedComment ref="C19" dT="2025-09-11T11:12:20.00" personId="{490e5175-706f-4761-b45e-8f205bc3b7b1}" id="{a23622f4-3c09-4c4b-82c8-aa402441cf10}" done="1">
    <x18tc:text xml:space="preserve">@ashok.ku22@gmail.com this again can it be single select?
Assigned to ashok.ku22@gmail.com</x18tc:text>
    <x18tc:mentions>
      <x18tc:mention mentionpersonId="{835f2e36-b068-42e9-b126-dd1b06802c41}" mentionId="{12b0cf27-d0a9-4f1f-b53a-684dcc7d1923}" startIndex="0" length="21"/>
    </x18tc:mentions>
  </x18tc:threadedComment>
  <x18tc:threadedComment ref="C19" dT="2025-09-12T06:04:54.00" personId="{7878cda1-54b0-4f8a-af57-753262fea0d1}" id="{f3d67643-b7b5-4d97-9250-f7873dd61ea0}" parentId="{a23622f4-3c09-4c4b-82c8-aa402441cf10}">
    <x18tc:text xml:space="preserve">@tnprogramlead@ekam.ngo can you add options plus others , if not possible please provide reasons as comment</x18tc:text>
    <x18tc:mentions>
      <x18tc:mention mentionpersonId="{6b1965cd-f9e5-41d9-9910-17c486ada433}" mentionId="{251e9813-2124-442d-b414-bf7b52910677}" startIndex="0" length="23"/>
    </x18tc:mentions>
  </x18tc:threadedComment>
  <x18tc:threadedComment ref="C19" dT="2025-09-19T09:23:57.00" personId="{7878cda1-54b0-4f8a-af57-753262fea0d1}" id="{68c934b7-1bc4-44d0-89a4-ed3daa7997f9}" parentId="{a23622f4-3c09-4c4b-82c8-aa402441cf10}">
    <x18tc:text xml:space="preserve">Done</x18tc:text>
  </x18tc:threadedComment>
</x18tc:ThreadedComments>
</file>

<file path=xl/threadedComments/threadedComment2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09-23T06:34:48.00" personId="{490e5175-706f-4761-b45e-8f205bc3b7b1}" id="{dc1b61a1-ca3e-4e55-a0a2-afcdba5acc47}" done="1">
    <x18tc:text xml:space="preserve">@ashok.ku22@gmail.com @tnprogramlead@ekam.ngo from whom will the Patient welfare officer get this information? Will there be a single point of contact or multiple?
Assigned to ashok.ku22@gmail.com</x18tc:text>
    <x18tc:mentions>
      <x18tc:mention mentionpersonId="{835f2e36-b068-42e9-b126-dd1b06802c41}" mentionId="{79c20348-45da-437c-9b31-a27d720d5a09}" startIndex="0" length="21"/>
      <x18tc:mention mentionpersonId="{6b1965cd-f9e5-41d9-9910-17c486ada433}" mentionId="{98979fde-c7a5-4c09-9942-ac63a537a2d3}" startIndex="22" length="23"/>
    </x18tc:mentions>
  </x18tc:threadedComment>
  <x18tc:threadedComment ref="B2" dT="2025-09-24T09:12:53.00" personId="{5507a277-1c99-44ae-aba1-a9413cc01353}" id="{1b3f98cd-e9e4-4c98-bba2-23bba34f5c24}" parentId="{dc1b61a1-ca3e-4e55-a0a2-afcdba5acc47}">
    <x18tc:text xml:space="preserve">From Multiple people. We have a helpline number, which anyone can reach out to, In addition to our staff, we receive requests directly from health stakeholders and community also.</x18tc:text>
  </x18tc:threadedComment>
</x18tc:ThreadedComments>
</file>

<file path=xl/threadedComments/threadedComment2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5-09-01T10:21:33.00" personId="{fd2bf9d2-4f3c-4c17-b45e-883705bc6191}" id="{ba63ce79-637f-47d3-b92e-c93537f46db7}" done="1">
    <x18tc:text xml:space="preserve">Location type where this have to be registered.</x18tc:text>
  </x18tc:threadedComment>
  <x18tc:threadedComment ref="C9" dT="2025-09-02T07:15:51.00" personId="{fd2bf9d2-4f3c-4c17-b45e-883705bc6191}" id="{ed1e7dbe-1654-489a-94b8-92512ddb8511}" parentId="{ba63ce79-637f-47d3-b92e-c93537f46db7}">
    <x18tc:text xml:space="preserve">Village is the Lowest address level, free text field.</x18tc:text>
  </x18tc:threadedComment>
  <x18tc:threadedComment ref="C4" dT="2025-07-30T12:14:23.00" personId="{7878cda1-54b0-4f8a-af57-753262fea0d1}" id="{acd0df48-f0b4-4380-aaae-a55403f5d7b4}" done="1">
    <x18tc:text xml:space="preserve">@arjunk@samanvayfoundation.org Can we make project name as subject types as this list will keep on getting updated</x18tc:text>
    <x18tc:mentions>
      <x18tc:mention mentionpersonId="{fc51c010-e2ab-4847-bebe-d8d403a581b0}" mentionId="{88857d1d-6b7f-470e-9929-c1a57e68cbd3}" startIndex="0" length="30"/>
    </x18tc:mentions>
  </x18tc:threadedComment>
  <x18tc:threadedComment ref="C4" dT="2025-07-30T13:03:48.00" personId="{43c03bef-fc3d-4e0e-b507-74e981014403}" id="{21696bfc-e129-4507-8871-4c90ddb15bd0}" parentId="{acd0df48-f0b4-4380-aaae-a55403f5d7b4}">
    <x18tc:text xml:space="preserve">subject types normally have address and then sync based on catchment. we will have to see how they will sync on all devices. i am not aware if a feature is there like that.</x18tc:text>
  </x18tc:threadedComment>
  <x18tc:threadedComment ref="C4" dT="2025-08-01T05:35:23.00" personId="{43c03bef-fc3d-4e0e-b507-74e981014403}" id="{3e86c96f-2875-4564-a9ae-08762245a39f}" parentId="{acd0df48-f0b4-4380-aaae-a55403f5d7b4}">
    <x18tc:text xml:space="preserve">We can make this a code question. It's not very difficult to add a new answer when the need arises.</x18tc:text>
  </x18tc:threadedComment>
  <x18tc:threadedComment ref="C4" dT="2025-09-19T09:53:59.00" personId="{7878cda1-54b0-4f8a-af57-753262fea0d1}" id="{065d658b-f8e5-4373-bb9f-6e988d0d23f9}" parentId="{acd0df48-f0b4-4380-aaae-a55403f5d7b4}">
    <x18tc:text xml:space="preserve">Okay</x18tc:text>
  </x18tc:threadedComment>
</x18tc:ThreadedComments>
</file>

<file path=xl/threadedComments/threadedComment2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5-09-01T10:22:04.00" personId="{fd2bf9d2-4f3c-4c17-b45e-883705bc6191}" id="{604cb7d1-7578-49b8-8353-808b77949464}" done="1">
    <x18tc:text xml:space="preserve">Repeatable QuestionGroup.?</x18tc:text>
  </x18tc:threadedComment>
  <x18tc:threadedComment ref="B4" dT="2025-09-02T07:07:47.00" personId="{fd2bf9d2-4f3c-4c17-b45e-883705bc6191}" id="{5db5e96a-4892-4284-842e-fef3a7d894f5}" parentId="{604cb7d1-7578-49b8-8353-808b77949464}">
    <x18tc:text xml:space="preserve">Yes</x18tc:text>
  </x18tc:threadedComment>
  <x18tc:threadedComment ref="C4" dT="2025-09-01T10:17:26.00" personId="{fd2bf9d2-4f3c-4c17-b45e-883705bc6191}" id="{f6048656-142a-451c-9bdd-d41b479d621f}" done="1">
    <x18tc:text xml:space="preserve">No Convergence followup encounter form</x18tc:text>
  </x18tc:threadedComment>
  <x18tc:threadedComment ref="C4" dT="2025-09-02T07:13:24.00" personId="{fd2bf9d2-4f3c-4c17-b45e-883705bc6191}" id="{601f6a95-98b5-481f-9de3-b766940755dd}" parentId="{f6048656-142a-451c-9bdd-d41b479d621f}">
    <x18tc:text xml:space="preserve">No follow up but make this immutable. User is advised to keep updating status and remove issues if needed.</x18tc:text>
  </x18tc:threadedComment>
  <x18tc:threadedComment ref="C2" dT="2025-09-01T10:17:09.00" personId="{fd2bf9d2-4f3c-4c17-b45e-883705bc6191}" id="{7ec72c68-5143-4561-9cf2-88f2390d27db}" done="1">
    <x18tc:text xml:space="preserve">What would be the Registration Location Type.?</x18tc:text>
  </x18tc:threadedComment>
  <x18tc:threadedComment ref="C2" dT="2025-09-02T07:16:51.00" personId="{fd2bf9d2-4f3c-4c17-b45e-883705bc6191}" id="{2fa9dbb1-a367-48ad-91d3-a107ce5c82c6}" parentId="{7ec72c68-5143-4561-9cf2-88f2390d27db}">
    <x18tc:text xml:space="preserve">No, this is an encounter Type</x18tc:text>
  </x18tc:threadedComment>
  <x18tc:threadedComment ref="C7" dT="2025-07-09T18:12:55.00" personId="{5507a277-1c99-44ae-aba1-a9413cc01353}" id="{27ba037b-c559-4893-bcb5-388a8def68d1}" done="1">
    <x18tc:text xml:space="preserve">Follow up data to be given</x18tc:text>
  </x18tc:threadedComment>
  <x18tc:threadedComment ref="J4" dT="2025-07-28T09:59:09.00" personId="{7878cda1-54b0-4f8a-af57-753262fea0d1}" id="{0aa131bb-7045-4e30-a0d4-2dd3e6af34aa}" done="1">
    <x18tc:text xml:space="preserve">@tnprogramlead@ekam.ngo please fill this options</x18tc:text>
    <x18tc:mentions>
      <x18tc:mention mentionpersonId="{6b1965cd-f9e5-41d9-9910-17c486ada433}" mentionId="{1ff4d2ab-d512-4f29-8bd0-a3742160a03a}" startIndex="0" length="23"/>
    </x18tc:mentions>
  </x18tc:threadedComment>
</x18tc:ThreadedComments>
</file>

<file path=xl/threadedComments/threadedComment2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3" dT="2025-07-29T05:30:58.00" personId="{7878cda1-54b0-4f8a-af57-753262fea0d1}" id="{415de15a-4355-4727-a192-fd69da02f800}" done="1">
    <x18tc:text xml:space="preserve">@tnprogramlead@ekam.ngo Please create a list of awareness topics and others as options</x18tc:text>
    <x18tc:mentions>
      <x18tc:mention mentionpersonId="{6b1965cd-f9e5-41d9-9910-17c486ada433}" mentionId="{2f445623-2ba4-4aec-be1a-a24705f30df0}" startIndex="0" length="23"/>
    </x18tc:mentions>
  </x18tc:threadedComment>
  <x18tc:threadedComment ref="C4" dT="2025-09-01T10:15:33.00" personId="{fd2bf9d2-4f3c-4c17-b45e-883705bc6191}" id="{e7f3f5da-7768-4b0b-8096-4f59ad5d0ec5}" done="1">
    <x18tc:text xml:space="preserve">Registration Location for this subject</x18tc:text>
  </x18tc:threadedComment>
  <x18tc:threadedComment ref="C16" dT="2025-10-10T01:29:25.00" personId="{e6adde95-f533-4a42-874d-4d6dc979634d}" id="{a07f8503-1c0f-42e7-914e-d46b4f1c8cd4}" done="0">
    <x18tc:text xml:space="preserve">@anjalib@samanvayfoundation.org this question is duplicated can we remove this
Assigned to anjalib@samanvayfoundation.org</x18tc:text>
    <x18tc:mentions>
      <x18tc:mention mentionpersonId="{5175ac4e-7bdb-4a9b-8220-e40b6eca5016}" mentionId="{fa22f0b6-89d3-4417-b1d4-f182d23ef341}" startIndex="0" length="31"/>
    </x18tc:mentions>
  </x18tc:threadedComment>
  <x18tc:threadedComment ref="C16" dT="2025-10-10T03:38:05.00" personId="{490e5175-706f-4761-b45e-8f205bc3b7b1}" id="{49144e70-8b7a-496f-b192-562854666553}" parentId="{a07f8503-1c0f-42e7-914e-d46b4f1c8cd4}">
    <x18tc:text xml:space="preserve">ok</x18tc:text>
  </x18tc:threadedComment>
  <x18tc:threadedComment ref="D13" dT="2025-07-30T02:37:21.00" personId="{7878cda1-54b0-4f8a-af57-753262fea0d1}" id="{c34d41fa-7792-4457-a324-f80309716b7f}" done="1">
    <x18tc:text xml:space="preserve">@tnprogramlead@ekam.ngo In a particular session single topic is covered or multiple topics</x18tc:text>
    <x18tc:mentions>
      <x18tc:mention mentionpersonId="{6b1965cd-f9e5-41d9-9910-17c486ada433}" mentionId="{d7527414-e707-43bb-8696-f0ae0228618d}" startIndex="0" length="23"/>
    </x18tc:mentions>
  </x18tc:threadedComment>
  <x18tc:threadedComment ref="D12" dT="2025-10-10T01:42:57.00" personId="{e6adde95-f533-4a42-874d-4d6dc979634d}" id="{96d11f39-e3a1-4e36-a324-6b174a602908}" done="1">
    <x18tc:text xml:space="preserve">@anjalib@samanvayfoundation.org it is coded concept do we made it as single select is that fine
Assigned to anjalib@samanvayfoundation.org</x18tc:text>
    <x18tc:mentions>
      <x18tc:mention mentionpersonId="{5175ac4e-7bdb-4a9b-8220-e40b6eca5016}" mentionId="{8d19e312-3c26-4d18-b552-27cd8c150823}" startIndex="0" length="31"/>
    </x18tc:mentions>
  </x18tc:threadedComment>
  <x18tc:threadedComment ref="D12" dT="2025-10-10T03:37:44.00" personId="{490e5175-706f-4761-b45e-8f205bc3b7b1}" id="{d379907f-e0de-48ea-90c4-0c6446e2dcad}" parentId="{96d11f39-e3a1-4e36-a324-6b174a602908}">
    <x18tc:text xml:space="preserve">We can make it multi select</x18tc:text>
  </x18tc:threadedComment>
  <x18tc:threadedComment ref="C18" dT="2025-09-11T11:10:03.00" personId="{490e5175-706f-4761-b45e-8f205bc3b7b1}" id="{309b7ac2-26f3-460f-8907-115b9b29fe73}" done="1">
    <x18tc:text xml:space="preserve">@ashok.ku22@gmail.com name of the beneficiary required?
Assigned to ashok.ku22@gmail.com</x18tc:text>
    <x18tc:mentions>
      <x18tc:mention mentionpersonId="{835f2e36-b068-42e9-b126-dd1b06802c41}" mentionId="{81eef068-938d-4cb3-bc7a-9e5aa2eb95c8}" startIndex="0" length="21"/>
    </x18tc:mentions>
  </x18tc:threadedComment>
  <x18tc:threadedComment ref="C18" dT="2025-09-19T09:55:53.00" personId="{7878cda1-54b0-4f8a-af57-753262fea0d1}" id="{b3218d23-0ba6-4291-a10c-aae3297457ea}" parentId="{309b7ac2-26f3-460f-8907-115b9b29fe73}">
    <x18tc:text xml:space="preserve">Not required</x18tc:text>
  </x18tc:threadedComment>
</x18tc:ThreadedComments>
</file>

<file path=xl/threadedComments/threadedComment3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7-30T10:39:01.00" personId="{7878cda1-54b0-4f8a-af57-753262fea0d1}" id="{bea85561-7e60-4d2d-97fc-a3a17316cc99}" done="1">
    <x18tc:text xml:space="preserve">@tnprogramlead@ekam.ngo What is the impact numbers mean. Is it total amount donated as medical and non-medical support or something else
Assigned to tnprogramlead@ekam.ngo</x18tc:text>
    <x18tc:mentions>
      <x18tc:mention mentionpersonId="{6b1965cd-f9e5-41d9-9910-17c486ada433}" mentionId="{e905138f-312d-43d9-8882-282f2bf1f643}" startIndex="0" length="23"/>
    </x18tc:mentions>
  </x18tc:threadedComment>
  <x18tc:threadedComment ref="C4" dT="2025-09-11T11:09:21.00" personId="{490e5175-706f-4761-b45e-8f205bc3b7b1}" id="{da1c7ebb-350a-438c-9216-f2d4787c4328}" done="1">
    <x18tc:text xml:space="preserve">@ashok.ku22@gmail.com can this be single select?
Assigned to ashok.ku22@gmail.com</x18tc:text>
    <x18tc:mentions>
      <x18tc:mention mentionpersonId="{835f2e36-b068-42e9-b126-dd1b06802c41}" mentionId="{b3d9f675-4f14-4e32-a832-e0a6c4c3782e}" startIndex="0" length="21"/>
    </x18tc:mentions>
  </x18tc:threadedComment>
  <x18tc:threadedComment ref="C4" dT="2025-09-12T06:12:13.00" personId="{7878cda1-54b0-4f8a-af57-753262fea0d1}" id="{3fb197d5-5e13-4d81-831a-b13e3ab69e3d}" parentId="{da1c7ebb-350a-438c-9216-f2d4787c4328}">
    <x18tc:text xml:space="preserve">@tnprogramlead@ekam.ngo please provide options if most of support goes to 10 or less places with others option. Otherwise we go ahead with Text data type
Reassigned to tnprogramlead@ekam.ngo</x18tc:text>
    <x18tc:mentions>
      <x18tc:mention mentionpersonId="{6b1965cd-f9e5-41d9-9910-17c486ada433}" mentionId="{7b379f66-52c1-4533-b777-e82be395f7c3}" startIndex="0" length="23"/>
    </x18tc:mentions>
  </x18tc:threadedComment>
  <x18tc:threadedComment ref="C4" dT="2025-09-19T09:59:26.00" personId="{7878cda1-54b0-4f8a-af57-753262fea0d1}" id="{892bd448-26a1-4443-8c99-11f217fe3365}" parentId="{da1c7ebb-350a-438c-9216-f2d4787c4328}">
    <x18tc:text xml:space="preserve">We have to go with Text option only as they will have huge hospital list</x18tc:text>
  </x18tc:threadedComment>
  <x18tc:threadedComment ref="C2" dT="2025-09-11T11:09:16.00" personId="{490e5175-706f-4761-b45e-8f205bc3b7b1}" id="{f8a5864a-a259-4f98-ae12-096ad9b1e41a}" done="1">
    <x18tc:text xml:space="preserve">@ashok.ku22@gmail.com can this be single select?
Assigned to ashok.ku22@gmail.com</x18tc:text>
    <x18tc:mentions>
      <x18tc:mention mentionpersonId="{835f2e36-b068-42e9-b126-dd1b06802c41}" mentionId="{d2268630-1d0d-4b99-ae4f-dd1ed1d4a196}" startIndex="0" length="21"/>
    </x18tc:mentions>
  </x18tc:threadedComment>
  <x18tc:threadedComment ref="C2" dT="2025-09-12T06:09:01.00" personId="{7878cda1-54b0-4f8a-af57-753262fea0d1}" id="{2527d090-9e26-43c4-b6d2-c40c4b3941a5}" parentId="{f8a5864a-a259-4f98-ae12-096ad9b1e41a}">
    <x18tc:text xml:space="preserve">@tnprogramlead@ekam.ngo  please current project names as options and others options. In future, if new projects starts you can reach out to Avni team to include those projects.</x18tc:text>
    <x18tc:mentions>
      <x18tc:mention mentionpersonId="{6b1965cd-f9e5-41d9-9910-17c486ada433}" mentionId="{5086597d-6d74-48af-9c95-e4e8c6e62e2c}" startIndex="0" length="23"/>
    </x18tc:mentions>
  </x18tc:threadedComment>
  <x18tc:threadedComment ref="D5" dT="2025-09-11T11:08:39.00" personId="{490e5175-706f-4761-b45e-8f205bc3b7b1}" id="{f18f70df-74e7-4e0c-86a2-76e1b707e09e}" done="0">
    <x18tc:text xml:space="preserve">@ashok.ku22@gmail.com will this list be uploaded as a file?
Assigned to ashok.ku22@gmail.com</x18tc:text>
    <x18tc:mentions>
      <x18tc:mention mentionpersonId="{835f2e36-b068-42e9-b126-dd1b06802c41}" mentionId="{c30784e8-84a0-494a-968c-12f841240dc3}" startIndex="0" length="21"/>
    </x18tc:mentions>
  </x18tc:threadedComment>
</x18tc:ThreadedComments>
</file>

<file path=xl/threadedComments/threadedComment3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 dT="2025-09-01T10:23:55.00" personId="{fd2bf9d2-4f3c-4c17-b45e-883705bc6191}" id="{ccd726de-de7c-4e11-94c5-b3eb48c94802}" done="1">
    <x18tc:text xml:space="preserve">would this not be registration location? Mandatory?</x18tc:text>
  </x18tc:threadedComment>
  <x18tc:threadedComment ref="C4" dT="2025-09-11T10:58:45.00" personId="{490e5175-706f-4761-b45e-8f205bc3b7b1}" id="{d835658f-e897-443c-b2ca-1a40fedfc526}" done="1">
    <x18tc:text xml:space="preserve">@ashok.ku22@gmail.com can this be single select?
Assigned to ashok.ku22@gmail.com</x18tc:text>
    <x18tc:mentions>
      <x18tc:mention mentionpersonId="{835f2e36-b068-42e9-b126-dd1b06802c41}" mentionId="{70000ff4-600e-41eb-9855-725a49ae9fb6}" startIndex="0" length="21"/>
    </x18tc:mentions>
  </x18tc:threadedComment>
  <x18tc:threadedComment ref="C5" dT="2025-09-02T07:06:16.00" personId="{fd2bf9d2-4f3c-4c17-b45e-883705bc6191}" id="{5d0747e4-c05a-446a-a424-62e3ed9c1bce}" done="1">
    <x18tc:text xml:space="preserve">Is this the registration Location.?</x18tc:text>
  </x18tc:threadedComment>
  <x18tc:threadedComment ref="C5" dT="2025-09-19T10:10:50.00" personId="{7878cda1-54b0-4f8a-af57-753262fea0d1}" id="{b05e8d8a-398a-4b27-8c57-9d211f7fc891}" parentId="{5d0747e4-c05a-446a-a424-62e3ed9c1bce}">
    <x18tc:text xml:space="preserve">No, for short term projects this locations will be used. Changed District to Address as data field</x18tc:text>
  </x18tc:threadedComment>
  <x18tc:threadedComment ref="J14" dT="2025-07-30T03:29:28.00" personId="{7878cda1-54b0-4f8a-af57-753262fea0d1}" id="{2a4b4ccb-512b-4e8b-89fa-a8f90db1471c}" done="1">
    <x18tc:text xml:space="preserve">@tnprogramlead@ekam.ngo is trainer details for Awareness and training same? if yes , please copy the options if No, please write the options</x18tc:text>
    <x18tc:mentions>
      <x18tc:mention mentionpersonId="{6b1965cd-f9e5-41d9-9910-17c486ada433}" mentionId="{4d8d2f14-6679-4fe6-87b8-970ff7a7f841}" startIndex="0" length="23"/>
    </x18tc:mentions>
  </x18tc:threadedComment>
  <x18tc:threadedComment ref="J14" dT="2025-07-30T11:37:23.00" personId="{5507a277-1c99-44ae-aba1-a9413cc01353}" id="{25548620-e033-44f3-9bcd-9f792660208d}" parentId="{2a4b4ccb-512b-4e8b-89fa-a8f90db1471c}">
    <x18tc:text xml:space="preserve">No, it will not be the same,  it will be an expert trainer or a trainer from Ekam</x18tc:text>
  </x18tc:threadedComment>
  <x18tc:threadedComment ref="J14" dT="2025-07-30T11:37:57.00" personId="{5507a277-1c99-44ae-aba1-a9413cc01353}" id="{78204bd6-f030-426d-b1b4-d49e8813f297}" parentId="{2a4b4ccb-512b-4e8b-89fa-a8f90db1471c}">
    <x18tc:text xml:space="preserve">Expertise will keep changing, depending on the requirements, so it is difficult to add the options.</x18tc:text>
  </x18tc:threadedComment>
  <x18tc:threadedComment ref="C17" dT="2025-09-11T11:05:52.00" personId="{490e5175-706f-4761-b45e-8f205bc3b7b1}" id="{19138b13-45c8-4c71-a572-549077729b8e}" done="1">
    <x18tc:text xml:space="preserve">@ashok.ku22@gmail.com can this be single or multi select instead of text?
Assigned to ashok.ku22@gmail.com</x18tc:text>
    <x18tc:mentions>
      <x18tc:mention mentionpersonId="{835f2e36-b068-42e9-b126-dd1b06802c41}" mentionId="{f7d0c870-0f9c-4e41-bdca-77cdad1ac394}" startIndex="0" length="21"/>
    </x18tc:mentions>
  </x18tc:threadedComment>
  <x18tc:threadedComment ref="C17" dT="2025-09-12T06:15:08.00" personId="{7878cda1-54b0-4f8a-af57-753262fea0d1}" id="{f3c89a67-aa5e-4332-b0a5-67d2a2036999}" parentId="{19138b13-45c8-4c71-a572-549077729b8e}">
    <x18tc:text xml:space="preserve">@tnprogramlead@ekam.ngo  please add training topics as options if it is 10 or less topics and most trainings are covered by these topics otherwise we will go ahead with text data type
Reassigned to tnprogramlead@ekam.ngo</x18tc:text>
    <x18tc:mentions>
      <x18tc:mention mentionpersonId="{6b1965cd-f9e5-41d9-9910-17c486ada433}" mentionId="{92d61780-491a-423f-ac10-c5676b16dfda}" startIndex="0" length="23"/>
    </x18tc:mentions>
  </x18tc:threadedComment>
  <x18tc:threadedComment ref="C17" dT="2025-09-19T10:13:01.00" personId="{7878cda1-54b0-4f8a-af57-753262fea0d1}" id="{214fa19a-7759-4625-9629-1a0401c12a3c}" parentId="{19138b13-45c8-4c71-a572-549077729b8e}">
    <x18tc:text xml:space="preserve">As per discussion with Mythili we want to go ahead with text as diverse topics are covered and its huge list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wO3y44OyVi99pJJlunyjvuQZprj31AGKm2ta9lux_U4/edit?gid=1558296822" TargetMode="External"/><Relationship Id="rId9" Type="http://schemas.openxmlformats.org/officeDocument/2006/relationships/vmlDrawing" Target="../drawings/vmlDrawing1.vml"/><Relationship Id="rId5" Type="http://schemas.openxmlformats.org/officeDocument/2006/relationships/hyperlink" Target="https://docs.google.com/spreadsheets/d/1ELq3gnjeiVI24_Gs7VYIPLydUK54997DBU9UtNuMY20/edit?gid=0" TargetMode="External"/><Relationship Id="rId6" Type="http://schemas.openxmlformats.org/officeDocument/2006/relationships/hyperlink" Target="https://docs.google.com/spreadsheets/d/1I0JAUUI4lDFaGFlf2mK_bp7Q8a_EgS2W7Xpi9vyAf9M" TargetMode="External"/><Relationship Id="rId7" Type="http://schemas.openxmlformats.org/officeDocument/2006/relationships/hyperlink" Target="https://docs.google.com/spreadsheets/d/1OYRHShIXwQQLJlSU6wLF8GfvsKLLksJ7qaNSqKuGz3E/edit?usp=drive_link"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7.xml"/><Relationship Id="rId11" Type="http://schemas.openxmlformats.org/officeDocument/2006/relationships/table" Target="../tables/table7.xml"/><Relationship Id="rId10" Type="http://schemas.openxmlformats.org/officeDocument/2006/relationships/table" Target="../tables/table6.xml"/><Relationship Id="rId9" Type="http://schemas.openxmlformats.org/officeDocument/2006/relationships/table" Target="../tables/table5.xml"/><Relationship Id="rId5"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8.xml"/><Relationship Id="rId9" Type="http://schemas.openxmlformats.org/officeDocument/2006/relationships/table" Target="../tables/table9.xml"/><Relationship Id="rId5" Type="http://schemas.openxmlformats.org/officeDocument/2006/relationships/vmlDrawing" Target="../drawings/vmlDrawing6.vml"/><Relationship Id="rId8"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9.xml"/><Relationship Id="rId5"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1.xml"/><Relationship Id="rId5"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3.xml"/><Relationship Id="rId5"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4.xml"/><Relationship Id="rId5"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5.xml"/><Relationship Id="rId5"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16.xml"/><Relationship Id="rId5"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hyperlink" Target="https://docs.google.com/spreadsheets/d/1rOnsSg-4CDalnftB1kQbDiEBH62JXM7Y/edit?gid=31319909" TargetMode="External"/><Relationship Id="rId5" Type="http://schemas.openxmlformats.org/officeDocument/2006/relationships/drawing" Target="../drawings/drawing17.xml"/><Relationship Id="rId6"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18.xml"/><Relationship Id="rId5"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hyperlink" Target="https://www.google.com/url?q=https://drive.google.com/file/d/1Zf3pDeoecV-7z1iyUjgOCzoCxUEb3OsD/view?usp%3Dsharing&amp;sa=D&amp;source=editors&amp;ust=1758021947315970&amp;usg=AOvVaw1ofjvf5ykLf--Yz9OKEy9D" TargetMode="External"/><Relationship Id="rId5" Type="http://schemas.openxmlformats.org/officeDocument/2006/relationships/drawing" Target="../drawings/drawing19.xml"/><Relationship Id="rId6"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20.xml"/><Relationship Id="rId5"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21.xml"/><Relationship Id="rId5" Type="http://schemas.openxmlformats.org/officeDocument/2006/relationships/vmlDrawing" Target="../drawings/vmlDrawing17.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22.xml"/><Relationship Id="rId5" Type="http://schemas.openxmlformats.org/officeDocument/2006/relationships/vmlDrawing" Target="../drawings/vmlDrawing18.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23.xml"/><Relationship Id="rId5" Type="http://schemas.openxmlformats.org/officeDocument/2006/relationships/vmlDrawing" Target="../drawings/vmlDrawing1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24.xml"/><Relationship Id="rId5" Type="http://schemas.openxmlformats.org/officeDocument/2006/relationships/vmlDrawing" Target="../drawings/vmlDrawing2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25.xml"/><Relationship Id="rId5" Type="http://schemas.openxmlformats.org/officeDocument/2006/relationships/vmlDrawing" Target="../drawings/vmlDrawing2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26.xml"/><Relationship Id="rId5" Type="http://schemas.openxmlformats.org/officeDocument/2006/relationships/vmlDrawing" Target="../drawings/vmlDrawing22.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27.xml"/><Relationship Id="rId5" Type="http://schemas.openxmlformats.org/officeDocument/2006/relationships/vmlDrawing" Target="../drawings/vmlDrawing23.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drawing" Target="../drawings/drawing28.xml"/><Relationship Id="rId5" Type="http://schemas.openxmlformats.org/officeDocument/2006/relationships/vmlDrawing" Target="../drawings/vmlDrawing24.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5.xml"/><Relationship Id="rId3" Type="http://schemas.microsoft.com/office/2019/04/relationships/documenttask" Target="../documenttasks/documenttask25.xml"/><Relationship Id="rId4" Type="http://schemas.openxmlformats.org/officeDocument/2006/relationships/drawing" Target="../drawings/drawing32.xml"/><Relationship Id="rId5" Type="http://schemas.openxmlformats.org/officeDocument/2006/relationships/vmlDrawing" Target="../drawings/vmlDrawing25.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26.xml"/><Relationship Id="rId2" Type="http://schemas.microsoft.com/office/2017/10/relationships/threadedComment" Target="../threadedComments/threadedComment26.xml"/><Relationship Id="rId3" Type="http://schemas.microsoft.com/office/2019/04/relationships/documenttask" Target="../documenttasks/documenttask26.xml"/><Relationship Id="rId4" Type="http://schemas.openxmlformats.org/officeDocument/2006/relationships/drawing" Target="../drawings/drawing33.xml"/><Relationship Id="rId5" Type="http://schemas.openxmlformats.org/officeDocument/2006/relationships/vmlDrawing" Target="../drawings/vmlDrawing26.v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27.xml"/><Relationship Id="rId2" Type="http://schemas.microsoft.com/office/2017/10/relationships/threadedComment" Target="../threadedComments/threadedComment27.xml"/><Relationship Id="rId3" Type="http://schemas.microsoft.com/office/2019/04/relationships/documenttask" Target="../documenttasks/documenttask27.xml"/><Relationship Id="rId4" Type="http://schemas.openxmlformats.org/officeDocument/2006/relationships/drawing" Target="../drawings/drawing35.xml"/><Relationship Id="rId5" Type="http://schemas.openxmlformats.org/officeDocument/2006/relationships/vmlDrawing" Target="../drawings/vmlDrawing27.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28.xml"/><Relationship Id="rId2" Type="http://schemas.microsoft.com/office/2017/10/relationships/threadedComment" Target="../threadedComments/threadedComment28.xml"/><Relationship Id="rId3" Type="http://schemas.microsoft.com/office/2019/04/relationships/documenttask" Target="../documenttasks/documenttask28.xml"/><Relationship Id="rId4" Type="http://schemas.openxmlformats.org/officeDocument/2006/relationships/drawing" Target="../drawings/drawing36.xml"/><Relationship Id="rId5" Type="http://schemas.openxmlformats.org/officeDocument/2006/relationships/vmlDrawing" Target="../drawings/vmlDrawing28.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29.xml"/><Relationship Id="rId2" Type="http://schemas.microsoft.com/office/2017/10/relationships/threadedComment" Target="../threadedComments/threadedComment29.xml"/><Relationship Id="rId3" Type="http://schemas.microsoft.com/office/2019/04/relationships/documenttask" Target="../documenttasks/documenttask29.xml"/><Relationship Id="rId4" Type="http://schemas.openxmlformats.org/officeDocument/2006/relationships/drawing" Target="../drawings/drawing37.xml"/><Relationship Id="rId5" Type="http://schemas.openxmlformats.org/officeDocument/2006/relationships/vmlDrawing" Target="../drawings/vmlDrawing29.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0.xml"/><Relationship Id="rId2" Type="http://schemas.microsoft.com/office/2017/10/relationships/threadedComment" Target="../threadedComments/threadedComment30.xml"/><Relationship Id="rId3" Type="http://schemas.microsoft.com/office/2019/04/relationships/documenttask" Target="../documenttasks/documenttask30.xml"/><Relationship Id="rId4" Type="http://schemas.openxmlformats.org/officeDocument/2006/relationships/drawing" Target="../drawings/drawing38.xml"/><Relationship Id="rId5" Type="http://schemas.openxmlformats.org/officeDocument/2006/relationships/vmlDrawing" Target="../drawings/vmlDrawing30.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1.xml"/><Relationship Id="rId2" Type="http://schemas.microsoft.com/office/2017/10/relationships/threadedComment" Target="../threadedComments/threadedComment31.xml"/><Relationship Id="rId3" Type="http://schemas.microsoft.com/office/2019/04/relationships/documenttask" Target="../documenttasks/documenttask31.xml"/><Relationship Id="rId4" Type="http://schemas.openxmlformats.org/officeDocument/2006/relationships/drawing" Target="../drawings/drawing39.xml"/><Relationship Id="rId5" Type="http://schemas.openxmlformats.org/officeDocument/2006/relationships/vmlDrawing" Target="../drawings/vmlDrawing3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63"/>
    <col customWidth="1" min="2" max="2" width="27.5"/>
  </cols>
  <sheetData>
    <row r="1">
      <c r="A1" s="1" t="s">
        <v>0</v>
      </c>
      <c r="B1" s="2" t="s">
        <v>1</v>
      </c>
    </row>
    <row r="2">
      <c r="A2" s="1" t="s">
        <v>2</v>
      </c>
      <c r="B2" s="2" t="s">
        <v>3</v>
      </c>
    </row>
    <row r="3">
      <c r="A3" s="1" t="s">
        <v>4</v>
      </c>
      <c r="B3" s="2" t="s">
        <v>5</v>
      </c>
    </row>
    <row r="4">
      <c r="A4" s="1" t="s">
        <v>6</v>
      </c>
      <c r="B4" s="3" t="s">
        <v>7</v>
      </c>
    </row>
  </sheetData>
  <hyperlinks>
    <hyperlink r:id="rId4" location="gid=1558296822" ref="B1"/>
    <hyperlink r:id="rId5" location="gid=0" ref="B2"/>
    <hyperlink r:id="rId6" ref="B3"/>
    <hyperlink r:id="rId7" ref="B4"/>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6.13"/>
    <col customWidth="1" min="2" max="2" width="19.5"/>
    <col customWidth="1" min="3" max="3" width="49.88"/>
    <col customWidth="1" min="4" max="4" width="29.75"/>
    <col customWidth="1" min="5" max="5" width="27.5"/>
    <col customWidth="1" min="6" max="6" width="19.38"/>
    <col customWidth="1" min="7" max="7" width="21.25"/>
  </cols>
  <sheetData>
    <row r="1">
      <c r="A1" s="4" t="s">
        <v>8</v>
      </c>
      <c r="B1" s="5" t="s">
        <v>9</v>
      </c>
      <c r="C1" s="6" t="s">
        <v>10</v>
      </c>
      <c r="D1" s="4" t="s">
        <v>11</v>
      </c>
      <c r="E1" s="5" t="s">
        <v>12</v>
      </c>
      <c r="F1" s="5" t="s">
        <v>13</v>
      </c>
      <c r="G1" s="7" t="s">
        <v>14</v>
      </c>
      <c r="H1" s="7" t="s">
        <v>15</v>
      </c>
      <c r="I1" s="8"/>
      <c r="J1" s="8"/>
      <c r="K1" s="8"/>
      <c r="L1" s="8"/>
      <c r="M1" s="8"/>
      <c r="N1" s="8"/>
      <c r="O1" s="8"/>
      <c r="P1" s="8"/>
      <c r="Q1" s="8"/>
      <c r="R1" s="8"/>
      <c r="S1" s="8"/>
      <c r="T1" s="8"/>
      <c r="U1" s="8"/>
      <c r="V1" s="8"/>
      <c r="W1" s="8"/>
      <c r="X1" s="8"/>
      <c r="Y1" s="8"/>
      <c r="Z1" s="8"/>
      <c r="AA1" s="8"/>
    </row>
    <row r="2">
      <c r="A2" s="9" t="s">
        <v>16</v>
      </c>
      <c r="B2" s="10" t="s">
        <v>17</v>
      </c>
      <c r="C2" s="9" t="s">
        <v>18</v>
      </c>
      <c r="D2" s="9" t="s">
        <v>19</v>
      </c>
      <c r="E2" s="9" t="s">
        <v>20</v>
      </c>
      <c r="F2" s="9" t="s">
        <v>21</v>
      </c>
      <c r="G2" s="11" t="s">
        <v>22</v>
      </c>
      <c r="H2" s="8"/>
      <c r="I2" s="12"/>
      <c r="J2" s="12">
        <v>6.0</v>
      </c>
      <c r="K2" s="12" t="s">
        <v>23</v>
      </c>
      <c r="L2" s="8"/>
      <c r="M2" s="8"/>
      <c r="N2" s="8"/>
      <c r="O2" s="8"/>
      <c r="P2" s="8"/>
      <c r="Q2" s="8"/>
      <c r="R2" s="8"/>
      <c r="S2" s="8"/>
      <c r="T2" s="8"/>
      <c r="U2" s="8"/>
      <c r="V2" s="8"/>
      <c r="W2" s="8"/>
      <c r="X2" s="8"/>
      <c r="Y2" s="8"/>
      <c r="Z2" s="8"/>
      <c r="AA2" s="8"/>
    </row>
    <row r="3">
      <c r="A3" s="9" t="s">
        <v>16</v>
      </c>
      <c r="B3" s="10" t="s">
        <v>17</v>
      </c>
      <c r="C3" s="9" t="s">
        <v>24</v>
      </c>
      <c r="D3" s="9" t="s">
        <v>19</v>
      </c>
      <c r="E3" s="9" t="s">
        <v>20</v>
      </c>
      <c r="F3" s="9" t="s">
        <v>21</v>
      </c>
      <c r="G3" s="11" t="s">
        <v>22</v>
      </c>
      <c r="H3" s="8"/>
      <c r="I3" s="12" t="s">
        <v>22</v>
      </c>
      <c r="J3" s="12">
        <v>16.0</v>
      </c>
      <c r="K3" s="13">
        <v>45722.0</v>
      </c>
      <c r="L3" s="8"/>
      <c r="M3" s="8"/>
      <c r="N3" s="8"/>
      <c r="O3" s="8"/>
      <c r="P3" s="8"/>
      <c r="Q3" s="8"/>
      <c r="R3" s="8"/>
      <c r="S3" s="8"/>
      <c r="T3" s="8"/>
      <c r="U3" s="8"/>
      <c r="V3" s="8"/>
      <c r="W3" s="8"/>
      <c r="X3" s="8"/>
      <c r="Y3" s="8"/>
      <c r="Z3" s="8"/>
      <c r="AA3" s="8"/>
    </row>
    <row r="4">
      <c r="A4" s="9" t="s">
        <v>16</v>
      </c>
      <c r="B4" s="10" t="s">
        <v>17</v>
      </c>
      <c r="C4" s="9" t="s">
        <v>25</v>
      </c>
      <c r="D4" s="9" t="s">
        <v>19</v>
      </c>
      <c r="E4" s="9" t="s">
        <v>20</v>
      </c>
      <c r="F4" s="9" t="s">
        <v>21</v>
      </c>
      <c r="G4" s="11" t="s">
        <v>22</v>
      </c>
      <c r="H4" s="8"/>
      <c r="I4" s="8"/>
      <c r="J4" s="8"/>
      <c r="K4" s="12" t="s">
        <v>26</v>
      </c>
      <c r="L4" s="8"/>
      <c r="M4" s="8"/>
      <c r="N4" s="8"/>
      <c r="O4" s="8"/>
      <c r="P4" s="8"/>
      <c r="Q4" s="8"/>
      <c r="R4" s="8"/>
      <c r="S4" s="8"/>
      <c r="T4" s="8"/>
      <c r="U4" s="8"/>
      <c r="V4" s="8"/>
      <c r="W4" s="8"/>
      <c r="X4" s="8"/>
      <c r="Y4" s="8"/>
      <c r="Z4" s="8"/>
      <c r="AA4" s="8"/>
    </row>
    <row r="5">
      <c r="A5" s="9" t="s">
        <v>16</v>
      </c>
      <c r="B5" s="10" t="s">
        <v>17</v>
      </c>
      <c r="C5" s="9" t="s">
        <v>27</v>
      </c>
      <c r="D5" s="14" t="s">
        <v>28</v>
      </c>
      <c r="E5" s="15"/>
      <c r="F5" s="9" t="s">
        <v>21</v>
      </c>
      <c r="G5" s="11" t="s">
        <v>29</v>
      </c>
      <c r="H5" s="12" t="s">
        <v>30</v>
      </c>
      <c r="I5" s="8"/>
      <c r="J5" s="8"/>
      <c r="K5" s="8"/>
      <c r="L5" s="8"/>
      <c r="M5" s="8"/>
      <c r="N5" s="8"/>
      <c r="O5" s="8"/>
      <c r="P5" s="8"/>
      <c r="Q5" s="8"/>
      <c r="R5" s="8"/>
      <c r="S5" s="8"/>
      <c r="T5" s="8"/>
      <c r="U5" s="8"/>
      <c r="V5" s="8"/>
      <c r="W5" s="8"/>
      <c r="X5" s="8"/>
      <c r="Y5" s="8"/>
      <c r="Z5" s="8"/>
      <c r="AA5" s="8"/>
    </row>
    <row r="6">
      <c r="A6" s="9" t="s">
        <v>16</v>
      </c>
      <c r="B6" s="10" t="s">
        <v>17</v>
      </c>
      <c r="C6" s="15" t="s">
        <v>31</v>
      </c>
      <c r="D6" s="9" t="s">
        <v>32</v>
      </c>
      <c r="E6" s="15" t="s">
        <v>33</v>
      </c>
      <c r="F6" s="9" t="s">
        <v>21</v>
      </c>
      <c r="G6" s="11" t="s">
        <v>22</v>
      </c>
      <c r="H6" s="8"/>
      <c r="I6" s="8"/>
      <c r="J6" s="8"/>
      <c r="K6" s="8"/>
      <c r="L6" s="8"/>
      <c r="M6" s="8"/>
      <c r="N6" s="8"/>
      <c r="O6" s="8"/>
      <c r="P6" s="8"/>
      <c r="Q6" s="8"/>
      <c r="R6" s="8"/>
      <c r="S6" s="8"/>
      <c r="T6" s="8"/>
      <c r="U6" s="8"/>
      <c r="V6" s="8"/>
      <c r="W6" s="8"/>
      <c r="X6" s="8"/>
      <c r="Y6" s="8"/>
      <c r="Z6" s="8"/>
      <c r="AA6" s="8"/>
    </row>
    <row r="7">
      <c r="A7" s="9" t="s">
        <v>16</v>
      </c>
      <c r="B7" s="15" t="s">
        <v>34</v>
      </c>
      <c r="C7" s="9" t="s">
        <v>35</v>
      </c>
      <c r="D7" s="15" t="s">
        <v>36</v>
      </c>
      <c r="E7" s="15" t="s">
        <v>37</v>
      </c>
      <c r="F7" s="9" t="s">
        <v>21</v>
      </c>
      <c r="G7" s="11" t="s">
        <v>29</v>
      </c>
      <c r="H7" s="12" t="s">
        <v>30</v>
      </c>
      <c r="I7" s="8"/>
      <c r="J7" s="8"/>
      <c r="K7" s="8"/>
      <c r="L7" s="8"/>
      <c r="M7" s="8"/>
      <c r="N7" s="8"/>
      <c r="O7" s="8"/>
      <c r="P7" s="8"/>
      <c r="Q7" s="8"/>
      <c r="R7" s="8"/>
      <c r="S7" s="8"/>
      <c r="T7" s="8"/>
      <c r="U7" s="8"/>
      <c r="V7" s="8"/>
      <c r="W7" s="8"/>
      <c r="X7" s="8"/>
      <c r="Y7" s="8"/>
      <c r="Z7" s="8"/>
      <c r="AA7" s="8"/>
    </row>
    <row r="8">
      <c r="A8" s="9" t="s">
        <v>16</v>
      </c>
      <c r="B8" s="15" t="s">
        <v>34</v>
      </c>
      <c r="C8" s="9" t="s">
        <v>38</v>
      </c>
      <c r="D8" s="15" t="s">
        <v>36</v>
      </c>
      <c r="E8" s="15" t="s">
        <v>39</v>
      </c>
      <c r="F8" s="9" t="s">
        <v>21</v>
      </c>
      <c r="G8" s="11" t="s">
        <v>29</v>
      </c>
      <c r="H8" s="12" t="s">
        <v>30</v>
      </c>
      <c r="I8" s="8"/>
      <c r="J8" s="8"/>
      <c r="K8" s="8"/>
      <c r="L8" s="8"/>
      <c r="M8" s="8"/>
      <c r="N8" s="8"/>
      <c r="O8" s="8"/>
      <c r="P8" s="8"/>
      <c r="Q8" s="8"/>
      <c r="R8" s="8"/>
      <c r="S8" s="8"/>
      <c r="T8" s="8"/>
      <c r="U8" s="8"/>
      <c r="V8" s="8"/>
      <c r="W8" s="8"/>
      <c r="X8" s="8"/>
      <c r="Y8" s="8"/>
      <c r="Z8" s="8"/>
      <c r="AA8" s="8"/>
    </row>
    <row r="9">
      <c r="A9" s="9" t="s">
        <v>16</v>
      </c>
      <c r="B9" s="15" t="s">
        <v>34</v>
      </c>
      <c r="C9" s="15" t="s">
        <v>40</v>
      </c>
      <c r="D9" s="15" t="s">
        <v>36</v>
      </c>
      <c r="E9" s="15" t="s">
        <v>41</v>
      </c>
      <c r="F9" s="9" t="s">
        <v>42</v>
      </c>
      <c r="G9" s="11" t="s">
        <v>22</v>
      </c>
      <c r="H9" s="8"/>
      <c r="I9" s="8"/>
      <c r="J9" s="8"/>
      <c r="K9" s="8"/>
      <c r="L9" s="8"/>
      <c r="M9" s="8"/>
      <c r="N9" s="8"/>
      <c r="O9" s="8"/>
      <c r="P9" s="8"/>
      <c r="Q9" s="8"/>
      <c r="R9" s="8"/>
      <c r="S9" s="8"/>
      <c r="T9" s="8"/>
      <c r="U9" s="8"/>
      <c r="V9" s="8"/>
      <c r="W9" s="8"/>
      <c r="X9" s="8"/>
      <c r="Y9" s="8"/>
      <c r="Z9" s="8"/>
      <c r="AA9" s="8"/>
    </row>
    <row r="10">
      <c r="A10" s="9" t="s">
        <v>16</v>
      </c>
      <c r="B10" s="15" t="s">
        <v>17</v>
      </c>
      <c r="C10" s="15" t="s">
        <v>43</v>
      </c>
      <c r="D10" s="9" t="s">
        <v>44</v>
      </c>
      <c r="E10" s="15" t="s">
        <v>45</v>
      </c>
      <c r="F10" s="9" t="s">
        <v>21</v>
      </c>
      <c r="G10" s="11" t="s">
        <v>22</v>
      </c>
      <c r="H10" s="8"/>
      <c r="I10" s="8"/>
      <c r="J10" s="8"/>
      <c r="K10" s="8"/>
      <c r="L10" s="8"/>
      <c r="M10" s="8"/>
      <c r="N10" s="8"/>
      <c r="O10" s="8"/>
      <c r="P10" s="8"/>
      <c r="Q10" s="8"/>
      <c r="R10" s="8"/>
      <c r="S10" s="8"/>
      <c r="T10" s="8"/>
      <c r="U10" s="8"/>
      <c r="V10" s="8"/>
      <c r="W10" s="8"/>
      <c r="X10" s="8"/>
      <c r="Y10" s="8"/>
      <c r="Z10" s="8"/>
      <c r="AA10" s="8"/>
    </row>
    <row r="11">
      <c r="A11" s="9" t="s">
        <v>16</v>
      </c>
      <c r="B11" s="15" t="s">
        <v>46</v>
      </c>
      <c r="C11" s="15" t="s">
        <v>47</v>
      </c>
      <c r="D11" s="9" t="s">
        <v>48</v>
      </c>
      <c r="E11" s="16"/>
      <c r="F11" s="9" t="s">
        <v>21</v>
      </c>
      <c r="G11" s="11" t="s">
        <v>29</v>
      </c>
      <c r="H11" s="12" t="s">
        <v>30</v>
      </c>
      <c r="I11" s="8"/>
      <c r="J11" s="8"/>
      <c r="K11" s="8"/>
      <c r="L11" s="8"/>
      <c r="M11" s="8"/>
      <c r="N11" s="8"/>
      <c r="O11" s="8"/>
      <c r="P11" s="8"/>
      <c r="Q11" s="8"/>
      <c r="R11" s="8"/>
      <c r="S11" s="8"/>
      <c r="T11" s="8"/>
      <c r="U11" s="8"/>
      <c r="V11" s="8"/>
      <c r="W11" s="8"/>
      <c r="X11" s="8"/>
      <c r="Y11" s="8"/>
      <c r="Z11" s="8"/>
      <c r="AA11" s="8"/>
    </row>
    <row r="12">
      <c r="A12" s="9" t="s">
        <v>16</v>
      </c>
      <c r="B12" s="15" t="s">
        <v>46</v>
      </c>
      <c r="C12" s="15" t="s">
        <v>49</v>
      </c>
      <c r="D12" s="9" t="s">
        <v>48</v>
      </c>
      <c r="E12" s="16"/>
      <c r="F12" s="9" t="s">
        <v>21</v>
      </c>
      <c r="G12" s="11" t="s">
        <v>29</v>
      </c>
      <c r="H12" s="12" t="s">
        <v>30</v>
      </c>
      <c r="I12" s="8"/>
      <c r="J12" s="8"/>
      <c r="K12" s="8"/>
      <c r="L12" s="8"/>
      <c r="M12" s="8"/>
      <c r="N12" s="8"/>
      <c r="O12" s="8"/>
      <c r="P12" s="8"/>
      <c r="Q12" s="8"/>
      <c r="R12" s="8"/>
      <c r="S12" s="8"/>
      <c r="T12" s="8"/>
      <c r="U12" s="8"/>
      <c r="V12" s="8"/>
      <c r="W12" s="8"/>
      <c r="X12" s="8"/>
      <c r="Y12" s="8"/>
      <c r="Z12" s="8"/>
      <c r="AA12" s="8"/>
    </row>
    <row r="13">
      <c r="A13" s="9" t="s">
        <v>16</v>
      </c>
      <c r="B13" s="15" t="s">
        <v>46</v>
      </c>
      <c r="C13" s="9" t="s">
        <v>50</v>
      </c>
      <c r="D13" s="15" t="s">
        <v>51</v>
      </c>
      <c r="E13" s="15" t="s">
        <v>52</v>
      </c>
      <c r="F13" s="9" t="s">
        <v>21</v>
      </c>
      <c r="G13" s="11" t="s">
        <v>22</v>
      </c>
      <c r="H13" s="8"/>
      <c r="I13" s="8"/>
      <c r="J13" s="8"/>
      <c r="K13" s="8"/>
      <c r="L13" s="8"/>
      <c r="M13" s="8"/>
      <c r="N13" s="8"/>
      <c r="O13" s="8"/>
      <c r="P13" s="8"/>
      <c r="Q13" s="8"/>
      <c r="R13" s="8"/>
      <c r="S13" s="8"/>
      <c r="T13" s="8"/>
      <c r="U13" s="8"/>
      <c r="V13" s="8"/>
      <c r="W13" s="8"/>
      <c r="X13" s="8"/>
      <c r="Y13" s="8"/>
      <c r="Z13" s="8"/>
      <c r="AA13" s="8"/>
    </row>
    <row r="14">
      <c r="A14" s="14" t="s">
        <v>16</v>
      </c>
      <c r="B14" s="14" t="s">
        <v>46</v>
      </c>
      <c r="C14" s="14" t="s">
        <v>53</v>
      </c>
      <c r="D14" s="14" t="s">
        <v>54</v>
      </c>
      <c r="E14" s="14" t="s">
        <v>55</v>
      </c>
      <c r="F14" s="14" t="s">
        <v>21</v>
      </c>
      <c r="G14" s="17" t="s">
        <v>22</v>
      </c>
      <c r="H14" s="1"/>
      <c r="I14" s="18"/>
      <c r="J14" s="18"/>
      <c r="K14" s="18"/>
      <c r="L14" s="18"/>
      <c r="M14" s="18"/>
      <c r="N14" s="18"/>
      <c r="O14" s="18"/>
      <c r="P14" s="18"/>
      <c r="Q14" s="18"/>
      <c r="R14" s="18"/>
      <c r="S14" s="18"/>
      <c r="T14" s="18"/>
      <c r="U14" s="18"/>
      <c r="V14" s="18"/>
      <c r="W14" s="18"/>
      <c r="X14" s="18"/>
      <c r="Y14" s="18"/>
      <c r="Z14" s="18"/>
      <c r="AA14" s="18"/>
    </row>
    <row r="15">
      <c r="A15" s="14" t="s">
        <v>16</v>
      </c>
      <c r="B15" s="14" t="s">
        <v>46</v>
      </c>
      <c r="C15" s="14" t="s">
        <v>56</v>
      </c>
      <c r="D15" s="14" t="s">
        <v>54</v>
      </c>
      <c r="E15" s="14" t="s">
        <v>55</v>
      </c>
      <c r="F15" s="14" t="s">
        <v>21</v>
      </c>
      <c r="G15" s="17" t="s">
        <v>22</v>
      </c>
      <c r="H15" s="1"/>
      <c r="I15" s="18"/>
      <c r="J15" s="18"/>
      <c r="K15" s="18"/>
      <c r="L15" s="18"/>
      <c r="M15" s="18"/>
      <c r="N15" s="18"/>
      <c r="O15" s="18"/>
      <c r="P15" s="18"/>
      <c r="Q15" s="18"/>
      <c r="R15" s="18"/>
      <c r="S15" s="18"/>
      <c r="T15" s="18"/>
      <c r="U15" s="18"/>
      <c r="V15" s="18"/>
      <c r="W15" s="18"/>
      <c r="X15" s="18"/>
      <c r="Y15" s="18"/>
      <c r="Z15" s="18"/>
      <c r="AA15" s="18"/>
    </row>
    <row r="16">
      <c r="A16" s="9" t="s">
        <v>16</v>
      </c>
      <c r="B16" s="15" t="s">
        <v>46</v>
      </c>
      <c r="C16" s="19" t="s">
        <v>57</v>
      </c>
      <c r="D16" s="15" t="s">
        <v>54</v>
      </c>
      <c r="E16" s="15" t="s">
        <v>58</v>
      </c>
      <c r="F16" s="9" t="s">
        <v>21</v>
      </c>
      <c r="G16" s="11" t="s">
        <v>22</v>
      </c>
      <c r="H16" s="12"/>
      <c r="I16" s="8"/>
      <c r="J16" s="8"/>
      <c r="K16" s="8"/>
      <c r="L16" s="8"/>
      <c r="M16" s="8"/>
      <c r="N16" s="8"/>
      <c r="O16" s="8"/>
      <c r="P16" s="8"/>
      <c r="Q16" s="8"/>
      <c r="R16" s="8"/>
      <c r="S16" s="8"/>
      <c r="T16" s="8"/>
      <c r="U16" s="8"/>
      <c r="V16" s="8"/>
      <c r="W16" s="8"/>
      <c r="X16" s="8"/>
      <c r="Y16" s="8"/>
      <c r="Z16" s="8"/>
      <c r="AA16" s="8"/>
    </row>
    <row r="17">
      <c r="A17" s="9" t="s">
        <v>16</v>
      </c>
      <c r="B17" s="15" t="s">
        <v>46</v>
      </c>
      <c r="C17" s="19" t="s">
        <v>59</v>
      </c>
      <c r="D17" s="15" t="s">
        <v>54</v>
      </c>
      <c r="E17" s="15" t="s">
        <v>55</v>
      </c>
      <c r="F17" s="9" t="s">
        <v>21</v>
      </c>
      <c r="G17" s="11" t="s">
        <v>22</v>
      </c>
      <c r="H17" s="12"/>
      <c r="I17" s="8"/>
      <c r="J17" s="8"/>
      <c r="K17" s="8"/>
      <c r="L17" s="8"/>
      <c r="M17" s="8"/>
      <c r="N17" s="8"/>
      <c r="O17" s="8"/>
      <c r="P17" s="8"/>
      <c r="Q17" s="8"/>
      <c r="R17" s="8"/>
      <c r="S17" s="8"/>
      <c r="T17" s="8"/>
      <c r="U17" s="8"/>
      <c r="V17" s="8"/>
      <c r="W17" s="8"/>
      <c r="X17" s="8"/>
      <c r="Y17" s="8"/>
      <c r="Z17" s="8"/>
      <c r="AA17" s="8"/>
    </row>
    <row r="18">
      <c r="A18" s="9" t="s">
        <v>16</v>
      </c>
      <c r="B18" s="15" t="s">
        <v>46</v>
      </c>
      <c r="C18" s="19" t="s">
        <v>60</v>
      </c>
      <c r="D18" s="15" t="s">
        <v>54</v>
      </c>
      <c r="E18" s="15" t="s">
        <v>61</v>
      </c>
      <c r="F18" s="9" t="s">
        <v>21</v>
      </c>
      <c r="G18" s="11" t="s">
        <v>22</v>
      </c>
      <c r="H18" s="12"/>
      <c r="I18" s="8"/>
      <c r="J18" s="8"/>
      <c r="K18" s="8"/>
      <c r="L18" s="8"/>
      <c r="M18" s="8"/>
      <c r="N18" s="8"/>
      <c r="O18" s="8"/>
      <c r="P18" s="8"/>
      <c r="Q18" s="8"/>
      <c r="R18" s="8"/>
      <c r="S18" s="8"/>
      <c r="T18" s="8"/>
      <c r="U18" s="8"/>
      <c r="V18" s="8"/>
      <c r="W18" s="8"/>
      <c r="X18" s="8"/>
      <c r="Y18" s="8"/>
      <c r="Z18" s="8"/>
      <c r="AA18" s="8"/>
    </row>
    <row r="19">
      <c r="A19" s="9" t="s">
        <v>16</v>
      </c>
      <c r="B19" s="15" t="s">
        <v>46</v>
      </c>
      <c r="C19" s="15" t="s">
        <v>62</v>
      </c>
      <c r="D19" s="15" t="s">
        <v>63</v>
      </c>
      <c r="E19" s="15" t="s">
        <v>64</v>
      </c>
      <c r="F19" s="9" t="s">
        <v>21</v>
      </c>
      <c r="G19" s="11" t="s">
        <v>22</v>
      </c>
      <c r="H19" s="8"/>
      <c r="I19" s="8"/>
      <c r="J19" s="8"/>
      <c r="K19" s="8"/>
      <c r="L19" s="8"/>
      <c r="M19" s="8"/>
      <c r="N19" s="8"/>
      <c r="O19" s="8"/>
      <c r="P19" s="8"/>
      <c r="Q19" s="8"/>
      <c r="R19" s="8"/>
      <c r="S19" s="8"/>
      <c r="T19" s="8"/>
      <c r="U19" s="8"/>
      <c r="V19" s="8"/>
      <c r="W19" s="8"/>
      <c r="X19" s="8"/>
      <c r="Y19" s="8"/>
      <c r="Z19" s="8"/>
      <c r="AA19" s="8"/>
    </row>
    <row r="20">
      <c r="A20" s="9" t="s">
        <v>16</v>
      </c>
      <c r="B20" s="15" t="s">
        <v>46</v>
      </c>
      <c r="C20" s="9" t="s">
        <v>65</v>
      </c>
      <c r="D20" s="15" t="s">
        <v>66</v>
      </c>
      <c r="E20" s="15" t="s">
        <v>67</v>
      </c>
      <c r="F20" s="9" t="s">
        <v>21</v>
      </c>
      <c r="G20" s="11" t="s">
        <v>29</v>
      </c>
      <c r="H20" s="8"/>
      <c r="I20" s="8"/>
      <c r="J20" s="8"/>
      <c r="K20" s="8"/>
      <c r="L20" s="8"/>
      <c r="M20" s="8"/>
      <c r="N20" s="8"/>
      <c r="O20" s="8"/>
      <c r="P20" s="8"/>
      <c r="Q20" s="8"/>
      <c r="R20" s="8"/>
      <c r="S20" s="8"/>
      <c r="T20" s="8"/>
      <c r="U20" s="8"/>
      <c r="V20" s="8"/>
      <c r="W20" s="8"/>
      <c r="X20" s="8"/>
      <c r="Y20" s="8"/>
      <c r="Z20" s="8"/>
      <c r="AA20" s="8"/>
    </row>
    <row r="21">
      <c r="A21" s="9" t="s">
        <v>16</v>
      </c>
      <c r="B21" s="15" t="s">
        <v>46</v>
      </c>
      <c r="C21" s="9" t="s">
        <v>68</v>
      </c>
      <c r="D21" s="15" t="s">
        <v>54</v>
      </c>
      <c r="E21" s="15" t="s">
        <v>69</v>
      </c>
      <c r="F21" s="9" t="s">
        <v>21</v>
      </c>
      <c r="G21" s="11" t="s">
        <v>22</v>
      </c>
      <c r="H21" s="8"/>
      <c r="I21" s="8"/>
      <c r="J21" s="8"/>
      <c r="K21" s="8"/>
      <c r="L21" s="8"/>
      <c r="M21" s="8"/>
      <c r="N21" s="8"/>
      <c r="O21" s="8"/>
      <c r="P21" s="8"/>
      <c r="Q21" s="8"/>
      <c r="R21" s="8"/>
      <c r="S21" s="8"/>
      <c r="T21" s="8"/>
      <c r="U21" s="8"/>
      <c r="V21" s="8"/>
      <c r="W21" s="8"/>
      <c r="X21" s="8"/>
      <c r="Y21" s="8"/>
      <c r="Z21" s="8"/>
      <c r="AA21" s="8"/>
    </row>
    <row r="22">
      <c r="A22" s="9" t="s">
        <v>16</v>
      </c>
      <c r="B22" s="15" t="s">
        <v>46</v>
      </c>
      <c r="C22" s="9" t="s">
        <v>70</v>
      </c>
      <c r="D22" s="15" t="s">
        <v>54</v>
      </c>
      <c r="E22" s="15" t="s">
        <v>71</v>
      </c>
      <c r="F22" s="9" t="s">
        <v>21</v>
      </c>
      <c r="G22" s="11" t="s">
        <v>22</v>
      </c>
      <c r="H22" s="8"/>
      <c r="I22" s="8"/>
      <c r="J22" s="8"/>
      <c r="K22" s="8"/>
      <c r="L22" s="8"/>
      <c r="M22" s="8"/>
      <c r="N22" s="8"/>
      <c r="O22" s="8"/>
      <c r="P22" s="8"/>
      <c r="Q22" s="8"/>
      <c r="R22" s="8"/>
      <c r="S22" s="8"/>
      <c r="T22" s="8"/>
      <c r="U22" s="8"/>
      <c r="V22" s="8"/>
      <c r="W22" s="8"/>
      <c r="X22" s="8"/>
      <c r="Y22" s="8"/>
      <c r="Z22" s="8"/>
      <c r="AA22" s="8"/>
    </row>
    <row r="23">
      <c r="A23" s="9" t="s">
        <v>16</v>
      </c>
      <c r="B23" s="15" t="s">
        <v>72</v>
      </c>
      <c r="C23" s="15" t="s">
        <v>73</v>
      </c>
      <c r="D23" s="15" t="s">
        <v>74</v>
      </c>
      <c r="E23" s="15" t="s">
        <v>75</v>
      </c>
      <c r="F23" s="9" t="s">
        <v>21</v>
      </c>
      <c r="G23" s="11" t="s">
        <v>29</v>
      </c>
      <c r="H23" s="8"/>
      <c r="I23" s="8"/>
      <c r="J23" s="8"/>
      <c r="K23" s="8"/>
      <c r="L23" s="8"/>
      <c r="M23" s="8"/>
      <c r="N23" s="8"/>
      <c r="O23" s="8"/>
      <c r="P23" s="8"/>
      <c r="Q23" s="8"/>
      <c r="R23" s="8"/>
      <c r="S23" s="8"/>
      <c r="T23" s="8"/>
      <c r="U23" s="8"/>
      <c r="V23" s="8"/>
      <c r="W23" s="8"/>
      <c r="X23" s="8"/>
      <c r="Y23" s="8"/>
      <c r="Z23" s="8"/>
      <c r="AA23" s="8"/>
    </row>
    <row r="24">
      <c r="A24" s="9" t="s">
        <v>16</v>
      </c>
      <c r="B24" s="15" t="s">
        <v>76</v>
      </c>
      <c r="C24" s="15" t="s">
        <v>77</v>
      </c>
      <c r="D24" s="15" t="s">
        <v>76</v>
      </c>
      <c r="E24" s="15" t="s">
        <v>78</v>
      </c>
      <c r="F24" s="9" t="s">
        <v>21</v>
      </c>
      <c r="G24" s="11" t="s">
        <v>22</v>
      </c>
      <c r="H24" s="8"/>
      <c r="I24" s="8"/>
      <c r="J24" s="8"/>
      <c r="K24" s="8"/>
      <c r="L24" s="8"/>
      <c r="M24" s="8"/>
      <c r="N24" s="8"/>
      <c r="O24" s="8"/>
      <c r="P24" s="8"/>
      <c r="Q24" s="8"/>
      <c r="R24" s="8"/>
      <c r="S24" s="8"/>
      <c r="T24" s="8"/>
      <c r="U24" s="8"/>
      <c r="V24" s="8"/>
      <c r="W24" s="8"/>
      <c r="X24" s="8"/>
      <c r="Y24" s="8"/>
      <c r="Z24" s="8"/>
      <c r="AA24" s="8"/>
    </row>
    <row r="25">
      <c r="A25" s="16"/>
      <c r="B25" s="16"/>
      <c r="C25" s="16"/>
      <c r="D25" s="16"/>
      <c r="E25" s="16"/>
      <c r="F25" s="16"/>
      <c r="G25" s="20"/>
      <c r="H25" s="8"/>
      <c r="I25" s="8"/>
      <c r="J25" s="8"/>
      <c r="K25" s="8"/>
      <c r="L25" s="8"/>
      <c r="M25" s="8"/>
      <c r="N25" s="8"/>
      <c r="O25" s="8"/>
      <c r="P25" s="8"/>
      <c r="Q25" s="8"/>
      <c r="R25" s="8"/>
      <c r="S25" s="8"/>
      <c r="T25" s="8"/>
      <c r="U25" s="8"/>
      <c r="V25" s="8"/>
      <c r="W25" s="8"/>
      <c r="X25" s="8"/>
      <c r="Y25" s="8"/>
      <c r="Z25" s="8"/>
      <c r="AA25" s="8"/>
    </row>
    <row r="26">
      <c r="A26" s="16"/>
      <c r="B26" s="16"/>
      <c r="C26" s="16"/>
      <c r="D26" s="16"/>
      <c r="E26" s="16"/>
      <c r="F26" s="16"/>
      <c r="G26" s="20"/>
      <c r="H26" s="8"/>
      <c r="I26" s="8"/>
      <c r="J26" s="8"/>
      <c r="K26" s="8"/>
      <c r="L26" s="8"/>
      <c r="M26" s="8"/>
      <c r="N26" s="8"/>
      <c r="O26" s="8"/>
      <c r="P26" s="8"/>
      <c r="Q26" s="8"/>
      <c r="R26" s="8"/>
      <c r="S26" s="8"/>
      <c r="T26" s="8"/>
      <c r="U26" s="8"/>
      <c r="V26" s="8"/>
      <c r="W26" s="8"/>
      <c r="X26" s="8"/>
      <c r="Y26" s="8"/>
      <c r="Z26" s="8"/>
      <c r="AA26" s="8"/>
    </row>
    <row r="27">
      <c r="A27" s="16"/>
      <c r="B27" s="16"/>
      <c r="C27" s="16"/>
      <c r="D27" s="16"/>
      <c r="E27" s="16"/>
      <c r="F27" s="16"/>
      <c r="G27" s="20"/>
      <c r="H27" s="8"/>
      <c r="I27" s="8"/>
      <c r="J27" s="8"/>
      <c r="K27" s="8"/>
      <c r="L27" s="8"/>
      <c r="M27" s="8"/>
      <c r="N27" s="8"/>
      <c r="O27" s="8"/>
      <c r="P27" s="8"/>
      <c r="Q27" s="8"/>
      <c r="R27" s="8"/>
      <c r="S27" s="8"/>
      <c r="T27" s="8"/>
      <c r="U27" s="8"/>
      <c r="V27" s="8"/>
      <c r="W27" s="8"/>
      <c r="X27" s="8"/>
      <c r="Y27" s="8"/>
      <c r="Z27" s="8"/>
      <c r="AA27" s="8"/>
    </row>
    <row r="28">
      <c r="A28" s="16"/>
      <c r="B28" s="16"/>
      <c r="C28" s="16"/>
      <c r="D28" s="16"/>
      <c r="E28" s="16"/>
      <c r="F28" s="16"/>
      <c r="G28" s="20"/>
      <c r="H28" s="8"/>
      <c r="I28" s="8"/>
      <c r="J28" s="8"/>
      <c r="K28" s="8"/>
      <c r="L28" s="8"/>
      <c r="M28" s="8"/>
      <c r="N28" s="8"/>
      <c r="O28" s="8"/>
      <c r="P28" s="8"/>
      <c r="Q28" s="8"/>
      <c r="R28" s="8"/>
      <c r="S28" s="8"/>
      <c r="T28" s="8"/>
      <c r="U28" s="8"/>
      <c r="V28" s="8"/>
      <c r="W28" s="8"/>
      <c r="X28" s="8"/>
      <c r="Y28" s="8"/>
      <c r="Z28" s="8"/>
      <c r="AA28" s="8"/>
    </row>
    <row r="29">
      <c r="A29" s="16"/>
      <c r="B29" s="16"/>
      <c r="C29" s="16"/>
      <c r="D29" s="16"/>
      <c r="E29" s="16"/>
      <c r="F29" s="16"/>
      <c r="G29" s="20"/>
      <c r="H29" s="8"/>
      <c r="I29" s="8"/>
      <c r="J29" s="8"/>
      <c r="K29" s="8"/>
      <c r="L29" s="8"/>
      <c r="M29" s="8"/>
      <c r="N29" s="8"/>
      <c r="O29" s="8"/>
      <c r="P29" s="8"/>
      <c r="Q29" s="8"/>
      <c r="R29" s="8"/>
      <c r="S29" s="8"/>
      <c r="T29" s="8"/>
      <c r="U29" s="8"/>
      <c r="V29" s="8"/>
      <c r="W29" s="8"/>
      <c r="X29" s="8"/>
      <c r="Y29" s="8"/>
      <c r="Z29" s="8"/>
      <c r="AA29" s="8"/>
    </row>
    <row r="30">
      <c r="A30" s="16"/>
      <c r="B30" s="16"/>
      <c r="C30" s="16"/>
      <c r="D30" s="16"/>
      <c r="E30" s="16"/>
      <c r="F30" s="16"/>
      <c r="G30" s="20"/>
      <c r="H30" s="8"/>
      <c r="I30" s="8"/>
      <c r="J30" s="8"/>
      <c r="K30" s="8"/>
      <c r="L30" s="8"/>
      <c r="M30" s="8"/>
      <c r="N30" s="8"/>
      <c r="O30" s="8"/>
      <c r="P30" s="8"/>
      <c r="Q30" s="8"/>
      <c r="R30" s="8"/>
      <c r="S30" s="8"/>
      <c r="T30" s="8"/>
      <c r="U30" s="8"/>
      <c r="V30" s="8"/>
      <c r="W30" s="8"/>
      <c r="X30" s="8"/>
      <c r="Y30" s="8"/>
      <c r="Z30" s="8"/>
      <c r="AA30" s="8"/>
    </row>
    <row r="31">
      <c r="A31" s="16"/>
      <c r="B31" s="16"/>
      <c r="C31" s="16"/>
      <c r="D31" s="16"/>
      <c r="E31" s="16"/>
      <c r="F31" s="16"/>
      <c r="G31" s="20"/>
      <c r="H31" s="8"/>
      <c r="I31" s="8"/>
      <c r="J31" s="8"/>
      <c r="K31" s="8"/>
      <c r="L31" s="8"/>
      <c r="M31" s="8"/>
      <c r="N31" s="8"/>
      <c r="O31" s="8"/>
      <c r="P31" s="8"/>
      <c r="Q31" s="8"/>
      <c r="R31" s="8"/>
      <c r="S31" s="8"/>
      <c r="T31" s="8"/>
      <c r="U31" s="8"/>
      <c r="V31" s="8"/>
      <c r="W31" s="8"/>
      <c r="X31" s="8"/>
      <c r="Y31" s="8"/>
      <c r="Z31" s="8"/>
      <c r="AA31" s="8"/>
    </row>
    <row r="32">
      <c r="A32" s="16"/>
      <c r="B32" s="16"/>
      <c r="C32" s="16"/>
      <c r="D32" s="16"/>
      <c r="E32" s="16"/>
      <c r="F32" s="16"/>
      <c r="G32" s="20"/>
      <c r="H32" s="8"/>
      <c r="I32" s="8"/>
      <c r="J32" s="8"/>
      <c r="K32" s="8"/>
      <c r="L32" s="8"/>
      <c r="M32" s="8"/>
      <c r="N32" s="8"/>
      <c r="O32" s="8"/>
      <c r="P32" s="8"/>
      <c r="Q32" s="8"/>
      <c r="R32" s="8"/>
      <c r="S32" s="8"/>
      <c r="T32" s="8"/>
      <c r="U32" s="8"/>
      <c r="V32" s="8"/>
      <c r="W32" s="8"/>
      <c r="X32" s="8"/>
      <c r="Y32" s="8"/>
      <c r="Z32" s="8"/>
      <c r="AA32" s="8"/>
    </row>
    <row r="33">
      <c r="A33" s="16"/>
      <c r="B33" s="16"/>
      <c r="C33" s="16"/>
      <c r="D33" s="16"/>
      <c r="E33" s="16"/>
      <c r="F33" s="16"/>
      <c r="G33" s="20"/>
      <c r="H33" s="8"/>
      <c r="I33" s="8"/>
      <c r="J33" s="8"/>
      <c r="K33" s="8"/>
      <c r="L33" s="8"/>
      <c r="M33" s="8"/>
      <c r="N33" s="8"/>
      <c r="O33" s="8"/>
      <c r="P33" s="8"/>
      <c r="Q33" s="8"/>
      <c r="R33" s="8"/>
      <c r="S33" s="8"/>
      <c r="T33" s="8"/>
      <c r="U33" s="8"/>
      <c r="V33" s="8"/>
      <c r="W33" s="8"/>
      <c r="X33" s="8"/>
      <c r="Y33" s="8"/>
      <c r="Z33" s="8"/>
      <c r="AA33" s="8"/>
    </row>
    <row r="34">
      <c r="A34" s="16"/>
      <c r="B34" s="16"/>
      <c r="C34" s="16"/>
      <c r="D34" s="16"/>
      <c r="E34" s="16"/>
      <c r="F34" s="16"/>
      <c r="G34" s="20"/>
      <c r="H34" s="8"/>
      <c r="I34" s="8"/>
      <c r="J34" s="8"/>
      <c r="K34" s="8"/>
      <c r="L34" s="8"/>
      <c r="M34" s="8"/>
      <c r="N34" s="8"/>
      <c r="O34" s="8"/>
      <c r="P34" s="8"/>
      <c r="Q34" s="8"/>
      <c r="R34" s="8"/>
      <c r="S34" s="8"/>
      <c r="T34" s="8"/>
      <c r="U34" s="8"/>
      <c r="V34" s="8"/>
      <c r="W34" s="8"/>
      <c r="X34" s="8"/>
      <c r="Y34" s="8"/>
      <c r="Z34" s="8"/>
      <c r="AA34" s="8"/>
    </row>
    <row r="35">
      <c r="A35" s="21"/>
      <c r="H35" s="8"/>
      <c r="I35" s="8"/>
      <c r="J35" s="8"/>
      <c r="K35" s="8"/>
      <c r="L35" s="8"/>
      <c r="M35" s="8"/>
      <c r="N35" s="8"/>
      <c r="O35" s="8"/>
      <c r="P35" s="8"/>
      <c r="Q35" s="8"/>
      <c r="R35" s="8"/>
      <c r="S35" s="8"/>
      <c r="T35" s="8"/>
      <c r="U35" s="8"/>
      <c r="V35" s="8"/>
      <c r="W35" s="8"/>
      <c r="X35" s="8"/>
      <c r="Y35" s="8"/>
      <c r="Z35" s="8"/>
      <c r="AA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22"/>
      <c r="B37" s="22"/>
      <c r="C37" s="23"/>
      <c r="D37" s="22"/>
      <c r="E37" s="22"/>
      <c r="F37" s="24"/>
      <c r="G37" s="8"/>
      <c r="H37" s="8"/>
      <c r="I37" s="8"/>
      <c r="J37" s="8"/>
      <c r="K37" s="8"/>
      <c r="L37" s="8"/>
      <c r="M37" s="8"/>
      <c r="N37" s="8"/>
      <c r="O37" s="8"/>
      <c r="P37" s="8"/>
      <c r="Q37" s="8"/>
      <c r="R37" s="8"/>
      <c r="S37" s="8"/>
      <c r="T37" s="8"/>
      <c r="U37" s="8"/>
      <c r="V37" s="8"/>
      <c r="W37" s="8"/>
      <c r="X37" s="8"/>
      <c r="Y37" s="8"/>
      <c r="Z37" s="8"/>
      <c r="AA37" s="8"/>
    </row>
    <row r="38">
      <c r="A38" s="22"/>
      <c r="B38" s="23"/>
      <c r="C38" s="25"/>
      <c r="D38" s="23"/>
      <c r="E38" s="23"/>
      <c r="F38" s="24"/>
      <c r="G38" s="8"/>
      <c r="H38" s="8"/>
      <c r="I38" s="8"/>
      <c r="J38" s="8"/>
      <c r="K38" s="8"/>
      <c r="L38" s="8"/>
      <c r="M38" s="8"/>
      <c r="N38" s="8"/>
      <c r="O38" s="8"/>
      <c r="P38" s="8"/>
      <c r="Q38" s="8"/>
      <c r="R38" s="8"/>
      <c r="S38" s="8"/>
      <c r="T38" s="8"/>
      <c r="U38" s="8"/>
      <c r="V38" s="8"/>
      <c r="W38" s="8"/>
      <c r="X38" s="8"/>
      <c r="Y38" s="8"/>
      <c r="Z38" s="8"/>
      <c r="AA38" s="8"/>
    </row>
    <row r="39">
      <c r="A39" s="22"/>
      <c r="B39" s="23"/>
      <c r="C39" s="26"/>
      <c r="D39" s="23"/>
      <c r="E39" s="23"/>
      <c r="F39" s="22"/>
      <c r="G39" s="8"/>
      <c r="H39" s="8"/>
      <c r="I39" s="8"/>
      <c r="J39" s="8"/>
      <c r="K39" s="8"/>
      <c r="L39" s="8"/>
      <c r="M39" s="8"/>
      <c r="N39" s="8"/>
      <c r="O39" s="8"/>
      <c r="P39" s="8"/>
      <c r="Q39" s="8"/>
      <c r="R39" s="8"/>
      <c r="S39" s="8"/>
      <c r="T39" s="8"/>
      <c r="U39" s="8"/>
      <c r="V39" s="8"/>
      <c r="W39" s="8"/>
      <c r="X39" s="8"/>
      <c r="Y39" s="8"/>
      <c r="Z39" s="8"/>
      <c r="AA39" s="8"/>
    </row>
    <row r="40">
      <c r="A40" s="22"/>
      <c r="B40" s="23"/>
      <c r="C40" s="26"/>
      <c r="D40" s="23"/>
      <c r="E40" s="23"/>
      <c r="F40" s="24"/>
      <c r="G40" s="8"/>
      <c r="H40" s="8"/>
      <c r="I40" s="8"/>
      <c r="J40" s="8"/>
      <c r="K40" s="8"/>
      <c r="L40" s="8"/>
      <c r="M40" s="8"/>
      <c r="N40" s="8"/>
      <c r="O40" s="8"/>
      <c r="P40" s="8"/>
      <c r="Q40" s="8"/>
      <c r="R40" s="8"/>
      <c r="S40" s="8"/>
      <c r="T40" s="8"/>
      <c r="U40" s="8"/>
      <c r="V40" s="8"/>
      <c r="W40" s="8"/>
      <c r="X40" s="8"/>
      <c r="Y40" s="8"/>
      <c r="Z40" s="8"/>
      <c r="AA40" s="8"/>
    </row>
    <row r="41">
      <c r="A41" s="22"/>
      <c r="B41" s="23"/>
      <c r="C41" s="26"/>
      <c r="D41" s="23"/>
      <c r="E41" s="23"/>
      <c r="F41" s="24"/>
      <c r="G41" s="8"/>
      <c r="H41" s="8"/>
      <c r="I41" s="8"/>
      <c r="J41" s="8"/>
      <c r="K41" s="8"/>
      <c r="L41" s="8"/>
      <c r="M41" s="8"/>
      <c r="N41" s="8"/>
      <c r="O41" s="8"/>
      <c r="P41" s="8"/>
      <c r="Q41" s="8"/>
      <c r="R41" s="8"/>
      <c r="S41" s="8"/>
      <c r="T41" s="8"/>
      <c r="U41" s="8"/>
      <c r="V41" s="8"/>
      <c r="W41" s="8"/>
      <c r="X41" s="8"/>
      <c r="Y41" s="8"/>
      <c r="Z41" s="8"/>
      <c r="AA41" s="8"/>
    </row>
    <row r="42">
      <c r="A42" s="22"/>
      <c r="B42" s="23"/>
      <c r="C42" s="26"/>
      <c r="D42" s="23"/>
      <c r="E42" s="23"/>
      <c r="F42" s="24"/>
      <c r="G42" s="8"/>
      <c r="H42" s="8"/>
      <c r="I42" s="8"/>
      <c r="J42" s="8"/>
      <c r="K42" s="8"/>
      <c r="L42" s="8"/>
      <c r="M42" s="8"/>
      <c r="N42" s="8"/>
      <c r="O42" s="8"/>
      <c r="P42" s="8"/>
      <c r="Q42" s="8"/>
      <c r="R42" s="8"/>
      <c r="S42" s="8"/>
      <c r="T42" s="8"/>
      <c r="U42" s="8"/>
      <c r="V42" s="8"/>
      <c r="W42" s="8"/>
      <c r="X42" s="8"/>
      <c r="Y42" s="8"/>
      <c r="Z42" s="8"/>
      <c r="AA42" s="8"/>
    </row>
    <row r="43">
      <c r="A43" s="22"/>
      <c r="B43" s="23"/>
      <c r="C43" s="26"/>
      <c r="D43" s="23"/>
      <c r="E43" s="23"/>
      <c r="F43" s="24"/>
      <c r="G43" s="8"/>
      <c r="H43" s="8"/>
      <c r="I43" s="8"/>
      <c r="J43" s="8"/>
      <c r="K43" s="8"/>
      <c r="L43" s="8"/>
      <c r="M43" s="8"/>
      <c r="N43" s="8"/>
      <c r="O43" s="8"/>
      <c r="P43" s="8"/>
      <c r="Q43" s="8"/>
      <c r="R43" s="8"/>
      <c r="S43" s="8"/>
      <c r="T43" s="8"/>
      <c r="U43" s="8"/>
      <c r="V43" s="8"/>
      <c r="W43" s="8"/>
      <c r="X43" s="8"/>
      <c r="Y43" s="8"/>
      <c r="Z43" s="8"/>
      <c r="AA43" s="8"/>
    </row>
    <row r="44">
      <c r="A44" s="23"/>
      <c r="B44" s="23"/>
      <c r="C44" s="27"/>
      <c r="D44" s="23"/>
      <c r="E44" s="23"/>
      <c r="F44" s="22"/>
      <c r="G44" s="8"/>
      <c r="H44" s="8"/>
      <c r="I44" s="8"/>
      <c r="J44" s="8"/>
      <c r="K44" s="8"/>
      <c r="L44" s="8"/>
      <c r="M44" s="8"/>
      <c r="N44" s="8"/>
      <c r="O44" s="8"/>
      <c r="P44" s="8"/>
      <c r="Q44" s="8"/>
      <c r="R44" s="8"/>
      <c r="S44" s="8"/>
      <c r="T44" s="8"/>
      <c r="U44" s="8"/>
      <c r="V44" s="8"/>
      <c r="W44" s="8"/>
      <c r="X44" s="8"/>
      <c r="Y44" s="8"/>
      <c r="Z44" s="8"/>
      <c r="AA44" s="8"/>
    </row>
    <row r="45">
      <c r="A45" s="24"/>
      <c r="B45" s="24"/>
      <c r="C45" s="24"/>
      <c r="D45" s="24"/>
      <c r="E45" s="24"/>
      <c r="F45" s="24"/>
      <c r="G45" s="8"/>
      <c r="H45" s="8"/>
      <c r="I45" s="8"/>
      <c r="J45" s="8"/>
      <c r="K45" s="8"/>
      <c r="L45" s="8"/>
      <c r="M45" s="8"/>
      <c r="N45" s="8"/>
      <c r="O45" s="8"/>
      <c r="P45" s="8"/>
      <c r="Q45" s="8"/>
      <c r="R45" s="8"/>
      <c r="S45" s="8"/>
      <c r="T45" s="8"/>
      <c r="U45" s="8"/>
      <c r="V45" s="8"/>
      <c r="W45" s="8"/>
      <c r="X45" s="8"/>
      <c r="Y45" s="8"/>
      <c r="Z45" s="8"/>
      <c r="AA45" s="8"/>
    </row>
    <row r="46">
      <c r="A46" s="28"/>
      <c r="B46" s="29"/>
      <c r="C46" s="24"/>
      <c r="D46" s="24"/>
      <c r="E46" s="24"/>
      <c r="F46" s="24"/>
      <c r="G46" s="8"/>
      <c r="H46" s="8"/>
      <c r="I46" s="8"/>
      <c r="J46" s="8"/>
      <c r="K46" s="8"/>
      <c r="L46" s="8"/>
      <c r="M46" s="8"/>
      <c r="N46" s="8"/>
      <c r="O46" s="8"/>
      <c r="P46" s="8"/>
      <c r="Q46" s="8"/>
      <c r="R46" s="8"/>
      <c r="S46" s="8"/>
      <c r="T46" s="8"/>
      <c r="U46" s="8"/>
      <c r="V46" s="8"/>
      <c r="W46" s="8"/>
      <c r="X46" s="8"/>
      <c r="Y46" s="8"/>
      <c r="Z46" s="8"/>
      <c r="AA46" s="8"/>
    </row>
    <row r="47">
      <c r="A47" s="22"/>
      <c r="B47" s="22"/>
      <c r="C47" s="23"/>
      <c r="D47" s="22"/>
      <c r="E47" s="22"/>
      <c r="F47" s="24"/>
      <c r="G47" s="8"/>
      <c r="H47" s="8"/>
      <c r="I47" s="8"/>
      <c r="J47" s="8"/>
      <c r="K47" s="8"/>
      <c r="L47" s="8"/>
      <c r="M47" s="8"/>
      <c r="N47" s="8"/>
      <c r="O47" s="8"/>
      <c r="P47" s="8"/>
      <c r="Q47" s="8"/>
      <c r="R47" s="8"/>
      <c r="S47" s="8"/>
      <c r="T47" s="8"/>
      <c r="U47" s="8"/>
      <c r="V47" s="8"/>
      <c r="W47" s="8"/>
      <c r="X47" s="8"/>
      <c r="Y47" s="8"/>
      <c r="Z47" s="8"/>
      <c r="AA47" s="8"/>
    </row>
    <row r="48">
      <c r="A48" s="22"/>
      <c r="B48" s="23"/>
      <c r="C48" s="30"/>
      <c r="D48" s="23"/>
      <c r="E48" s="23"/>
      <c r="F48" s="24"/>
      <c r="G48" s="8"/>
      <c r="H48" s="8"/>
      <c r="I48" s="8"/>
      <c r="J48" s="8"/>
      <c r="K48" s="8"/>
      <c r="L48" s="8"/>
      <c r="M48" s="8"/>
      <c r="N48" s="8"/>
      <c r="O48" s="8"/>
      <c r="P48" s="8"/>
      <c r="Q48" s="8"/>
      <c r="R48" s="8"/>
      <c r="S48" s="8"/>
      <c r="T48" s="8"/>
      <c r="U48" s="8"/>
      <c r="V48" s="8"/>
      <c r="W48" s="8"/>
      <c r="X48" s="8"/>
      <c r="Y48" s="8"/>
      <c r="Z48" s="8"/>
      <c r="AA48" s="8"/>
    </row>
    <row r="49">
      <c r="A49" s="31"/>
      <c r="B49" s="23"/>
      <c r="C49" s="26"/>
      <c r="D49" s="23"/>
      <c r="E49" s="23"/>
      <c r="F49" s="24"/>
      <c r="G49" s="8"/>
      <c r="H49" s="8"/>
      <c r="I49" s="8"/>
      <c r="J49" s="8"/>
      <c r="K49" s="8"/>
      <c r="L49" s="8"/>
      <c r="M49" s="8"/>
      <c r="N49" s="8"/>
      <c r="O49" s="8"/>
      <c r="P49" s="8"/>
      <c r="Q49" s="8"/>
      <c r="R49" s="8"/>
      <c r="S49" s="8"/>
      <c r="T49" s="8"/>
      <c r="U49" s="8"/>
      <c r="V49" s="8"/>
      <c r="W49" s="8"/>
      <c r="X49" s="8"/>
      <c r="Y49" s="8"/>
      <c r="Z49" s="8"/>
      <c r="AA49" s="8"/>
    </row>
    <row r="50">
      <c r="A50" s="22"/>
      <c r="B50" s="23"/>
      <c r="C50" s="26"/>
      <c r="D50" s="23"/>
      <c r="E50" s="23"/>
      <c r="F50" s="22"/>
      <c r="G50" s="8"/>
      <c r="H50" s="8"/>
      <c r="I50" s="8"/>
      <c r="J50" s="8"/>
      <c r="K50" s="8"/>
      <c r="L50" s="8"/>
      <c r="M50" s="8"/>
      <c r="N50" s="8"/>
      <c r="O50" s="8"/>
      <c r="P50" s="8"/>
      <c r="Q50" s="8"/>
      <c r="R50" s="8"/>
      <c r="S50" s="8"/>
      <c r="T50" s="8"/>
      <c r="U50" s="8"/>
      <c r="V50" s="8"/>
      <c r="W50" s="8"/>
      <c r="X50" s="8"/>
      <c r="Y50" s="8"/>
      <c r="Z50" s="8"/>
      <c r="AA50" s="8"/>
    </row>
    <row r="51">
      <c r="A51" s="22"/>
      <c r="B51" s="23"/>
      <c r="C51" s="26"/>
      <c r="D51" s="23"/>
      <c r="E51" s="23"/>
      <c r="F51" s="22"/>
      <c r="G51" s="8"/>
      <c r="H51" s="8"/>
      <c r="I51" s="8"/>
      <c r="J51" s="8"/>
      <c r="K51" s="8"/>
      <c r="L51" s="8"/>
      <c r="M51" s="8"/>
      <c r="N51" s="8"/>
      <c r="O51" s="8"/>
      <c r="P51" s="8"/>
      <c r="Q51" s="8"/>
      <c r="R51" s="8"/>
      <c r="S51" s="8"/>
      <c r="T51" s="8"/>
      <c r="U51" s="8"/>
      <c r="V51" s="8"/>
      <c r="W51" s="8"/>
      <c r="X51" s="8"/>
      <c r="Y51" s="8"/>
      <c r="Z51" s="8"/>
      <c r="AA51" s="8"/>
    </row>
    <row r="52">
      <c r="A52" s="22"/>
      <c r="B52" s="23"/>
      <c r="C52" s="26"/>
      <c r="D52" s="23"/>
      <c r="E52" s="23"/>
      <c r="F52" s="24"/>
      <c r="G52" s="8"/>
      <c r="H52" s="8"/>
      <c r="I52" s="8"/>
      <c r="J52" s="8"/>
      <c r="K52" s="8"/>
      <c r="L52" s="8"/>
      <c r="M52" s="8"/>
      <c r="N52" s="8"/>
      <c r="O52" s="8"/>
      <c r="P52" s="8"/>
      <c r="Q52" s="8"/>
      <c r="R52" s="8"/>
      <c r="S52" s="8"/>
      <c r="T52" s="8"/>
      <c r="U52" s="8"/>
      <c r="V52" s="8"/>
      <c r="W52" s="8"/>
      <c r="X52" s="8"/>
      <c r="Y52" s="8"/>
      <c r="Z52" s="8"/>
      <c r="AA52" s="8"/>
    </row>
    <row r="53">
      <c r="A53" s="23"/>
      <c r="B53" s="23"/>
      <c r="C53" s="27"/>
      <c r="D53" s="23"/>
      <c r="E53" s="23"/>
      <c r="F53" s="24"/>
      <c r="G53" s="8"/>
      <c r="H53" s="8"/>
      <c r="I53" s="8"/>
      <c r="J53" s="8"/>
      <c r="K53" s="8"/>
      <c r="L53" s="8"/>
      <c r="M53" s="8"/>
      <c r="N53" s="8"/>
      <c r="O53" s="8"/>
      <c r="P53" s="8"/>
      <c r="Q53" s="8"/>
      <c r="R53" s="8"/>
      <c r="S53" s="8"/>
      <c r="T53" s="8"/>
      <c r="U53" s="8"/>
      <c r="V53" s="8"/>
      <c r="W53" s="8"/>
      <c r="X53" s="8"/>
      <c r="Y53" s="8"/>
      <c r="Z53" s="8"/>
      <c r="AA53" s="8"/>
    </row>
    <row r="54">
      <c r="A54" s="24"/>
      <c r="B54" s="24"/>
      <c r="C54" s="32"/>
      <c r="D54" s="24"/>
      <c r="E54" s="24"/>
      <c r="F54" s="24"/>
      <c r="G54" s="8"/>
      <c r="H54" s="8"/>
      <c r="I54" s="8"/>
      <c r="J54" s="8"/>
      <c r="K54" s="8"/>
      <c r="L54" s="8"/>
      <c r="M54" s="8"/>
      <c r="N54" s="8"/>
      <c r="O54" s="8"/>
      <c r="P54" s="8"/>
      <c r="Q54" s="8"/>
      <c r="R54" s="8"/>
      <c r="S54" s="8"/>
      <c r="T54" s="8"/>
      <c r="U54" s="8"/>
      <c r="V54" s="8"/>
      <c r="W54" s="8"/>
      <c r="X54" s="8"/>
      <c r="Y54" s="8"/>
      <c r="Z54" s="8"/>
      <c r="AA54" s="8"/>
    </row>
    <row r="55">
      <c r="A55" s="24"/>
      <c r="B55" s="24"/>
      <c r="C55" s="24"/>
      <c r="D55" s="24"/>
      <c r="E55" s="24"/>
      <c r="F55" s="24"/>
      <c r="G55" s="8"/>
      <c r="H55" s="8"/>
      <c r="I55" s="8"/>
      <c r="J55" s="8"/>
      <c r="K55" s="8"/>
      <c r="L55" s="8"/>
      <c r="M55" s="8"/>
      <c r="N55" s="8"/>
      <c r="O55" s="8"/>
      <c r="P55" s="8"/>
      <c r="Q55" s="8"/>
      <c r="R55" s="8"/>
      <c r="S55" s="8"/>
      <c r="T55" s="8"/>
      <c r="U55" s="8"/>
      <c r="V55" s="8"/>
      <c r="W55" s="8"/>
      <c r="X55" s="8"/>
      <c r="Y55" s="8"/>
      <c r="Z55" s="8"/>
      <c r="AA55" s="8"/>
    </row>
    <row r="56">
      <c r="A56" s="28"/>
      <c r="B56" s="29"/>
      <c r="C56" s="24"/>
      <c r="D56" s="24"/>
      <c r="E56" s="24"/>
      <c r="F56" s="24"/>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row>
  </sheetData>
  <mergeCells count="5">
    <mergeCell ref="A35:G35"/>
    <mergeCell ref="C38:C44"/>
    <mergeCell ref="A46:B46"/>
    <mergeCell ref="C48:C53"/>
    <mergeCell ref="A56:B56"/>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88"/>
    <col customWidth="1" min="2" max="2" width="17.63"/>
    <col customWidth="1" min="3" max="3" width="37.25"/>
    <col customWidth="1" min="4" max="5" width="25.5"/>
  </cols>
  <sheetData>
    <row r="1">
      <c r="A1" s="33" t="s">
        <v>11</v>
      </c>
      <c r="B1" s="34" t="s">
        <v>79</v>
      </c>
      <c r="C1" s="34" t="s">
        <v>80</v>
      </c>
      <c r="D1" s="33" t="s">
        <v>81</v>
      </c>
      <c r="E1" s="34" t="s">
        <v>12</v>
      </c>
      <c r="H1" s="18"/>
      <c r="I1" s="18"/>
      <c r="J1" s="18"/>
      <c r="K1" s="18"/>
      <c r="L1" s="18"/>
      <c r="M1" s="18"/>
      <c r="N1" s="18"/>
      <c r="O1" s="18"/>
      <c r="P1" s="18"/>
      <c r="Q1" s="18"/>
      <c r="R1" s="18"/>
      <c r="S1" s="18"/>
      <c r="T1" s="18"/>
      <c r="U1" s="18"/>
      <c r="V1" s="18"/>
      <c r="W1" s="18"/>
      <c r="X1" s="18"/>
      <c r="Y1" s="18"/>
      <c r="Z1" s="18"/>
      <c r="AA1" s="18"/>
      <c r="AB1" s="18"/>
      <c r="AC1" s="18"/>
      <c r="AD1" s="18"/>
    </row>
    <row r="2">
      <c r="A2" s="35" t="s">
        <v>82</v>
      </c>
      <c r="B2" s="35" t="s">
        <v>83</v>
      </c>
      <c r="C2" s="35" t="s">
        <v>84</v>
      </c>
      <c r="D2" s="36" t="s">
        <v>85</v>
      </c>
      <c r="E2" s="37"/>
    </row>
    <row r="3">
      <c r="A3" s="35" t="s">
        <v>86</v>
      </c>
      <c r="B3" s="35" t="s">
        <v>87</v>
      </c>
      <c r="C3" s="38" t="s">
        <v>88</v>
      </c>
      <c r="D3" s="37"/>
      <c r="E3" s="37"/>
    </row>
    <row r="4">
      <c r="A4" s="35" t="s">
        <v>89</v>
      </c>
      <c r="B4" s="35" t="s">
        <v>89</v>
      </c>
      <c r="C4" s="39" t="s">
        <v>90</v>
      </c>
      <c r="D4" s="37"/>
      <c r="E4" s="37"/>
    </row>
    <row r="5">
      <c r="A5" s="36" t="s">
        <v>91</v>
      </c>
      <c r="B5" s="36" t="s">
        <v>92</v>
      </c>
      <c r="C5" s="40" t="s">
        <v>93</v>
      </c>
      <c r="D5" s="36" t="s">
        <v>94</v>
      </c>
      <c r="E5" s="37"/>
    </row>
    <row r="6">
      <c r="A6" s="36"/>
      <c r="B6" s="36" t="s">
        <v>95</v>
      </c>
      <c r="C6" s="40" t="s">
        <v>96</v>
      </c>
      <c r="D6" s="36" t="s">
        <v>94</v>
      </c>
      <c r="E6" s="37"/>
    </row>
    <row r="7">
      <c r="A7" s="41"/>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B3" s="42" t="s">
        <v>97</v>
      </c>
      <c r="C3" s="42" t="s">
        <v>98</v>
      </c>
      <c r="D3" s="42" t="s">
        <v>99</v>
      </c>
      <c r="E3" s="42" t="s">
        <v>100</v>
      </c>
    </row>
    <row r="5">
      <c r="B5" s="42" t="s">
        <v>101</v>
      </c>
      <c r="C5" s="42" t="s">
        <v>97</v>
      </c>
      <c r="D5" s="42" t="s">
        <v>98</v>
      </c>
      <c r="E5" s="42" t="s">
        <v>102</v>
      </c>
    </row>
    <row r="8">
      <c r="B8" s="42" t="s">
        <v>103</v>
      </c>
      <c r="C8" s="42" t="s">
        <v>104</v>
      </c>
    </row>
    <row r="9">
      <c r="C9" s="42" t="s">
        <v>105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3" t="s">
        <v>106</v>
      </c>
      <c r="B1" s="44"/>
      <c r="C1" s="45" t="s">
        <v>107</v>
      </c>
      <c r="D1" s="29"/>
      <c r="E1" s="43" t="s">
        <v>108</v>
      </c>
      <c r="F1" s="45" t="s">
        <v>109</v>
      </c>
      <c r="G1" s="29"/>
      <c r="H1" s="45" t="s">
        <v>110</v>
      </c>
      <c r="I1" s="46"/>
      <c r="J1" s="29"/>
      <c r="K1" s="45" t="s">
        <v>111</v>
      </c>
      <c r="L1" s="29"/>
      <c r="M1" s="45" t="s">
        <v>112</v>
      </c>
      <c r="N1" s="46"/>
      <c r="O1" s="29"/>
      <c r="P1" s="43" t="s">
        <v>113</v>
      </c>
      <c r="Q1" s="43" t="s">
        <v>114</v>
      </c>
      <c r="R1" s="43" t="s">
        <v>115</v>
      </c>
      <c r="S1" s="18"/>
      <c r="T1" s="18"/>
      <c r="U1" s="18"/>
      <c r="V1" s="18"/>
      <c r="W1" s="18"/>
      <c r="X1" s="18"/>
      <c r="Y1" s="18"/>
      <c r="Z1" s="18"/>
      <c r="AA1" s="18"/>
      <c r="AB1" s="18"/>
      <c r="AC1" s="18"/>
      <c r="AD1" s="18"/>
      <c r="AE1" s="18"/>
    </row>
    <row r="2">
      <c r="A2" s="44"/>
      <c r="B2" s="44"/>
      <c r="C2" s="47" t="s">
        <v>116</v>
      </c>
      <c r="D2" s="47" t="s">
        <v>117</v>
      </c>
      <c r="E2" s="44"/>
      <c r="F2" s="47" t="s">
        <v>116</v>
      </c>
      <c r="G2" s="47" t="s">
        <v>117</v>
      </c>
      <c r="H2" s="47" t="s">
        <v>118</v>
      </c>
      <c r="I2" s="47" t="s">
        <v>116</v>
      </c>
      <c r="J2" s="47" t="s">
        <v>117</v>
      </c>
      <c r="K2" s="47" t="s">
        <v>116</v>
      </c>
      <c r="L2" s="47" t="s">
        <v>117</v>
      </c>
      <c r="M2" s="47" t="s">
        <v>119</v>
      </c>
      <c r="N2" s="47" t="s">
        <v>120</v>
      </c>
      <c r="O2" s="47" t="s">
        <v>121</v>
      </c>
      <c r="P2" s="47" t="s">
        <v>122</v>
      </c>
      <c r="Q2" s="47" t="s">
        <v>119</v>
      </c>
      <c r="R2" s="47" t="s">
        <v>119</v>
      </c>
      <c r="S2" s="18"/>
      <c r="T2" s="18"/>
      <c r="U2" s="18"/>
      <c r="V2" s="18"/>
      <c r="W2" s="18"/>
      <c r="X2" s="18"/>
      <c r="Y2" s="18"/>
      <c r="Z2" s="18"/>
      <c r="AA2" s="18"/>
      <c r="AB2" s="18"/>
      <c r="AC2" s="18"/>
      <c r="AD2" s="18"/>
      <c r="AE2" s="18"/>
    </row>
    <row r="3">
      <c r="A3" s="48" t="s">
        <v>123</v>
      </c>
      <c r="B3" s="49" t="s">
        <v>124</v>
      </c>
      <c r="C3" s="50" t="s">
        <v>125</v>
      </c>
      <c r="D3" s="50" t="s">
        <v>125</v>
      </c>
      <c r="E3" s="51"/>
      <c r="F3" s="50" t="s">
        <v>125</v>
      </c>
      <c r="G3" s="50" t="s">
        <v>125</v>
      </c>
      <c r="H3" s="52" t="s">
        <v>126</v>
      </c>
      <c r="I3" s="52" t="s">
        <v>126</v>
      </c>
      <c r="J3" s="52" t="s">
        <v>126</v>
      </c>
      <c r="K3" s="52" t="s">
        <v>125</v>
      </c>
      <c r="L3" s="52" t="s">
        <v>125</v>
      </c>
      <c r="M3" s="52" t="s">
        <v>126</v>
      </c>
      <c r="N3" s="52" t="s">
        <v>126</v>
      </c>
      <c r="O3" s="53"/>
      <c r="P3" s="52" t="s">
        <v>126</v>
      </c>
      <c r="Q3" s="52" t="s">
        <v>126</v>
      </c>
      <c r="R3" s="53"/>
      <c r="S3" s="18"/>
      <c r="T3" s="18"/>
      <c r="U3" s="18"/>
      <c r="V3" s="18"/>
      <c r="W3" s="18"/>
      <c r="X3" s="18"/>
      <c r="Y3" s="18"/>
      <c r="Z3" s="18"/>
      <c r="AA3" s="18"/>
      <c r="AB3" s="18"/>
      <c r="AC3" s="18"/>
      <c r="AD3" s="18"/>
      <c r="AE3" s="18"/>
    </row>
    <row r="4">
      <c r="A4" s="26"/>
      <c r="B4" s="54" t="s">
        <v>127</v>
      </c>
      <c r="C4" s="55" t="s">
        <v>125</v>
      </c>
      <c r="D4" s="55" t="s">
        <v>125</v>
      </c>
      <c r="E4" s="56"/>
      <c r="F4" s="55" t="s">
        <v>125</v>
      </c>
      <c r="G4" s="55" t="s">
        <v>125</v>
      </c>
      <c r="H4" s="26"/>
      <c r="I4" s="26"/>
      <c r="J4" s="26"/>
      <c r="K4" s="26"/>
      <c r="L4" s="57"/>
      <c r="M4" s="26"/>
      <c r="N4" s="26"/>
      <c r="O4" s="26"/>
      <c r="P4" s="26"/>
      <c r="Q4" s="26"/>
      <c r="R4" s="26"/>
      <c r="S4" s="18"/>
      <c r="T4" s="18"/>
      <c r="U4" s="18"/>
      <c r="V4" s="18"/>
      <c r="W4" s="18"/>
      <c r="X4" s="18"/>
      <c r="Y4" s="18"/>
      <c r="Z4" s="18"/>
      <c r="AA4" s="18"/>
      <c r="AB4" s="18"/>
      <c r="AC4" s="18"/>
      <c r="AD4" s="18"/>
      <c r="AE4" s="18"/>
    </row>
    <row r="5">
      <c r="A5" s="26"/>
      <c r="B5" s="49" t="s">
        <v>28</v>
      </c>
      <c r="C5" s="55" t="s">
        <v>125</v>
      </c>
      <c r="D5" s="55" t="s">
        <v>125</v>
      </c>
      <c r="E5" s="56"/>
      <c r="F5" s="55" t="s">
        <v>125</v>
      </c>
      <c r="G5" s="55" t="s">
        <v>125</v>
      </c>
      <c r="H5" s="26"/>
      <c r="I5" s="26"/>
      <c r="J5" s="26"/>
      <c r="K5" s="26"/>
      <c r="L5" s="58"/>
      <c r="M5" s="26"/>
      <c r="N5" s="26"/>
      <c r="O5" s="26"/>
      <c r="P5" s="26"/>
      <c r="Q5" s="26"/>
      <c r="R5" s="26"/>
      <c r="S5" s="18"/>
      <c r="T5" s="18"/>
      <c r="U5" s="18"/>
      <c r="V5" s="18"/>
      <c r="W5" s="18"/>
      <c r="X5" s="18"/>
      <c r="Y5" s="18"/>
      <c r="Z5" s="18"/>
      <c r="AA5" s="18"/>
      <c r="AB5" s="18"/>
      <c r="AC5" s="18"/>
      <c r="AD5" s="18"/>
      <c r="AE5" s="18"/>
    </row>
    <row r="6">
      <c r="A6" s="26"/>
      <c r="B6" s="59" t="s">
        <v>128</v>
      </c>
      <c r="C6" s="55" t="s">
        <v>125</v>
      </c>
      <c r="D6" s="55" t="s">
        <v>125</v>
      </c>
      <c r="E6" s="60"/>
      <c r="F6" s="55" t="s">
        <v>125</v>
      </c>
      <c r="G6" s="55" t="s">
        <v>125</v>
      </c>
      <c r="H6" s="26"/>
      <c r="I6" s="26"/>
      <c r="J6" s="26"/>
      <c r="K6" s="26"/>
      <c r="L6" s="57"/>
      <c r="M6" s="26"/>
      <c r="N6" s="26"/>
      <c r="O6" s="26"/>
      <c r="P6" s="26"/>
      <c r="Q6" s="26"/>
      <c r="R6" s="26"/>
      <c r="S6" s="18"/>
      <c r="T6" s="18"/>
      <c r="U6" s="18"/>
      <c r="V6" s="18"/>
      <c r="W6" s="18"/>
      <c r="X6" s="18"/>
      <c r="Y6" s="18"/>
      <c r="Z6" s="18"/>
      <c r="AA6" s="18"/>
      <c r="AB6" s="18"/>
      <c r="AC6" s="18"/>
      <c r="AD6" s="18"/>
      <c r="AE6" s="18"/>
    </row>
    <row r="7">
      <c r="A7" s="26"/>
      <c r="B7" s="49" t="s">
        <v>87</v>
      </c>
      <c r="C7" s="55" t="s">
        <v>125</v>
      </c>
      <c r="D7" s="55" t="s">
        <v>125</v>
      </c>
      <c r="E7" s="56"/>
      <c r="F7" s="55" t="s">
        <v>125</v>
      </c>
      <c r="G7" s="55" t="s">
        <v>125</v>
      </c>
      <c r="H7" s="26"/>
      <c r="I7" s="26"/>
      <c r="J7" s="26"/>
      <c r="K7" s="26"/>
      <c r="L7" s="58"/>
      <c r="M7" s="27"/>
      <c r="N7" s="27"/>
      <c r="O7" s="27"/>
      <c r="P7" s="27"/>
      <c r="Q7" s="27"/>
      <c r="R7" s="27"/>
      <c r="S7" s="18"/>
      <c r="T7" s="18"/>
      <c r="U7" s="18"/>
      <c r="V7" s="18"/>
      <c r="W7" s="18"/>
      <c r="X7" s="18"/>
      <c r="Y7" s="18"/>
      <c r="Z7" s="18"/>
      <c r="AA7" s="18"/>
      <c r="AB7" s="18"/>
      <c r="AC7" s="18"/>
      <c r="AD7" s="18"/>
      <c r="AE7" s="18"/>
    </row>
    <row r="8">
      <c r="A8" s="26"/>
      <c r="B8" s="54" t="s">
        <v>89</v>
      </c>
      <c r="C8" s="55" t="s">
        <v>125</v>
      </c>
      <c r="D8" s="55" t="s">
        <v>125</v>
      </c>
      <c r="E8" s="56"/>
      <c r="F8" s="55" t="s">
        <v>125</v>
      </c>
      <c r="G8" s="55" t="s">
        <v>125</v>
      </c>
      <c r="H8" s="26"/>
      <c r="I8" s="26"/>
      <c r="J8" s="26"/>
      <c r="K8" s="26"/>
      <c r="L8" s="57"/>
      <c r="M8" s="18"/>
      <c r="N8" s="18"/>
      <c r="O8" s="18"/>
      <c r="P8" s="18"/>
      <c r="Q8" s="18"/>
      <c r="R8" s="18"/>
      <c r="S8" s="18"/>
      <c r="T8" s="18"/>
      <c r="U8" s="18"/>
      <c r="V8" s="18"/>
      <c r="W8" s="18"/>
      <c r="X8" s="18"/>
      <c r="Y8" s="18"/>
      <c r="Z8" s="18"/>
      <c r="AA8" s="18"/>
      <c r="AB8" s="18"/>
      <c r="AC8" s="18"/>
      <c r="AD8" s="18"/>
      <c r="AE8" s="18"/>
    </row>
    <row r="9">
      <c r="A9" s="26"/>
      <c r="B9" s="61" t="s">
        <v>129</v>
      </c>
      <c r="C9" s="55" t="s">
        <v>125</v>
      </c>
      <c r="D9" s="55" t="s">
        <v>125</v>
      </c>
      <c r="E9" s="60"/>
      <c r="F9" s="55" t="s">
        <v>125</v>
      </c>
      <c r="G9" s="55" t="s">
        <v>125</v>
      </c>
      <c r="H9" s="26"/>
      <c r="I9" s="26"/>
      <c r="J9" s="26"/>
      <c r="K9" s="26"/>
      <c r="L9" s="58"/>
      <c r="M9" s="18"/>
      <c r="N9" s="18"/>
      <c r="O9" s="18"/>
      <c r="P9" s="18"/>
      <c r="Q9" s="18"/>
      <c r="R9" s="18"/>
      <c r="S9" s="18"/>
      <c r="T9" s="18"/>
      <c r="U9" s="18"/>
      <c r="V9" s="18"/>
      <c r="W9" s="18"/>
      <c r="X9" s="18"/>
      <c r="Y9" s="18"/>
      <c r="Z9" s="18"/>
      <c r="AA9" s="18"/>
      <c r="AB9" s="18"/>
      <c r="AC9" s="18"/>
      <c r="AD9" s="18"/>
      <c r="AE9" s="18"/>
    </row>
    <row r="10">
      <c r="A10" s="26"/>
      <c r="B10" s="59" t="s">
        <v>76</v>
      </c>
      <c r="C10" s="55" t="s">
        <v>125</v>
      </c>
      <c r="D10" s="55" t="s">
        <v>125</v>
      </c>
      <c r="E10" s="56"/>
      <c r="F10" s="55" t="s">
        <v>125</v>
      </c>
      <c r="G10" s="55" t="s">
        <v>125</v>
      </c>
      <c r="H10" s="26"/>
      <c r="I10" s="26"/>
      <c r="J10" s="26"/>
      <c r="K10" s="26"/>
      <c r="L10" s="57"/>
      <c r="M10" s="18"/>
      <c r="N10" s="18"/>
      <c r="O10" s="18"/>
      <c r="P10" s="18"/>
      <c r="Q10" s="18"/>
      <c r="R10" s="18"/>
      <c r="S10" s="18"/>
      <c r="T10" s="18"/>
      <c r="U10" s="18"/>
      <c r="V10" s="18"/>
      <c r="W10" s="18"/>
      <c r="X10" s="18"/>
      <c r="Y10" s="18"/>
      <c r="Z10" s="18"/>
      <c r="AA10" s="18"/>
      <c r="AB10" s="18"/>
      <c r="AC10" s="18"/>
      <c r="AD10" s="18"/>
      <c r="AE10" s="18"/>
    </row>
    <row r="11">
      <c r="A11" s="26"/>
      <c r="B11" s="61" t="s">
        <v>130</v>
      </c>
      <c r="C11" s="55" t="s">
        <v>125</v>
      </c>
      <c r="D11" s="55" t="s">
        <v>125</v>
      </c>
      <c r="E11" s="62"/>
      <c r="F11" s="55" t="s">
        <v>125</v>
      </c>
      <c r="G11" s="55" t="s">
        <v>125</v>
      </c>
      <c r="H11" s="26"/>
      <c r="I11" s="26"/>
      <c r="J11" s="26"/>
      <c r="K11" s="26"/>
      <c r="L11" s="58"/>
      <c r="M11" s="18"/>
      <c r="N11" s="18"/>
      <c r="O11" s="18"/>
      <c r="P11" s="18"/>
      <c r="Q11" s="18"/>
      <c r="R11" s="18"/>
      <c r="S11" s="18"/>
      <c r="T11" s="18"/>
      <c r="U11" s="18"/>
      <c r="V11" s="18"/>
      <c r="W11" s="18"/>
      <c r="X11" s="18"/>
      <c r="Y11" s="18"/>
      <c r="Z11" s="18"/>
      <c r="AA11" s="18"/>
      <c r="AB11" s="18"/>
      <c r="AC11" s="18"/>
      <c r="AD11" s="18"/>
      <c r="AE11" s="18"/>
    </row>
    <row r="12">
      <c r="A12" s="26"/>
      <c r="B12" s="54" t="s">
        <v>131</v>
      </c>
      <c r="C12" s="55" t="s">
        <v>125</v>
      </c>
      <c r="D12" s="55" t="s">
        <v>125</v>
      </c>
      <c r="E12" s="56"/>
      <c r="F12" s="55" t="s">
        <v>125</v>
      </c>
      <c r="G12" s="55" t="s">
        <v>125</v>
      </c>
      <c r="H12" s="26"/>
      <c r="I12" s="26"/>
      <c r="J12" s="26"/>
      <c r="K12" s="26"/>
      <c r="L12" s="57"/>
      <c r="M12" s="18"/>
      <c r="N12" s="18"/>
      <c r="O12" s="18"/>
      <c r="P12" s="18"/>
      <c r="Q12" s="18"/>
      <c r="R12" s="18"/>
      <c r="S12" s="18"/>
      <c r="T12" s="18"/>
      <c r="U12" s="18"/>
      <c r="V12" s="18"/>
      <c r="W12" s="18"/>
      <c r="X12" s="18"/>
      <c r="Y12" s="18"/>
      <c r="Z12" s="18"/>
      <c r="AA12" s="18"/>
      <c r="AB12" s="18"/>
      <c r="AC12" s="18"/>
      <c r="AD12" s="18"/>
      <c r="AE12" s="18"/>
    </row>
    <row r="13">
      <c r="A13" s="26"/>
      <c r="B13" s="49" t="s">
        <v>132</v>
      </c>
      <c r="C13" s="55" t="s">
        <v>125</v>
      </c>
      <c r="D13" s="55" t="s">
        <v>125</v>
      </c>
      <c r="E13" s="60"/>
      <c r="F13" s="55" t="s">
        <v>125</v>
      </c>
      <c r="G13" s="55" t="s">
        <v>125</v>
      </c>
      <c r="H13" s="26"/>
      <c r="I13" s="26"/>
      <c r="J13" s="26"/>
      <c r="K13" s="26"/>
      <c r="L13" s="58"/>
      <c r="M13" s="18"/>
      <c r="N13" s="18"/>
      <c r="O13" s="18"/>
      <c r="P13" s="18"/>
      <c r="Q13" s="18"/>
      <c r="R13" s="18"/>
      <c r="S13" s="18"/>
      <c r="T13" s="18"/>
      <c r="U13" s="18"/>
      <c r="V13" s="18"/>
      <c r="W13" s="18"/>
      <c r="X13" s="18"/>
      <c r="Y13" s="18"/>
      <c r="Z13" s="18"/>
      <c r="AA13" s="18"/>
      <c r="AB13" s="18"/>
      <c r="AC13" s="18"/>
      <c r="AD13" s="18"/>
      <c r="AE13" s="18"/>
    </row>
    <row r="14">
      <c r="A14" s="26"/>
      <c r="B14" s="59" t="s">
        <v>133</v>
      </c>
      <c r="C14" s="55" t="s">
        <v>125</v>
      </c>
      <c r="D14" s="55" t="s">
        <v>125</v>
      </c>
      <c r="E14" s="56"/>
      <c r="F14" s="55" t="s">
        <v>125</v>
      </c>
      <c r="G14" s="55" t="s">
        <v>125</v>
      </c>
      <c r="H14" s="26"/>
      <c r="I14" s="26"/>
      <c r="J14" s="26"/>
      <c r="K14" s="26"/>
      <c r="L14" s="57"/>
      <c r="M14" s="18"/>
      <c r="N14" s="18"/>
      <c r="O14" s="18"/>
      <c r="P14" s="18"/>
      <c r="Q14" s="18"/>
      <c r="R14" s="18"/>
      <c r="S14" s="18"/>
      <c r="T14" s="18"/>
      <c r="U14" s="18"/>
      <c r="V14" s="18"/>
      <c r="W14" s="18"/>
      <c r="X14" s="18"/>
      <c r="Y14" s="18"/>
      <c r="Z14" s="18"/>
      <c r="AA14" s="18"/>
      <c r="AB14" s="18"/>
      <c r="AC14" s="18"/>
      <c r="AD14" s="18"/>
      <c r="AE14" s="18"/>
    </row>
    <row r="15">
      <c r="A15" s="26"/>
      <c r="B15" s="61" t="s">
        <v>134</v>
      </c>
      <c r="C15" s="55" t="s">
        <v>125</v>
      </c>
      <c r="D15" s="55" t="s">
        <v>125</v>
      </c>
      <c r="E15" s="60"/>
      <c r="F15" s="55" t="s">
        <v>125</v>
      </c>
      <c r="G15" s="55" t="s">
        <v>125</v>
      </c>
      <c r="H15" s="26"/>
      <c r="I15" s="26"/>
      <c r="J15" s="26"/>
      <c r="K15" s="26"/>
      <c r="L15" s="58"/>
      <c r="M15" s="18"/>
      <c r="N15" s="18"/>
      <c r="O15" s="18"/>
      <c r="P15" s="18"/>
      <c r="Q15" s="18"/>
      <c r="R15" s="18"/>
      <c r="S15" s="18"/>
      <c r="T15" s="18"/>
      <c r="U15" s="18"/>
      <c r="V15" s="18"/>
      <c r="W15" s="18"/>
      <c r="X15" s="18"/>
      <c r="Y15" s="18"/>
      <c r="Z15" s="18"/>
      <c r="AA15" s="18"/>
      <c r="AB15" s="18"/>
      <c r="AC15" s="18"/>
      <c r="AD15" s="18"/>
      <c r="AE15" s="18"/>
    </row>
    <row r="16">
      <c r="A16" s="26"/>
      <c r="B16" s="59" t="s">
        <v>135</v>
      </c>
      <c r="C16" s="55" t="s">
        <v>125</v>
      </c>
      <c r="D16" s="55" t="s">
        <v>125</v>
      </c>
      <c r="E16" s="56"/>
      <c r="F16" s="55" t="s">
        <v>125</v>
      </c>
      <c r="G16" s="55" t="s">
        <v>125</v>
      </c>
      <c r="H16" s="26"/>
      <c r="I16" s="26"/>
      <c r="J16" s="26"/>
      <c r="K16" s="26"/>
      <c r="L16" s="57"/>
      <c r="M16" s="18"/>
      <c r="N16" s="18"/>
      <c r="O16" s="18"/>
      <c r="P16" s="18"/>
      <c r="Q16" s="18"/>
      <c r="R16" s="18"/>
      <c r="S16" s="18"/>
      <c r="T16" s="18"/>
      <c r="U16" s="18"/>
      <c r="V16" s="18"/>
      <c r="W16" s="18"/>
      <c r="X16" s="18"/>
      <c r="Y16" s="18"/>
      <c r="Z16" s="18"/>
      <c r="AA16" s="18"/>
      <c r="AB16" s="18"/>
      <c r="AC16" s="18"/>
      <c r="AD16" s="18"/>
      <c r="AE16" s="18"/>
    </row>
    <row r="17">
      <c r="A17" s="26"/>
      <c r="B17" s="61" t="s">
        <v>136</v>
      </c>
      <c r="C17" s="55" t="s">
        <v>125</v>
      </c>
      <c r="D17" s="55" t="s">
        <v>125</v>
      </c>
      <c r="E17" s="60"/>
      <c r="F17" s="55" t="s">
        <v>125</v>
      </c>
      <c r="G17" s="55" t="s">
        <v>125</v>
      </c>
      <c r="H17" s="26"/>
      <c r="I17" s="26"/>
      <c r="J17" s="26"/>
      <c r="K17" s="26"/>
      <c r="L17" s="58"/>
      <c r="M17" s="18"/>
      <c r="N17" s="18"/>
      <c r="O17" s="18"/>
      <c r="P17" s="18"/>
      <c r="Q17" s="18"/>
      <c r="R17" s="18"/>
      <c r="S17" s="18"/>
      <c r="T17" s="18"/>
      <c r="U17" s="18"/>
      <c r="V17" s="18"/>
      <c r="W17" s="18"/>
      <c r="X17" s="18"/>
      <c r="Y17" s="18"/>
      <c r="Z17" s="18"/>
      <c r="AA17" s="18"/>
      <c r="AB17" s="18"/>
      <c r="AC17" s="18"/>
      <c r="AD17" s="18"/>
      <c r="AE17" s="18"/>
    </row>
    <row r="18">
      <c r="A18" s="26"/>
      <c r="B18" s="59" t="s">
        <v>137</v>
      </c>
      <c r="C18" s="55" t="s">
        <v>125</v>
      </c>
      <c r="D18" s="55" t="s">
        <v>125</v>
      </c>
      <c r="E18" s="56"/>
      <c r="F18" s="55" t="s">
        <v>125</v>
      </c>
      <c r="G18" s="55" t="s">
        <v>125</v>
      </c>
      <c r="H18" s="26"/>
      <c r="I18" s="26"/>
      <c r="J18" s="26"/>
      <c r="K18" s="26"/>
      <c r="L18" s="57"/>
      <c r="M18" s="18"/>
      <c r="N18" s="18"/>
      <c r="O18" s="18"/>
      <c r="P18" s="18"/>
      <c r="Q18" s="18"/>
      <c r="R18" s="18"/>
      <c r="S18" s="18"/>
      <c r="T18" s="18"/>
      <c r="U18" s="18"/>
      <c r="V18" s="18"/>
      <c r="W18" s="18"/>
      <c r="X18" s="18"/>
      <c r="Y18" s="18"/>
      <c r="Z18" s="18"/>
      <c r="AA18" s="18"/>
      <c r="AB18" s="18"/>
      <c r="AC18" s="18"/>
      <c r="AD18" s="18"/>
      <c r="AE18" s="18"/>
    </row>
    <row r="19">
      <c r="A19" s="26"/>
      <c r="B19" s="61" t="s">
        <v>138</v>
      </c>
      <c r="C19" s="55" t="s">
        <v>125</v>
      </c>
      <c r="D19" s="55" t="s">
        <v>125</v>
      </c>
      <c r="E19" s="60"/>
      <c r="F19" s="55" t="s">
        <v>125</v>
      </c>
      <c r="G19" s="55" t="s">
        <v>125</v>
      </c>
      <c r="H19" s="26"/>
      <c r="I19" s="26"/>
      <c r="J19" s="26"/>
      <c r="K19" s="26"/>
      <c r="L19" s="58"/>
      <c r="M19" s="18"/>
      <c r="N19" s="18"/>
      <c r="O19" s="18"/>
      <c r="P19" s="18"/>
      <c r="Q19" s="18"/>
      <c r="R19" s="18"/>
      <c r="S19" s="18"/>
      <c r="T19" s="18"/>
      <c r="U19" s="18"/>
      <c r="V19" s="18"/>
      <c r="W19" s="18"/>
      <c r="X19" s="18"/>
      <c r="Y19" s="18"/>
      <c r="Z19" s="18"/>
      <c r="AA19" s="18"/>
      <c r="AB19" s="18"/>
      <c r="AC19" s="18"/>
      <c r="AD19" s="18"/>
      <c r="AE19" s="18"/>
    </row>
    <row r="20">
      <c r="A20" s="26"/>
      <c r="B20" s="54" t="s">
        <v>139</v>
      </c>
      <c r="C20" s="55" t="s">
        <v>125</v>
      </c>
      <c r="D20" s="55" t="s">
        <v>125</v>
      </c>
      <c r="E20" s="63"/>
      <c r="F20" s="55" t="s">
        <v>125</v>
      </c>
      <c r="G20" s="55" t="s">
        <v>125</v>
      </c>
      <c r="H20" s="26"/>
      <c r="I20" s="26"/>
      <c r="J20" s="26"/>
      <c r="K20" s="26"/>
      <c r="L20" s="57"/>
      <c r="M20" s="18"/>
      <c r="N20" s="18"/>
      <c r="O20" s="18"/>
      <c r="P20" s="18"/>
      <c r="Q20" s="18"/>
      <c r="R20" s="18"/>
      <c r="S20" s="18"/>
      <c r="T20" s="18"/>
      <c r="U20" s="18"/>
      <c r="V20" s="18"/>
      <c r="W20" s="18"/>
      <c r="X20" s="18"/>
      <c r="Y20" s="18"/>
      <c r="Z20" s="18"/>
      <c r="AA20" s="18"/>
      <c r="AB20" s="18"/>
      <c r="AC20" s="18"/>
      <c r="AD20" s="18"/>
      <c r="AE20" s="18"/>
    </row>
    <row r="21">
      <c r="A21" s="26"/>
      <c r="B21" s="49" t="s">
        <v>140</v>
      </c>
      <c r="C21" s="55" t="s">
        <v>125</v>
      </c>
      <c r="D21" s="55" t="s">
        <v>125</v>
      </c>
      <c r="E21" s="60"/>
      <c r="F21" s="55" t="s">
        <v>125</v>
      </c>
      <c r="G21" s="55" t="s">
        <v>125</v>
      </c>
      <c r="H21" s="26"/>
      <c r="I21" s="26"/>
      <c r="J21" s="26"/>
      <c r="K21" s="26"/>
      <c r="L21" s="58"/>
      <c r="M21" s="18"/>
      <c r="N21" s="18"/>
      <c r="O21" s="18"/>
      <c r="P21" s="18"/>
      <c r="Q21" s="18"/>
      <c r="R21" s="18"/>
      <c r="S21" s="18"/>
      <c r="T21" s="18"/>
      <c r="U21" s="18"/>
      <c r="V21" s="18"/>
      <c r="W21" s="18"/>
      <c r="X21" s="18"/>
      <c r="Y21" s="18"/>
      <c r="Z21" s="18"/>
      <c r="AA21" s="18"/>
      <c r="AB21" s="18"/>
      <c r="AC21" s="18"/>
      <c r="AD21" s="18"/>
      <c r="AE21" s="18"/>
    </row>
    <row r="22">
      <c r="A22" s="26"/>
      <c r="B22" s="54" t="s">
        <v>141</v>
      </c>
      <c r="C22" s="55" t="s">
        <v>125</v>
      </c>
      <c r="D22" s="55" t="s">
        <v>125</v>
      </c>
      <c r="E22" s="56"/>
      <c r="F22" s="55" t="s">
        <v>125</v>
      </c>
      <c r="G22" s="55" t="s">
        <v>125</v>
      </c>
      <c r="H22" s="26"/>
      <c r="I22" s="26"/>
      <c r="J22" s="26"/>
      <c r="K22" s="26"/>
      <c r="L22" s="57"/>
      <c r="M22" s="18"/>
      <c r="N22" s="18"/>
      <c r="O22" s="18"/>
      <c r="P22" s="18"/>
      <c r="Q22" s="18"/>
      <c r="R22" s="18"/>
      <c r="S22" s="18"/>
      <c r="T22" s="18"/>
      <c r="U22" s="18"/>
      <c r="V22" s="18"/>
      <c r="W22" s="18"/>
      <c r="X22" s="18"/>
      <c r="Y22" s="18"/>
      <c r="Z22" s="18"/>
      <c r="AA22" s="18"/>
      <c r="AB22" s="18"/>
      <c r="AC22" s="18"/>
      <c r="AD22" s="18"/>
      <c r="AE22" s="18"/>
    </row>
    <row r="23">
      <c r="A23" s="26"/>
      <c r="B23" s="49" t="s">
        <v>142</v>
      </c>
      <c r="C23" s="55" t="s">
        <v>125</v>
      </c>
      <c r="D23" s="55" t="s">
        <v>125</v>
      </c>
      <c r="E23" s="62"/>
      <c r="F23" s="55" t="s">
        <v>125</v>
      </c>
      <c r="G23" s="55" t="s">
        <v>125</v>
      </c>
      <c r="H23" s="26"/>
      <c r="I23" s="26"/>
      <c r="J23" s="26"/>
      <c r="K23" s="26"/>
      <c r="L23" s="58"/>
      <c r="M23" s="18"/>
      <c r="N23" s="18"/>
      <c r="O23" s="18"/>
      <c r="P23" s="18"/>
      <c r="Q23" s="18"/>
      <c r="R23" s="18"/>
      <c r="S23" s="18"/>
      <c r="T23" s="18"/>
      <c r="U23" s="18"/>
      <c r="V23" s="18"/>
      <c r="W23" s="18"/>
      <c r="X23" s="18"/>
      <c r="Y23" s="18"/>
      <c r="Z23" s="18"/>
      <c r="AA23" s="18"/>
      <c r="AB23" s="18"/>
      <c r="AC23" s="18"/>
      <c r="AD23" s="18"/>
      <c r="AE23" s="18"/>
    </row>
    <row r="24">
      <c r="A24" s="26"/>
      <c r="B24" s="54" t="s">
        <v>143</v>
      </c>
      <c r="C24" s="55" t="s">
        <v>125</v>
      </c>
      <c r="D24" s="55" t="s">
        <v>125</v>
      </c>
      <c r="E24" s="56"/>
      <c r="F24" s="55" t="s">
        <v>125</v>
      </c>
      <c r="G24" s="55" t="s">
        <v>125</v>
      </c>
      <c r="H24" s="26"/>
      <c r="I24" s="26"/>
      <c r="J24" s="26"/>
      <c r="K24" s="26"/>
      <c r="L24" s="57"/>
      <c r="M24" s="18"/>
      <c r="N24" s="18"/>
      <c r="O24" s="18"/>
      <c r="P24" s="18"/>
      <c r="Q24" s="18"/>
      <c r="R24" s="18"/>
      <c r="S24" s="18"/>
      <c r="T24" s="18"/>
      <c r="U24" s="18"/>
      <c r="V24" s="18"/>
      <c r="W24" s="18"/>
      <c r="X24" s="18"/>
      <c r="Y24" s="18"/>
      <c r="Z24" s="18"/>
      <c r="AA24" s="18"/>
      <c r="AB24" s="18"/>
      <c r="AC24" s="18"/>
      <c r="AD24" s="18"/>
      <c r="AE24" s="18"/>
    </row>
    <row r="25">
      <c r="A25" s="27"/>
      <c r="B25" s="49" t="s">
        <v>144</v>
      </c>
      <c r="C25" s="55" t="s">
        <v>125</v>
      </c>
      <c r="D25" s="55" t="s">
        <v>125</v>
      </c>
      <c r="E25" s="60"/>
      <c r="F25" s="55" t="s">
        <v>125</v>
      </c>
      <c r="G25" s="55" t="s">
        <v>125</v>
      </c>
      <c r="H25" s="27"/>
      <c r="I25" s="27"/>
      <c r="J25" s="27"/>
      <c r="K25" s="27"/>
      <c r="L25" s="64"/>
      <c r="M25" s="18"/>
      <c r="N25" s="18"/>
      <c r="O25" s="18"/>
      <c r="P25" s="18"/>
      <c r="Q25" s="18"/>
      <c r="R25" s="18"/>
      <c r="S25" s="18"/>
      <c r="T25" s="18"/>
      <c r="U25" s="18"/>
      <c r="V25" s="18"/>
      <c r="W25" s="18"/>
      <c r="X25" s="18"/>
      <c r="Y25" s="18"/>
      <c r="Z25" s="18"/>
      <c r="AA25" s="18"/>
      <c r="AB25" s="18"/>
      <c r="AC25" s="18"/>
      <c r="AD25" s="18"/>
      <c r="AE25" s="18"/>
    </row>
    <row r="26" ht="72.75" customHeight="1">
      <c r="A26" s="18"/>
      <c r="B26" s="54" t="s">
        <v>145</v>
      </c>
      <c r="C26" s="55" t="s">
        <v>125</v>
      </c>
      <c r="D26" s="55" t="s">
        <v>125</v>
      </c>
      <c r="E26" s="56"/>
      <c r="F26" s="55" t="s">
        <v>125</v>
      </c>
      <c r="G26" s="55" t="s">
        <v>125</v>
      </c>
      <c r="H26" s="65" t="s">
        <v>125</v>
      </c>
      <c r="I26" s="65" t="s">
        <v>125</v>
      </c>
      <c r="J26" s="65" t="s">
        <v>125</v>
      </c>
      <c r="K26" s="47" t="s">
        <v>125</v>
      </c>
      <c r="L26" s="47" t="s">
        <v>125</v>
      </c>
      <c r="M26" s="18"/>
      <c r="N26" s="18"/>
      <c r="O26" s="18"/>
      <c r="P26" s="18"/>
      <c r="Q26" s="18"/>
      <c r="R26" s="18"/>
      <c r="S26" s="18"/>
      <c r="T26" s="18"/>
      <c r="U26" s="18"/>
      <c r="V26" s="18"/>
      <c r="W26" s="18"/>
      <c r="X26" s="18"/>
      <c r="Y26" s="18"/>
      <c r="Z26" s="18"/>
      <c r="AA26" s="18"/>
      <c r="AB26" s="18"/>
      <c r="AC26" s="18"/>
      <c r="AD26" s="18"/>
      <c r="AE26" s="18"/>
    </row>
    <row r="27">
      <c r="A27" s="18"/>
      <c r="B27" s="49" t="s">
        <v>146</v>
      </c>
      <c r="C27" s="55" t="s">
        <v>125</v>
      </c>
      <c r="D27" s="55" t="s">
        <v>125</v>
      </c>
      <c r="E27" s="56"/>
      <c r="F27" s="55" t="s">
        <v>125</v>
      </c>
      <c r="G27" s="55" t="s">
        <v>125</v>
      </c>
      <c r="H27" s="26"/>
      <c r="I27" s="26"/>
      <c r="J27" s="26"/>
      <c r="K27" s="47" t="s">
        <v>125</v>
      </c>
      <c r="L27" s="47" t="s">
        <v>125</v>
      </c>
      <c r="M27" s="18"/>
      <c r="N27" s="18"/>
      <c r="O27" s="18"/>
      <c r="P27" s="18"/>
      <c r="Q27" s="18"/>
      <c r="R27" s="18"/>
      <c r="S27" s="18"/>
      <c r="T27" s="18"/>
      <c r="U27" s="18"/>
      <c r="V27" s="18"/>
      <c r="W27" s="18"/>
      <c r="X27" s="18"/>
      <c r="Y27" s="18"/>
      <c r="Z27" s="18"/>
      <c r="AA27" s="18"/>
      <c r="AB27" s="18"/>
      <c r="AC27" s="18"/>
      <c r="AD27" s="18"/>
      <c r="AE27" s="18"/>
    </row>
    <row r="28">
      <c r="A28" s="18"/>
      <c r="B28" s="54" t="s">
        <v>147</v>
      </c>
      <c r="C28" s="55" t="s">
        <v>125</v>
      </c>
      <c r="D28" s="55" t="s">
        <v>125</v>
      </c>
      <c r="E28" s="56"/>
      <c r="F28" s="55" t="s">
        <v>125</v>
      </c>
      <c r="G28" s="55" t="s">
        <v>125</v>
      </c>
      <c r="H28" s="26"/>
      <c r="I28" s="26"/>
      <c r="J28" s="26"/>
      <c r="K28" s="47" t="s">
        <v>125</v>
      </c>
      <c r="L28" s="47" t="s">
        <v>125</v>
      </c>
      <c r="M28" s="18"/>
      <c r="N28" s="18"/>
      <c r="O28" s="18"/>
      <c r="P28" s="18"/>
      <c r="Q28" s="18"/>
      <c r="R28" s="18"/>
      <c r="S28" s="18"/>
      <c r="T28" s="18"/>
      <c r="U28" s="18"/>
      <c r="V28" s="18"/>
      <c r="W28" s="18"/>
      <c r="X28" s="18"/>
      <c r="Y28" s="18"/>
      <c r="Z28" s="18"/>
      <c r="AA28" s="18"/>
      <c r="AB28" s="18"/>
      <c r="AC28" s="18"/>
      <c r="AD28" s="18"/>
      <c r="AE28" s="18"/>
    </row>
    <row r="29">
      <c r="A29" s="18"/>
      <c r="B29" s="66" t="s">
        <v>148</v>
      </c>
      <c r="C29" s="55" t="s">
        <v>125</v>
      </c>
      <c r="D29" s="55" t="s">
        <v>125</v>
      </c>
      <c r="E29" s="60"/>
      <c r="F29" s="55" t="s">
        <v>125</v>
      </c>
      <c r="G29" s="55" t="s">
        <v>125</v>
      </c>
      <c r="H29" s="26"/>
      <c r="I29" s="26"/>
      <c r="J29" s="26"/>
      <c r="K29" s="47" t="s">
        <v>125</v>
      </c>
      <c r="L29" s="47" t="s">
        <v>125</v>
      </c>
      <c r="M29" s="18"/>
      <c r="N29" s="18"/>
      <c r="O29" s="18"/>
      <c r="P29" s="18"/>
      <c r="Q29" s="18"/>
      <c r="R29" s="18"/>
      <c r="S29" s="18"/>
      <c r="T29" s="18"/>
      <c r="U29" s="18"/>
      <c r="V29" s="18"/>
      <c r="W29" s="18"/>
      <c r="X29" s="18"/>
      <c r="Y29" s="18"/>
      <c r="Z29" s="18"/>
      <c r="AA29" s="18"/>
      <c r="AB29" s="18"/>
      <c r="AC29" s="18"/>
      <c r="AD29" s="18"/>
      <c r="AE29" s="18"/>
    </row>
    <row r="30">
      <c r="A30" s="18"/>
      <c r="B30" s="18"/>
      <c r="C30" s="55"/>
      <c r="D30" s="55"/>
      <c r="E30" s="56"/>
      <c r="F30" s="55"/>
      <c r="G30" s="55"/>
      <c r="H30" s="26"/>
      <c r="I30" s="26"/>
      <c r="J30" s="26"/>
      <c r="K30" s="47"/>
      <c r="L30" s="47"/>
      <c r="M30" s="18"/>
      <c r="N30" s="18"/>
      <c r="O30" s="18"/>
      <c r="P30" s="18"/>
      <c r="Q30" s="18"/>
      <c r="R30" s="18"/>
      <c r="S30" s="18"/>
      <c r="T30" s="18"/>
      <c r="U30" s="18"/>
      <c r="V30" s="18"/>
      <c r="W30" s="18"/>
      <c r="X30" s="18"/>
      <c r="Y30" s="18"/>
      <c r="Z30" s="18"/>
      <c r="AA30" s="18"/>
      <c r="AB30" s="18"/>
      <c r="AC30" s="18"/>
      <c r="AD30" s="18"/>
      <c r="AE30" s="18"/>
    </row>
    <row r="31">
      <c r="A31" s="18"/>
      <c r="B31" s="18"/>
      <c r="C31" s="55"/>
      <c r="D31" s="55"/>
      <c r="E31" s="56"/>
      <c r="F31" s="55"/>
      <c r="G31" s="55"/>
      <c r="H31" s="26"/>
      <c r="I31" s="26"/>
      <c r="J31" s="26"/>
      <c r="K31" s="47"/>
      <c r="L31" s="47"/>
      <c r="M31" s="18"/>
      <c r="N31" s="18"/>
      <c r="O31" s="18"/>
      <c r="P31" s="18"/>
      <c r="Q31" s="18"/>
      <c r="R31" s="18"/>
      <c r="S31" s="18"/>
      <c r="T31" s="18"/>
      <c r="U31" s="18"/>
      <c r="V31" s="18"/>
      <c r="W31" s="18"/>
      <c r="X31" s="18"/>
      <c r="Y31" s="18"/>
      <c r="Z31" s="18"/>
      <c r="AA31" s="18"/>
      <c r="AB31" s="18"/>
      <c r="AC31" s="18"/>
      <c r="AD31" s="18"/>
      <c r="AE31" s="18"/>
    </row>
    <row r="32">
      <c r="A32" s="18"/>
      <c r="B32" s="18"/>
      <c r="C32" s="55"/>
      <c r="D32" s="55"/>
      <c r="E32" s="60"/>
      <c r="F32" s="55"/>
      <c r="G32" s="55"/>
      <c r="H32" s="26"/>
      <c r="I32" s="26"/>
      <c r="J32" s="26"/>
      <c r="K32" s="47"/>
      <c r="L32" s="47"/>
      <c r="M32" s="18"/>
      <c r="N32" s="18"/>
      <c r="O32" s="18"/>
      <c r="P32" s="18"/>
      <c r="Q32" s="18"/>
      <c r="R32" s="18"/>
      <c r="S32" s="18"/>
      <c r="T32" s="18"/>
      <c r="U32" s="18"/>
      <c r="V32" s="18"/>
      <c r="W32" s="18"/>
      <c r="X32" s="18"/>
      <c r="Y32" s="18"/>
      <c r="Z32" s="18"/>
      <c r="AA32" s="18"/>
      <c r="AB32" s="18"/>
      <c r="AC32" s="18"/>
      <c r="AD32" s="18"/>
      <c r="AE32" s="18"/>
    </row>
    <row r="33">
      <c r="A33" s="18"/>
      <c r="B33" s="18"/>
      <c r="C33" s="55"/>
      <c r="D33" s="55"/>
      <c r="E33" s="56"/>
      <c r="F33" s="55"/>
      <c r="G33" s="55"/>
      <c r="H33" s="26"/>
      <c r="I33" s="26"/>
      <c r="J33" s="26"/>
      <c r="K33" s="47"/>
      <c r="L33" s="47"/>
      <c r="M33" s="18"/>
      <c r="N33" s="18"/>
      <c r="O33" s="18"/>
      <c r="P33" s="18"/>
      <c r="Q33" s="18"/>
      <c r="R33" s="18"/>
      <c r="S33" s="18"/>
      <c r="T33" s="18"/>
      <c r="U33" s="18"/>
      <c r="V33" s="18"/>
      <c r="W33" s="18"/>
      <c r="X33" s="18"/>
      <c r="Y33" s="18"/>
      <c r="Z33" s="18"/>
      <c r="AA33" s="18"/>
      <c r="AB33" s="18"/>
      <c r="AC33" s="18"/>
      <c r="AD33" s="18"/>
      <c r="AE33" s="18"/>
    </row>
    <row r="34">
      <c r="A34" s="18"/>
      <c r="B34" s="18"/>
      <c r="C34" s="55"/>
      <c r="D34" s="55"/>
      <c r="E34" s="62"/>
      <c r="F34" s="55"/>
      <c r="G34" s="55"/>
      <c r="H34" s="26"/>
      <c r="I34" s="26"/>
      <c r="J34" s="26"/>
      <c r="K34" s="47"/>
      <c r="L34" s="47"/>
      <c r="M34" s="18"/>
      <c r="N34" s="18"/>
      <c r="O34" s="18"/>
      <c r="P34" s="18"/>
      <c r="Q34" s="18"/>
      <c r="R34" s="18"/>
      <c r="S34" s="18"/>
      <c r="T34" s="18"/>
      <c r="U34" s="18"/>
      <c r="V34" s="18"/>
      <c r="W34" s="18"/>
      <c r="X34" s="18"/>
      <c r="Y34" s="18"/>
      <c r="Z34" s="18"/>
      <c r="AA34" s="18"/>
      <c r="AB34" s="18"/>
      <c r="AC34" s="18"/>
      <c r="AD34" s="18"/>
      <c r="AE34" s="18"/>
    </row>
    <row r="35">
      <c r="A35" s="18"/>
      <c r="B35" s="18"/>
      <c r="C35" s="55"/>
      <c r="D35" s="55"/>
      <c r="E35" s="56"/>
      <c r="F35" s="55"/>
      <c r="G35" s="55"/>
      <c r="H35" s="26"/>
      <c r="I35" s="26"/>
      <c r="J35" s="26"/>
      <c r="K35" s="47"/>
      <c r="L35" s="47"/>
      <c r="M35" s="18"/>
      <c r="N35" s="18"/>
      <c r="O35" s="18"/>
      <c r="P35" s="18"/>
      <c r="Q35" s="18"/>
      <c r="R35" s="18"/>
      <c r="S35" s="18"/>
      <c r="T35" s="18"/>
      <c r="U35" s="18"/>
      <c r="V35" s="18"/>
      <c r="W35" s="18"/>
      <c r="X35" s="18"/>
      <c r="Y35" s="18"/>
      <c r="Z35" s="18"/>
      <c r="AA35" s="18"/>
      <c r="AB35" s="18"/>
      <c r="AC35" s="18"/>
      <c r="AD35" s="18"/>
      <c r="AE35" s="18"/>
    </row>
    <row r="36">
      <c r="A36" s="18"/>
      <c r="B36" s="18"/>
      <c r="C36" s="55"/>
      <c r="D36" s="55"/>
      <c r="E36" s="60"/>
      <c r="F36" s="55"/>
      <c r="G36" s="55"/>
      <c r="H36" s="26"/>
      <c r="I36" s="26"/>
      <c r="J36" s="26"/>
      <c r="K36" s="47"/>
      <c r="L36" s="47"/>
      <c r="M36" s="18"/>
      <c r="N36" s="18"/>
      <c r="O36" s="18"/>
      <c r="P36" s="18"/>
      <c r="Q36" s="18"/>
      <c r="R36" s="18"/>
      <c r="S36" s="18"/>
      <c r="T36" s="18"/>
      <c r="U36" s="18"/>
      <c r="V36" s="18"/>
      <c r="W36" s="18"/>
      <c r="X36" s="18"/>
      <c r="Y36" s="18"/>
      <c r="Z36" s="18"/>
      <c r="AA36" s="18"/>
      <c r="AB36" s="18"/>
      <c r="AC36" s="18"/>
      <c r="AD36" s="18"/>
      <c r="AE36" s="18"/>
    </row>
    <row r="37">
      <c r="A37" s="18"/>
      <c r="B37" s="18"/>
      <c r="C37" s="55"/>
      <c r="D37" s="55"/>
      <c r="E37" s="56"/>
      <c r="F37" s="55"/>
      <c r="G37" s="55"/>
      <c r="H37" s="26"/>
      <c r="I37" s="26"/>
      <c r="J37" s="26"/>
      <c r="K37" s="47"/>
      <c r="L37" s="47"/>
      <c r="M37" s="18"/>
      <c r="N37" s="18"/>
      <c r="O37" s="18"/>
      <c r="P37" s="18"/>
      <c r="Q37" s="18"/>
      <c r="R37" s="18"/>
      <c r="S37" s="18"/>
      <c r="T37" s="18"/>
      <c r="U37" s="18"/>
      <c r="V37" s="18"/>
      <c r="W37" s="18"/>
      <c r="X37" s="18"/>
      <c r="Y37" s="18"/>
      <c r="Z37" s="18"/>
      <c r="AA37" s="18"/>
      <c r="AB37" s="18"/>
      <c r="AC37" s="18"/>
      <c r="AD37" s="18"/>
      <c r="AE37" s="18"/>
    </row>
    <row r="38">
      <c r="A38" s="18"/>
      <c r="B38" s="18"/>
      <c r="C38" s="55"/>
      <c r="D38" s="55"/>
      <c r="E38" s="60"/>
      <c r="F38" s="55"/>
      <c r="G38" s="55"/>
      <c r="H38" s="26"/>
      <c r="I38" s="26"/>
      <c r="J38" s="26"/>
      <c r="K38" s="47"/>
      <c r="L38" s="47"/>
      <c r="M38" s="18"/>
      <c r="N38" s="18"/>
      <c r="O38" s="18"/>
      <c r="P38" s="18"/>
      <c r="Q38" s="18"/>
      <c r="R38" s="18"/>
      <c r="S38" s="18"/>
      <c r="T38" s="18"/>
      <c r="U38" s="18"/>
      <c r="V38" s="18"/>
      <c r="W38" s="18"/>
      <c r="X38" s="18"/>
      <c r="Y38" s="18"/>
      <c r="Z38" s="18"/>
      <c r="AA38" s="18"/>
      <c r="AB38" s="18"/>
      <c r="AC38" s="18"/>
      <c r="AD38" s="18"/>
      <c r="AE38" s="18"/>
    </row>
    <row r="39">
      <c r="A39" s="18"/>
      <c r="B39" s="18"/>
      <c r="C39" s="55"/>
      <c r="D39" s="55"/>
      <c r="E39" s="56"/>
      <c r="F39" s="55"/>
      <c r="G39" s="55"/>
      <c r="H39" s="26"/>
      <c r="I39" s="26"/>
      <c r="J39" s="26"/>
      <c r="K39" s="47"/>
      <c r="L39" s="47"/>
      <c r="M39" s="18"/>
      <c r="N39" s="18"/>
      <c r="O39" s="18"/>
      <c r="P39" s="18"/>
      <c r="Q39" s="18"/>
      <c r="R39" s="18"/>
      <c r="S39" s="18"/>
      <c r="T39" s="18"/>
      <c r="U39" s="18"/>
      <c r="V39" s="18"/>
      <c r="W39" s="18"/>
      <c r="X39" s="18"/>
      <c r="Y39" s="18"/>
      <c r="Z39" s="18"/>
      <c r="AA39" s="18"/>
      <c r="AB39" s="18"/>
      <c r="AC39" s="18"/>
      <c r="AD39" s="18"/>
      <c r="AE39" s="18"/>
    </row>
    <row r="40">
      <c r="A40" s="18"/>
      <c r="B40" s="18"/>
      <c r="C40" s="55"/>
      <c r="D40" s="55"/>
      <c r="E40" s="60"/>
      <c r="F40" s="55"/>
      <c r="G40" s="55"/>
      <c r="H40" s="26"/>
      <c r="I40" s="26"/>
      <c r="J40" s="26"/>
      <c r="K40" s="47"/>
      <c r="L40" s="47"/>
      <c r="M40" s="18"/>
      <c r="N40" s="18"/>
      <c r="O40" s="18"/>
      <c r="P40" s="18"/>
      <c r="Q40" s="18"/>
      <c r="R40" s="18"/>
      <c r="S40" s="18"/>
      <c r="T40" s="18"/>
      <c r="U40" s="18"/>
      <c r="V40" s="18"/>
      <c r="W40" s="18"/>
      <c r="X40" s="18"/>
      <c r="Y40" s="18"/>
      <c r="Z40" s="18"/>
      <c r="AA40" s="18"/>
      <c r="AB40" s="18"/>
      <c r="AC40" s="18"/>
      <c r="AD40" s="18"/>
      <c r="AE40" s="18"/>
    </row>
    <row r="41">
      <c r="A41" s="18"/>
      <c r="B41" s="18"/>
      <c r="C41" s="55"/>
      <c r="D41" s="55"/>
      <c r="E41" s="56"/>
      <c r="F41" s="55"/>
      <c r="G41" s="55"/>
      <c r="H41" s="26"/>
      <c r="I41" s="26"/>
      <c r="J41" s="26"/>
      <c r="K41" s="47"/>
      <c r="L41" s="47"/>
      <c r="M41" s="18"/>
      <c r="N41" s="18"/>
      <c r="O41" s="18"/>
      <c r="P41" s="18"/>
      <c r="Q41" s="18"/>
      <c r="R41" s="18"/>
      <c r="S41" s="18"/>
      <c r="T41" s="18"/>
      <c r="U41" s="18"/>
      <c r="V41" s="18"/>
      <c r="W41" s="18"/>
      <c r="X41" s="18"/>
      <c r="Y41" s="18"/>
      <c r="Z41" s="18"/>
      <c r="AA41" s="18"/>
      <c r="AB41" s="18"/>
      <c r="AC41" s="18"/>
      <c r="AD41" s="18"/>
      <c r="AE41" s="18"/>
    </row>
    <row r="42">
      <c r="A42" s="18"/>
      <c r="B42" s="18"/>
      <c r="C42" s="55"/>
      <c r="D42" s="55"/>
      <c r="E42" s="60"/>
      <c r="F42" s="55"/>
      <c r="G42" s="55"/>
      <c r="H42" s="26"/>
      <c r="I42" s="26"/>
      <c r="J42" s="26"/>
      <c r="K42" s="47"/>
      <c r="L42" s="47"/>
      <c r="M42" s="18"/>
      <c r="N42" s="18"/>
      <c r="O42" s="18"/>
      <c r="P42" s="18"/>
      <c r="Q42" s="18"/>
      <c r="R42" s="18"/>
      <c r="S42" s="18"/>
      <c r="T42" s="18"/>
      <c r="U42" s="18"/>
      <c r="V42" s="18"/>
      <c r="W42" s="18"/>
      <c r="X42" s="18"/>
      <c r="Y42" s="18"/>
      <c r="Z42" s="18"/>
      <c r="AA42" s="18"/>
      <c r="AB42" s="18"/>
      <c r="AC42" s="18"/>
      <c r="AD42" s="18"/>
      <c r="AE42" s="18"/>
    </row>
    <row r="43">
      <c r="A43" s="18"/>
      <c r="B43" s="18"/>
      <c r="C43" s="55"/>
      <c r="D43" s="55"/>
      <c r="E43" s="63"/>
      <c r="F43" s="55"/>
      <c r="G43" s="55"/>
      <c r="H43" s="26"/>
      <c r="I43" s="26"/>
      <c r="J43" s="26"/>
      <c r="K43" s="47"/>
      <c r="L43" s="47"/>
      <c r="M43" s="18"/>
      <c r="N43" s="18"/>
      <c r="O43" s="18"/>
      <c r="P43" s="18"/>
      <c r="Q43" s="18"/>
      <c r="R43" s="18"/>
      <c r="S43" s="18"/>
      <c r="T43" s="18"/>
      <c r="U43" s="18"/>
      <c r="V43" s="18"/>
      <c r="W43" s="18"/>
      <c r="X43" s="18"/>
      <c r="Y43" s="18"/>
      <c r="Z43" s="18"/>
      <c r="AA43" s="18"/>
      <c r="AB43" s="18"/>
      <c r="AC43" s="18"/>
      <c r="AD43" s="18"/>
      <c r="AE43" s="18"/>
    </row>
    <row r="44">
      <c r="A44" s="18"/>
      <c r="B44" s="18"/>
      <c r="C44" s="55"/>
      <c r="D44" s="55"/>
      <c r="E44" s="60"/>
      <c r="F44" s="55"/>
      <c r="G44" s="55"/>
      <c r="H44" s="26"/>
      <c r="I44" s="26"/>
      <c r="J44" s="26"/>
      <c r="K44" s="47"/>
      <c r="L44" s="47"/>
      <c r="M44" s="18"/>
      <c r="N44" s="18"/>
      <c r="O44" s="18"/>
      <c r="P44" s="18"/>
      <c r="Q44" s="18"/>
      <c r="R44" s="18"/>
      <c r="S44" s="18"/>
      <c r="T44" s="18"/>
      <c r="U44" s="18"/>
      <c r="V44" s="18"/>
      <c r="W44" s="18"/>
      <c r="X44" s="18"/>
      <c r="Y44" s="18"/>
      <c r="Z44" s="18"/>
      <c r="AA44" s="18"/>
      <c r="AB44" s="18"/>
      <c r="AC44" s="18"/>
      <c r="AD44" s="18"/>
      <c r="AE44" s="18"/>
    </row>
    <row r="45">
      <c r="A45" s="18"/>
      <c r="B45" s="18"/>
      <c r="C45" s="55"/>
      <c r="D45" s="55"/>
      <c r="E45" s="56"/>
      <c r="F45" s="55"/>
      <c r="G45" s="55"/>
      <c r="H45" s="26"/>
      <c r="I45" s="26"/>
      <c r="J45" s="26"/>
      <c r="K45" s="47"/>
      <c r="L45" s="47"/>
      <c r="M45" s="18"/>
      <c r="N45" s="18"/>
      <c r="O45" s="18"/>
      <c r="P45" s="18"/>
      <c r="Q45" s="18"/>
      <c r="R45" s="18"/>
      <c r="S45" s="18"/>
      <c r="T45" s="18"/>
      <c r="U45" s="18"/>
      <c r="V45" s="18"/>
      <c r="W45" s="18"/>
      <c r="X45" s="18"/>
      <c r="Y45" s="18"/>
      <c r="Z45" s="18"/>
      <c r="AA45" s="18"/>
      <c r="AB45" s="18"/>
      <c r="AC45" s="18"/>
      <c r="AD45" s="18"/>
      <c r="AE45" s="18"/>
    </row>
    <row r="46">
      <c r="A46" s="18"/>
      <c r="B46" s="18"/>
      <c r="C46" s="55"/>
      <c r="D46" s="55"/>
      <c r="E46" s="62"/>
      <c r="F46" s="55"/>
      <c r="G46" s="55"/>
      <c r="H46" s="26"/>
      <c r="I46" s="26"/>
      <c r="J46" s="26"/>
      <c r="K46" s="47"/>
      <c r="L46" s="47"/>
      <c r="M46" s="18"/>
      <c r="N46" s="18"/>
      <c r="O46" s="18"/>
      <c r="P46" s="18"/>
      <c r="Q46" s="18"/>
      <c r="R46" s="18"/>
      <c r="S46" s="18"/>
      <c r="T46" s="18"/>
      <c r="U46" s="18"/>
      <c r="V46" s="18"/>
      <c r="W46" s="18"/>
      <c r="X46" s="18"/>
      <c r="Y46" s="18"/>
      <c r="Z46" s="18"/>
      <c r="AA46" s="18"/>
      <c r="AB46" s="18"/>
      <c r="AC46" s="18"/>
      <c r="AD46" s="18"/>
      <c r="AE46" s="18"/>
    </row>
    <row r="47">
      <c r="A47" s="18"/>
      <c r="B47" s="18"/>
      <c r="C47" s="55"/>
      <c r="D47" s="55"/>
      <c r="E47" s="56"/>
      <c r="F47" s="55"/>
      <c r="G47" s="55"/>
      <c r="H47" s="26"/>
      <c r="I47" s="26"/>
      <c r="J47" s="26"/>
      <c r="K47" s="47"/>
      <c r="L47" s="47"/>
      <c r="M47" s="18"/>
      <c r="N47" s="18"/>
      <c r="O47" s="18"/>
      <c r="P47" s="18"/>
      <c r="Q47" s="18"/>
      <c r="R47" s="18"/>
      <c r="S47" s="18"/>
      <c r="T47" s="18"/>
      <c r="U47" s="18"/>
      <c r="V47" s="18"/>
      <c r="W47" s="18"/>
      <c r="X47" s="18"/>
      <c r="Y47" s="18"/>
      <c r="Z47" s="18"/>
      <c r="AA47" s="18"/>
      <c r="AB47" s="18"/>
      <c r="AC47" s="18"/>
      <c r="AD47" s="18"/>
      <c r="AE47" s="18"/>
    </row>
    <row r="48">
      <c r="A48" s="18"/>
      <c r="B48" s="18"/>
      <c r="C48" s="55"/>
      <c r="D48" s="55"/>
      <c r="E48" s="60"/>
      <c r="F48" s="55"/>
      <c r="G48" s="55"/>
      <c r="H48" s="27"/>
      <c r="I48" s="27"/>
      <c r="J48" s="27"/>
      <c r="K48" s="47"/>
      <c r="L48" s="47"/>
      <c r="M48" s="18"/>
      <c r="N48" s="18"/>
      <c r="O48" s="18"/>
      <c r="P48" s="18"/>
      <c r="Q48" s="18"/>
      <c r="R48" s="18"/>
      <c r="S48" s="18"/>
      <c r="T48" s="18"/>
      <c r="U48" s="18"/>
      <c r="V48" s="18"/>
      <c r="W48" s="18"/>
      <c r="X48" s="18"/>
      <c r="Y48" s="18"/>
      <c r="Z48" s="18"/>
      <c r="AA48" s="18"/>
      <c r="AB48" s="18"/>
      <c r="AC48" s="18"/>
      <c r="AD48" s="18"/>
      <c r="AE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row>
  </sheetData>
  <mergeCells count="20">
    <mergeCell ref="I3:I25"/>
    <mergeCell ref="J3:J25"/>
    <mergeCell ref="H26:H48"/>
    <mergeCell ref="I26:I48"/>
    <mergeCell ref="J26:J48"/>
    <mergeCell ref="K3:K25"/>
    <mergeCell ref="L3:L25"/>
    <mergeCell ref="M3:M7"/>
    <mergeCell ref="N3:N7"/>
    <mergeCell ref="P3:P7"/>
    <mergeCell ref="Q3:Q7"/>
    <mergeCell ref="R3:R7"/>
    <mergeCell ref="C1:D1"/>
    <mergeCell ref="F1:G1"/>
    <mergeCell ref="H1:J1"/>
    <mergeCell ref="K1:L1"/>
    <mergeCell ref="M1:O1"/>
    <mergeCell ref="A3:A25"/>
    <mergeCell ref="H3:H25"/>
    <mergeCell ref="O3:O7"/>
  </mergeCells>
  <dataValidations>
    <dataValidation type="list" allowBlank="1" showErrorMessage="1" sqref="F3:R3 F4:G25 F26:L26 C3:D48 F27:G48 K27:L48">
      <formula1>"Review Complete,Review Pending,In Analysis,Analysis Complete,Analysis Pending"</formula1>
    </dataValidation>
  </dataValidations>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38"/>
    <col customWidth="1" min="2" max="2" width="36.25"/>
  </cols>
  <sheetData>
    <row r="1">
      <c r="A1" s="42" t="s">
        <v>149</v>
      </c>
      <c r="B1" s="42" t="s">
        <v>150</v>
      </c>
    </row>
    <row r="2">
      <c r="A2" s="42" t="s">
        <v>151</v>
      </c>
      <c r="B2" s="42" t="s">
        <v>152</v>
      </c>
    </row>
    <row r="3">
      <c r="A3" s="42" t="s">
        <v>153</v>
      </c>
      <c r="B3" s="42" t="s">
        <v>154</v>
      </c>
    </row>
    <row r="4">
      <c r="A4" s="42" t="s">
        <v>155</v>
      </c>
      <c r="B4" s="42" t="s">
        <v>156</v>
      </c>
    </row>
    <row r="5">
      <c r="A5" s="42" t="s">
        <v>157</v>
      </c>
      <c r="B5" s="67" t="s">
        <v>158</v>
      </c>
    </row>
    <row r="6">
      <c r="B6" s="67" t="s">
        <v>159</v>
      </c>
    </row>
    <row r="7">
      <c r="B7" s="67" t="s">
        <v>160</v>
      </c>
    </row>
    <row r="8">
      <c r="B8" s="67" t="s">
        <v>161</v>
      </c>
    </row>
    <row r="9">
      <c r="B9" s="67" t="s">
        <v>162</v>
      </c>
    </row>
    <row r="10">
      <c r="B10" s="68" t="s">
        <v>163</v>
      </c>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9.75"/>
    <col customWidth="1" min="5" max="5" width="21.13"/>
    <col customWidth="1" min="8" max="8" width="21.25"/>
    <col customWidth="1" min="9" max="9" width="25.75"/>
    <col customWidth="1" min="10" max="10" width="82.0"/>
  </cols>
  <sheetData>
    <row r="1">
      <c r="A1" s="69" t="s">
        <v>11</v>
      </c>
      <c r="B1" s="69" t="s">
        <v>164</v>
      </c>
      <c r="C1" s="69" t="s">
        <v>165</v>
      </c>
      <c r="D1" s="69" t="s">
        <v>166</v>
      </c>
      <c r="E1" s="69" t="s">
        <v>167</v>
      </c>
      <c r="F1" s="69" t="s">
        <v>168</v>
      </c>
      <c r="G1" s="69" t="s">
        <v>169</v>
      </c>
      <c r="H1" s="69" t="s">
        <v>170</v>
      </c>
      <c r="I1" s="69" t="s">
        <v>171</v>
      </c>
      <c r="J1" s="69" t="s">
        <v>172</v>
      </c>
      <c r="K1" s="70" t="s">
        <v>173</v>
      </c>
      <c r="L1" s="70" t="s">
        <v>174</v>
      </c>
      <c r="M1" s="71"/>
      <c r="N1" s="71"/>
      <c r="O1" s="71"/>
      <c r="P1" s="71"/>
      <c r="Q1" s="71"/>
      <c r="R1" s="71"/>
      <c r="S1" s="72"/>
      <c r="T1" s="72"/>
      <c r="U1" s="72"/>
      <c r="V1" s="72"/>
      <c r="W1" s="72"/>
      <c r="X1" s="72"/>
      <c r="Y1" s="72"/>
      <c r="Z1" s="72"/>
    </row>
    <row r="2">
      <c r="A2" s="49" t="s">
        <v>124</v>
      </c>
      <c r="B2" s="73" t="s">
        <v>175</v>
      </c>
      <c r="C2" s="74" t="s">
        <v>176</v>
      </c>
      <c r="D2" s="42" t="s">
        <v>177</v>
      </c>
      <c r="E2" s="49" t="s">
        <v>124</v>
      </c>
      <c r="F2" s="75" t="s">
        <v>177</v>
      </c>
      <c r="G2" s="76"/>
      <c r="H2" s="76"/>
      <c r="I2" s="76"/>
      <c r="J2" s="76"/>
      <c r="K2" s="77"/>
      <c r="L2" s="77"/>
      <c r="M2" s="78"/>
      <c r="N2" s="78"/>
      <c r="O2" s="78"/>
      <c r="P2" s="78"/>
      <c r="Q2" s="78"/>
      <c r="R2" s="78"/>
    </row>
    <row r="3">
      <c r="A3" s="54" t="s">
        <v>127</v>
      </c>
      <c r="B3" s="79" t="s">
        <v>178</v>
      </c>
      <c r="C3" s="80" t="s">
        <v>179</v>
      </c>
      <c r="D3" s="42" t="s">
        <v>17</v>
      </c>
      <c r="E3" s="54" t="s">
        <v>127</v>
      </c>
      <c r="F3" s="75" t="s">
        <v>177</v>
      </c>
      <c r="G3" s="76"/>
      <c r="H3" s="76"/>
      <c r="I3" s="76"/>
      <c r="J3" s="76"/>
      <c r="K3" s="77"/>
      <c r="L3" s="77"/>
      <c r="M3" s="78"/>
      <c r="N3" s="78"/>
      <c r="O3" s="78"/>
      <c r="P3" s="78"/>
      <c r="Q3" s="78"/>
      <c r="R3" s="78"/>
    </row>
    <row r="4">
      <c r="A4" s="49" t="s">
        <v>28</v>
      </c>
      <c r="B4" s="73" t="s">
        <v>180</v>
      </c>
      <c r="C4" s="80" t="s">
        <v>179</v>
      </c>
      <c r="D4" s="42" t="s">
        <v>17</v>
      </c>
      <c r="E4" s="49" t="s">
        <v>28</v>
      </c>
      <c r="F4" s="75" t="s">
        <v>181</v>
      </c>
      <c r="G4" s="81" t="s">
        <v>127</v>
      </c>
      <c r="H4" s="75" t="s">
        <v>182</v>
      </c>
      <c r="I4" s="82" t="s">
        <v>183</v>
      </c>
      <c r="J4" s="83" t="s">
        <v>184</v>
      </c>
      <c r="K4" s="81" t="s">
        <v>185</v>
      </c>
      <c r="L4" s="81" t="s">
        <v>186</v>
      </c>
      <c r="M4" s="78"/>
      <c r="N4" s="78"/>
      <c r="O4" s="78"/>
      <c r="P4" s="78"/>
      <c r="Q4" s="78"/>
      <c r="R4" s="78"/>
    </row>
    <row r="5">
      <c r="A5" s="59" t="s">
        <v>128</v>
      </c>
      <c r="B5" s="73" t="s">
        <v>180</v>
      </c>
      <c r="C5" s="80" t="s">
        <v>179</v>
      </c>
      <c r="D5" s="42" t="s">
        <v>17</v>
      </c>
      <c r="E5" s="59" t="s">
        <v>128</v>
      </c>
      <c r="F5" s="75" t="s">
        <v>177</v>
      </c>
      <c r="G5" s="75" t="s">
        <v>177</v>
      </c>
      <c r="H5" s="75" t="s">
        <v>177</v>
      </c>
      <c r="I5" s="75" t="s">
        <v>177</v>
      </c>
      <c r="J5" s="75" t="s">
        <v>177</v>
      </c>
      <c r="K5" s="75" t="s">
        <v>177</v>
      </c>
      <c r="L5" s="75" t="s">
        <v>177</v>
      </c>
      <c r="M5" s="78"/>
      <c r="N5" s="78"/>
      <c r="O5" s="78"/>
      <c r="P5" s="78"/>
      <c r="Q5" s="78"/>
      <c r="R5" s="78"/>
    </row>
    <row r="6">
      <c r="A6" s="49" t="s">
        <v>87</v>
      </c>
      <c r="B6" s="73" t="s">
        <v>180</v>
      </c>
      <c r="C6" s="80" t="s">
        <v>179</v>
      </c>
      <c r="D6" s="42" t="s">
        <v>17</v>
      </c>
      <c r="E6" s="49" t="s">
        <v>87</v>
      </c>
      <c r="F6" s="81" t="s">
        <v>187</v>
      </c>
      <c r="G6" s="75" t="s">
        <v>177</v>
      </c>
      <c r="H6" s="75" t="s">
        <v>177</v>
      </c>
      <c r="I6" s="75" t="s">
        <v>177</v>
      </c>
      <c r="J6" s="75" t="s">
        <v>177</v>
      </c>
      <c r="K6" s="75" t="s">
        <v>177</v>
      </c>
      <c r="L6" s="75" t="s">
        <v>177</v>
      </c>
      <c r="M6" s="78"/>
      <c r="N6" s="78"/>
      <c r="O6" s="78"/>
      <c r="P6" s="78"/>
      <c r="Q6" s="78"/>
      <c r="R6" s="78"/>
    </row>
    <row r="7">
      <c r="A7" s="54" t="s">
        <v>89</v>
      </c>
      <c r="B7" s="73" t="s">
        <v>180</v>
      </c>
      <c r="C7" s="80" t="s">
        <v>179</v>
      </c>
      <c r="D7" s="42" t="s">
        <v>17</v>
      </c>
      <c r="E7" s="54" t="s">
        <v>89</v>
      </c>
      <c r="F7" s="75" t="s">
        <v>181</v>
      </c>
      <c r="G7" s="75" t="s">
        <v>188</v>
      </c>
      <c r="H7" s="75" t="s">
        <v>189</v>
      </c>
      <c r="I7" s="84" t="s">
        <v>190</v>
      </c>
      <c r="J7" s="76"/>
      <c r="K7" s="81" t="s">
        <v>185</v>
      </c>
      <c r="L7" s="81" t="s">
        <v>191</v>
      </c>
      <c r="M7" s="78"/>
      <c r="N7" s="78"/>
      <c r="O7" s="78"/>
      <c r="P7" s="78"/>
      <c r="Q7" s="78"/>
      <c r="R7" s="78"/>
    </row>
    <row r="8">
      <c r="A8" s="61" t="s">
        <v>129</v>
      </c>
      <c r="B8" s="73" t="s">
        <v>180</v>
      </c>
      <c r="C8" s="80" t="s">
        <v>179</v>
      </c>
      <c r="D8" s="42" t="s">
        <v>17</v>
      </c>
      <c r="E8" s="61" t="s">
        <v>129</v>
      </c>
      <c r="F8" s="75" t="s">
        <v>192</v>
      </c>
      <c r="G8" s="75" t="s">
        <v>177</v>
      </c>
      <c r="H8" s="75" t="s">
        <v>177</v>
      </c>
      <c r="I8" s="75" t="s">
        <v>177</v>
      </c>
      <c r="J8" s="75" t="s">
        <v>177</v>
      </c>
      <c r="K8" s="75" t="s">
        <v>177</v>
      </c>
      <c r="L8" s="75" t="s">
        <v>177</v>
      </c>
      <c r="M8" s="78"/>
      <c r="N8" s="78"/>
      <c r="O8" s="78"/>
      <c r="P8" s="78"/>
      <c r="Q8" s="78"/>
      <c r="R8" s="78"/>
    </row>
    <row r="9">
      <c r="A9" s="59" t="s">
        <v>76</v>
      </c>
      <c r="B9" s="73" t="s">
        <v>180</v>
      </c>
      <c r="C9" s="80" t="s">
        <v>179</v>
      </c>
      <c r="D9" s="42" t="s">
        <v>193</v>
      </c>
      <c r="E9" s="59" t="s">
        <v>76</v>
      </c>
      <c r="F9" s="75" t="s">
        <v>192</v>
      </c>
      <c r="G9" s="75" t="s">
        <v>177</v>
      </c>
      <c r="H9" s="75" t="s">
        <v>177</v>
      </c>
      <c r="I9" s="75" t="s">
        <v>177</v>
      </c>
      <c r="J9" s="75" t="s">
        <v>177</v>
      </c>
      <c r="K9" s="75" t="s">
        <v>177</v>
      </c>
      <c r="L9" s="75" t="s">
        <v>177</v>
      </c>
      <c r="M9" s="78"/>
      <c r="N9" s="78"/>
      <c r="O9" s="78"/>
      <c r="P9" s="78"/>
      <c r="Q9" s="78"/>
      <c r="R9" s="78"/>
    </row>
    <row r="10">
      <c r="A10" s="61" t="s">
        <v>130</v>
      </c>
      <c r="B10" s="79" t="s">
        <v>194</v>
      </c>
      <c r="C10" s="80" t="s">
        <v>179</v>
      </c>
      <c r="D10" s="42" t="s">
        <v>17</v>
      </c>
      <c r="E10" s="61" t="s">
        <v>130</v>
      </c>
      <c r="F10" s="75" t="s">
        <v>177</v>
      </c>
      <c r="G10" s="75" t="s">
        <v>177</v>
      </c>
      <c r="H10" s="75" t="s">
        <v>177</v>
      </c>
      <c r="I10" s="75" t="s">
        <v>177</v>
      </c>
      <c r="J10" s="75" t="s">
        <v>177</v>
      </c>
      <c r="K10" s="75" t="s">
        <v>177</v>
      </c>
      <c r="L10" s="75" t="s">
        <v>177</v>
      </c>
      <c r="M10" s="78"/>
      <c r="N10" s="78"/>
      <c r="O10" s="78"/>
      <c r="P10" s="78"/>
      <c r="Q10" s="78"/>
      <c r="R10" s="78"/>
    </row>
    <row r="11">
      <c r="A11" s="54" t="s">
        <v>131</v>
      </c>
      <c r="B11" s="73" t="s">
        <v>180</v>
      </c>
      <c r="C11" s="80" t="s">
        <v>179</v>
      </c>
      <c r="D11" s="42" t="s">
        <v>46</v>
      </c>
      <c r="E11" s="54" t="s">
        <v>131</v>
      </c>
      <c r="F11" s="75" t="s">
        <v>177</v>
      </c>
      <c r="G11" s="75" t="s">
        <v>177</v>
      </c>
      <c r="H11" s="75" t="s">
        <v>177</v>
      </c>
      <c r="I11" s="75" t="s">
        <v>177</v>
      </c>
      <c r="J11" s="75" t="s">
        <v>177</v>
      </c>
      <c r="K11" s="75" t="s">
        <v>177</v>
      </c>
      <c r="L11" s="75" t="s">
        <v>177</v>
      </c>
      <c r="M11" s="78"/>
      <c r="N11" s="78"/>
      <c r="O11" s="78"/>
      <c r="P11" s="78"/>
      <c r="Q11" s="78"/>
      <c r="R11" s="78"/>
    </row>
    <row r="12">
      <c r="A12" s="84" t="s">
        <v>48</v>
      </c>
      <c r="B12" s="73" t="s">
        <v>180</v>
      </c>
      <c r="C12" s="80" t="s">
        <v>179</v>
      </c>
      <c r="D12" s="42" t="s">
        <v>46</v>
      </c>
      <c r="E12" s="84" t="s">
        <v>48</v>
      </c>
      <c r="F12" s="75" t="s">
        <v>181</v>
      </c>
      <c r="G12" s="75" t="s">
        <v>195</v>
      </c>
      <c r="H12" s="75" t="s">
        <v>196</v>
      </c>
      <c r="I12" s="82" t="s">
        <v>197</v>
      </c>
      <c r="J12" s="81" t="s">
        <v>198</v>
      </c>
      <c r="K12" s="81" t="s">
        <v>185</v>
      </c>
      <c r="L12" s="81" t="s">
        <v>199</v>
      </c>
      <c r="M12" s="78"/>
      <c r="N12" s="78"/>
      <c r="O12" s="78"/>
      <c r="P12" s="78"/>
      <c r="Q12" s="78"/>
      <c r="R12" s="78"/>
    </row>
    <row r="13">
      <c r="A13" s="59" t="s">
        <v>133</v>
      </c>
      <c r="B13" s="79" t="s">
        <v>194</v>
      </c>
      <c r="C13" s="80" t="s">
        <v>179</v>
      </c>
      <c r="D13" s="42" t="s">
        <v>46</v>
      </c>
      <c r="E13" s="59" t="s">
        <v>133</v>
      </c>
      <c r="F13" s="75" t="s">
        <v>177</v>
      </c>
      <c r="G13" s="75" t="s">
        <v>177</v>
      </c>
      <c r="H13" s="75" t="s">
        <v>177</v>
      </c>
      <c r="I13" s="75" t="s">
        <v>177</v>
      </c>
      <c r="J13" s="75" t="s">
        <v>177</v>
      </c>
      <c r="K13" s="75" t="s">
        <v>177</v>
      </c>
      <c r="L13" s="75" t="s">
        <v>177</v>
      </c>
      <c r="M13" s="78"/>
      <c r="N13" s="78"/>
      <c r="O13" s="78"/>
      <c r="P13" s="78"/>
      <c r="Q13" s="78"/>
      <c r="R13" s="78"/>
    </row>
    <row r="14">
      <c r="A14" s="61" t="s">
        <v>134</v>
      </c>
      <c r="B14" s="73" t="s">
        <v>180</v>
      </c>
      <c r="C14" s="80" t="s">
        <v>179</v>
      </c>
      <c r="D14" s="42" t="s">
        <v>46</v>
      </c>
      <c r="E14" s="61" t="s">
        <v>134</v>
      </c>
      <c r="F14" s="75" t="s">
        <v>192</v>
      </c>
      <c r="G14" s="75" t="s">
        <v>177</v>
      </c>
      <c r="H14" s="75" t="s">
        <v>177</v>
      </c>
      <c r="I14" s="75" t="s">
        <v>177</v>
      </c>
      <c r="J14" s="75" t="s">
        <v>177</v>
      </c>
      <c r="K14" s="75" t="s">
        <v>177</v>
      </c>
      <c r="L14" s="75" t="s">
        <v>177</v>
      </c>
      <c r="M14" s="78"/>
      <c r="N14" s="78"/>
      <c r="O14" s="78"/>
      <c r="P14" s="78"/>
      <c r="Q14" s="78"/>
      <c r="R14" s="78"/>
    </row>
    <row r="15">
      <c r="A15" s="59" t="s">
        <v>135</v>
      </c>
      <c r="B15" s="73" t="s">
        <v>180</v>
      </c>
      <c r="C15" s="80" t="s">
        <v>179</v>
      </c>
      <c r="D15" s="42" t="s">
        <v>46</v>
      </c>
      <c r="E15" s="59" t="s">
        <v>135</v>
      </c>
      <c r="F15" s="75" t="s">
        <v>192</v>
      </c>
      <c r="G15" s="75" t="s">
        <v>177</v>
      </c>
      <c r="H15" s="75" t="s">
        <v>177</v>
      </c>
      <c r="I15" s="75" t="s">
        <v>177</v>
      </c>
      <c r="J15" s="75" t="s">
        <v>177</v>
      </c>
      <c r="K15" s="75" t="s">
        <v>177</v>
      </c>
      <c r="L15" s="75" t="s">
        <v>177</v>
      </c>
      <c r="M15" s="78"/>
      <c r="N15" s="78"/>
      <c r="O15" s="78"/>
      <c r="P15" s="78"/>
      <c r="Q15" s="78"/>
      <c r="R15" s="78"/>
    </row>
    <row r="16">
      <c r="A16" s="85" t="s">
        <v>200</v>
      </c>
      <c r="B16" s="73" t="s">
        <v>178</v>
      </c>
      <c r="C16" s="80" t="s">
        <v>179</v>
      </c>
      <c r="D16" s="42" t="s">
        <v>201</v>
      </c>
      <c r="E16" s="61" t="s">
        <v>136</v>
      </c>
      <c r="F16" s="75" t="s">
        <v>177</v>
      </c>
      <c r="G16" s="75" t="s">
        <v>177</v>
      </c>
      <c r="H16" s="75" t="s">
        <v>177</v>
      </c>
      <c r="I16" s="75" t="s">
        <v>177</v>
      </c>
      <c r="J16" s="75" t="s">
        <v>177</v>
      </c>
      <c r="K16" s="75" t="s">
        <v>177</v>
      </c>
      <c r="L16" s="75" t="s">
        <v>177</v>
      </c>
      <c r="M16" s="78"/>
      <c r="N16" s="78"/>
      <c r="O16" s="78"/>
      <c r="P16" s="78"/>
      <c r="Q16" s="78"/>
      <c r="R16" s="78"/>
    </row>
    <row r="17">
      <c r="A17" s="59" t="s">
        <v>137</v>
      </c>
      <c r="B17" s="73" t="s">
        <v>180</v>
      </c>
      <c r="C17" s="80" t="s">
        <v>179</v>
      </c>
      <c r="D17" s="42" t="s">
        <v>201</v>
      </c>
      <c r="E17" s="59" t="s">
        <v>137</v>
      </c>
      <c r="F17" s="75" t="s">
        <v>181</v>
      </c>
      <c r="G17" s="75" t="s">
        <v>202</v>
      </c>
      <c r="H17" s="75" t="s">
        <v>202</v>
      </c>
      <c r="I17" s="81" t="s">
        <v>203</v>
      </c>
      <c r="J17" s="76"/>
      <c r="K17" s="81" t="s">
        <v>185</v>
      </c>
      <c r="L17" s="81" t="s">
        <v>204</v>
      </c>
      <c r="M17" s="78"/>
      <c r="N17" s="78"/>
      <c r="O17" s="78"/>
      <c r="P17" s="78"/>
      <c r="Q17" s="78"/>
      <c r="R17" s="78"/>
    </row>
    <row r="18">
      <c r="A18" s="61" t="s">
        <v>138</v>
      </c>
      <c r="B18" s="79" t="s">
        <v>194</v>
      </c>
      <c r="C18" s="80" t="s">
        <v>179</v>
      </c>
      <c r="D18" s="42" t="s">
        <v>201</v>
      </c>
      <c r="E18" s="61" t="s">
        <v>138</v>
      </c>
      <c r="F18" s="75" t="s">
        <v>177</v>
      </c>
      <c r="G18" s="75" t="s">
        <v>177</v>
      </c>
      <c r="H18" s="75" t="s">
        <v>177</v>
      </c>
      <c r="I18" s="75" t="s">
        <v>177</v>
      </c>
      <c r="J18" s="75" t="s">
        <v>177</v>
      </c>
      <c r="K18" s="75" t="s">
        <v>177</v>
      </c>
      <c r="L18" s="75" t="s">
        <v>177</v>
      </c>
      <c r="M18" s="78"/>
      <c r="N18" s="78"/>
      <c r="O18" s="78"/>
      <c r="P18" s="78"/>
      <c r="Q18" s="78"/>
      <c r="R18" s="78"/>
    </row>
    <row r="19">
      <c r="A19" s="86" t="s">
        <v>205</v>
      </c>
      <c r="B19" s="73" t="s">
        <v>178</v>
      </c>
      <c r="C19" s="80" t="s">
        <v>179</v>
      </c>
      <c r="D19" s="42" t="s">
        <v>206</v>
      </c>
      <c r="E19" s="86" t="s">
        <v>205</v>
      </c>
      <c r="F19" s="75" t="s">
        <v>177</v>
      </c>
      <c r="G19" s="75" t="s">
        <v>177</v>
      </c>
      <c r="H19" s="75" t="s">
        <v>177</v>
      </c>
      <c r="I19" s="75" t="s">
        <v>177</v>
      </c>
      <c r="J19" s="75" t="s">
        <v>177</v>
      </c>
      <c r="K19" s="75" t="s">
        <v>177</v>
      </c>
      <c r="L19" s="75" t="s">
        <v>177</v>
      </c>
      <c r="M19" s="78"/>
      <c r="N19" s="78"/>
      <c r="O19" s="78"/>
      <c r="P19" s="78"/>
      <c r="Q19" s="78"/>
      <c r="R19" s="78"/>
    </row>
    <row r="20">
      <c r="A20" s="49" t="s">
        <v>140</v>
      </c>
      <c r="B20" s="73" t="s">
        <v>180</v>
      </c>
      <c r="C20" s="80" t="s">
        <v>179</v>
      </c>
      <c r="D20" s="42" t="s">
        <v>206</v>
      </c>
      <c r="E20" s="49" t="s">
        <v>140</v>
      </c>
      <c r="F20" s="75" t="s">
        <v>192</v>
      </c>
      <c r="G20" s="76"/>
      <c r="H20" s="76"/>
      <c r="I20" s="76"/>
      <c r="J20" s="76"/>
      <c r="K20" s="77"/>
      <c r="L20" s="77"/>
      <c r="M20" s="78"/>
      <c r="N20" s="78"/>
      <c r="O20" s="78"/>
      <c r="P20" s="78"/>
      <c r="Q20" s="78"/>
      <c r="R20" s="78"/>
    </row>
    <row r="21">
      <c r="A21" s="86" t="s">
        <v>207</v>
      </c>
      <c r="B21" s="79" t="s">
        <v>194</v>
      </c>
      <c r="C21" s="80" t="s">
        <v>179</v>
      </c>
      <c r="D21" s="42" t="s">
        <v>206</v>
      </c>
      <c r="E21" s="86" t="s">
        <v>207</v>
      </c>
      <c r="F21" s="75" t="s">
        <v>177</v>
      </c>
      <c r="G21" s="75" t="s">
        <v>177</v>
      </c>
      <c r="H21" s="75" t="s">
        <v>177</v>
      </c>
      <c r="I21" s="75" t="s">
        <v>177</v>
      </c>
      <c r="J21" s="75" t="s">
        <v>177</v>
      </c>
      <c r="K21" s="75" t="s">
        <v>177</v>
      </c>
      <c r="L21" s="75" t="s">
        <v>177</v>
      </c>
      <c r="M21" s="78"/>
      <c r="N21" s="78"/>
      <c r="O21" s="78"/>
      <c r="P21" s="78"/>
      <c r="Q21" s="78"/>
      <c r="R21" s="78"/>
    </row>
    <row r="22">
      <c r="A22" s="49" t="s">
        <v>142</v>
      </c>
      <c r="B22" s="79" t="s">
        <v>175</v>
      </c>
      <c r="C22" s="80" t="s">
        <v>179</v>
      </c>
      <c r="D22" s="42" t="s">
        <v>177</v>
      </c>
      <c r="E22" s="49" t="s">
        <v>142</v>
      </c>
      <c r="F22" s="75" t="s">
        <v>177</v>
      </c>
      <c r="G22" s="75" t="s">
        <v>177</v>
      </c>
      <c r="H22" s="75" t="s">
        <v>177</v>
      </c>
      <c r="I22" s="75" t="s">
        <v>177</v>
      </c>
      <c r="J22" s="75" t="s">
        <v>177</v>
      </c>
      <c r="K22" s="75" t="s">
        <v>177</v>
      </c>
      <c r="L22" s="75" t="s">
        <v>177</v>
      </c>
      <c r="M22" s="78"/>
      <c r="N22" s="78"/>
      <c r="O22" s="78"/>
      <c r="P22" s="78"/>
      <c r="Q22" s="78"/>
      <c r="R22" s="78"/>
    </row>
    <row r="23">
      <c r="A23" s="54" t="s">
        <v>143</v>
      </c>
      <c r="B23" s="79" t="s">
        <v>175</v>
      </c>
      <c r="C23" s="80" t="s">
        <v>179</v>
      </c>
      <c r="D23" s="42" t="s">
        <v>177</v>
      </c>
      <c r="E23" s="54" t="s">
        <v>143</v>
      </c>
      <c r="F23" s="75" t="s">
        <v>177</v>
      </c>
      <c r="G23" s="75" t="s">
        <v>177</v>
      </c>
      <c r="H23" s="75" t="s">
        <v>177</v>
      </c>
      <c r="I23" s="75" t="s">
        <v>177</v>
      </c>
      <c r="J23" s="75" t="s">
        <v>177</v>
      </c>
      <c r="K23" s="75" t="s">
        <v>177</v>
      </c>
      <c r="L23" s="75" t="s">
        <v>177</v>
      </c>
      <c r="M23" s="78"/>
      <c r="N23" s="78"/>
      <c r="O23" s="78"/>
      <c r="P23" s="78"/>
      <c r="Q23" s="78"/>
      <c r="R23" s="78"/>
    </row>
    <row r="24">
      <c r="A24" s="49" t="s">
        <v>144</v>
      </c>
      <c r="B24" s="73" t="s">
        <v>208</v>
      </c>
      <c r="C24" s="80" t="s">
        <v>179</v>
      </c>
      <c r="D24" s="42" t="s">
        <v>177</v>
      </c>
      <c r="E24" s="49" t="s">
        <v>144</v>
      </c>
      <c r="F24" s="75" t="s">
        <v>177</v>
      </c>
      <c r="G24" s="75" t="s">
        <v>177</v>
      </c>
      <c r="H24" s="75" t="s">
        <v>177</v>
      </c>
      <c r="I24" s="75" t="s">
        <v>177</v>
      </c>
      <c r="J24" s="75" t="s">
        <v>177</v>
      </c>
      <c r="K24" s="75" t="s">
        <v>177</v>
      </c>
      <c r="L24" s="75" t="s">
        <v>177</v>
      </c>
      <c r="M24" s="78"/>
      <c r="N24" s="78"/>
      <c r="O24" s="78"/>
      <c r="P24" s="78"/>
      <c r="Q24" s="78"/>
      <c r="R24" s="78"/>
    </row>
    <row r="25">
      <c r="A25" s="54" t="s">
        <v>145</v>
      </c>
      <c r="B25" s="79" t="s">
        <v>175</v>
      </c>
      <c r="C25" s="80" t="s">
        <v>179</v>
      </c>
      <c r="D25" s="42" t="s">
        <v>177</v>
      </c>
      <c r="E25" s="54" t="s">
        <v>145</v>
      </c>
      <c r="F25" s="75" t="s">
        <v>177</v>
      </c>
      <c r="G25" s="75" t="s">
        <v>177</v>
      </c>
      <c r="H25" s="75" t="s">
        <v>177</v>
      </c>
      <c r="I25" s="75" t="s">
        <v>177</v>
      </c>
      <c r="J25" s="75" t="s">
        <v>177</v>
      </c>
      <c r="K25" s="75" t="s">
        <v>177</v>
      </c>
      <c r="L25" s="75" t="s">
        <v>177</v>
      </c>
      <c r="M25" s="78"/>
      <c r="N25" s="78"/>
      <c r="O25" s="78"/>
      <c r="P25" s="78"/>
      <c r="Q25" s="78"/>
      <c r="R25" s="78"/>
    </row>
    <row r="26">
      <c r="A26" s="49" t="s">
        <v>146</v>
      </c>
      <c r="B26" s="79" t="s">
        <v>175</v>
      </c>
      <c r="C26" s="80" t="s">
        <v>179</v>
      </c>
      <c r="D26" s="42" t="s">
        <v>177</v>
      </c>
      <c r="E26" s="49" t="s">
        <v>146</v>
      </c>
      <c r="F26" s="75" t="s">
        <v>177</v>
      </c>
      <c r="G26" s="75" t="s">
        <v>177</v>
      </c>
      <c r="H26" s="75" t="s">
        <v>177</v>
      </c>
      <c r="I26" s="75" t="s">
        <v>177</v>
      </c>
      <c r="J26" s="75" t="s">
        <v>177</v>
      </c>
      <c r="K26" s="75" t="s">
        <v>177</v>
      </c>
      <c r="L26" s="75" t="s">
        <v>177</v>
      </c>
      <c r="M26" s="78"/>
      <c r="N26" s="78"/>
      <c r="O26" s="78"/>
      <c r="P26" s="78"/>
      <c r="Q26" s="78"/>
      <c r="R26" s="78"/>
    </row>
    <row r="27">
      <c r="A27" s="54" t="s">
        <v>147</v>
      </c>
      <c r="B27" s="79" t="s">
        <v>175</v>
      </c>
      <c r="C27" s="80" t="s">
        <v>179</v>
      </c>
      <c r="D27" s="42" t="s">
        <v>177</v>
      </c>
      <c r="E27" s="54" t="s">
        <v>147</v>
      </c>
      <c r="F27" s="75" t="s">
        <v>177</v>
      </c>
      <c r="G27" s="75" t="s">
        <v>177</v>
      </c>
      <c r="H27" s="75" t="s">
        <v>177</v>
      </c>
      <c r="I27" s="75" t="s">
        <v>177</v>
      </c>
      <c r="J27" s="75" t="s">
        <v>177</v>
      </c>
      <c r="K27" s="75" t="s">
        <v>177</v>
      </c>
      <c r="L27" s="75" t="s">
        <v>177</v>
      </c>
      <c r="M27" s="78"/>
      <c r="N27" s="78"/>
      <c r="O27" s="78"/>
      <c r="P27" s="78"/>
      <c r="Q27" s="78"/>
      <c r="R27" s="78"/>
    </row>
  </sheetData>
  <dataValidations>
    <dataValidation type="list" allowBlank="1" showErrorMessage="1" sqref="C2:C27">
      <formula1>"Individual,Group,Household,Person"</formula1>
    </dataValidation>
  </dataValidations>
  <drawing r:id="rId4"/>
  <legacyDrawing r:id="rId5"/>
  <tableParts count="3">
    <tablePart r:id="rId9"/>
    <tablePart r:id="rId10"/>
    <tablePart r:id="rId1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30.5"/>
    <col customWidth="1" min="2" max="2" width="29.75"/>
    <col customWidth="1" min="3" max="3" width="37.38"/>
    <col customWidth="1" min="4" max="4" width="31.25"/>
    <col customWidth="1" min="5" max="5" width="19.63"/>
    <col customWidth="1" min="6" max="6" width="16.63"/>
    <col customWidth="1" min="7" max="7" width="31.88"/>
  </cols>
  <sheetData>
    <row r="1">
      <c r="A1" s="87" t="s">
        <v>209</v>
      </c>
      <c r="B1" s="69" t="s">
        <v>11</v>
      </c>
      <c r="C1" s="71" t="s">
        <v>210</v>
      </c>
      <c r="D1" s="71" t="s">
        <v>211</v>
      </c>
      <c r="E1" s="71" t="s">
        <v>212</v>
      </c>
      <c r="F1" s="71" t="s">
        <v>213</v>
      </c>
      <c r="G1" s="71" t="s">
        <v>214</v>
      </c>
    </row>
    <row r="2">
      <c r="A2" s="88" t="s">
        <v>215</v>
      </c>
      <c r="B2" s="49" t="s">
        <v>124</v>
      </c>
      <c r="C2" s="89" t="s">
        <v>216</v>
      </c>
      <c r="D2" s="78" t="s">
        <v>217</v>
      </c>
      <c r="E2" s="78" t="s">
        <v>177</v>
      </c>
      <c r="F2" s="78" t="s">
        <v>218</v>
      </c>
      <c r="G2" s="78" t="s">
        <v>218</v>
      </c>
    </row>
    <row r="3">
      <c r="A3" s="90" t="s">
        <v>215</v>
      </c>
      <c r="B3" s="54" t="s">
        <v>127</v>
      </c>
      <c r="C3" s="89" t="s">
        <v>219</v>
      </c>
      <c r="D3" s="78" t="s">
        <v>220</v>
      </c>
      <c r="E3" s="89" t="s">
        <v>177</v>
      </c>
      <c r="F3" s="78" t="s">
        <v>218</v>
      </c>
      <c r="G3" s="78" t="s">
        <v>218</v>
      </c>
    </row>
    <row r="4">
      <c r="A4" s="88" t="s">
        <v>215</v>
      </c>
      <c r="B4" s="49" t="s">
        <v>28</v>
      </c>
      <c r="C4" s="89" t="s">
        <v>219</v>
      </c>
      <c r="D4" s="78" t="s">
        <v>220</v>
      </c>
      <c r="E4" s="89" t="s">
        <v>177</v>
      </c>
      <c r="F4" s="78" t="s">
        <v>218</v>
      </c>
      <c r="G4" s="78" t="s">
        <v>218</v>
      </c>
    </row>
    <row r="5">
      <c r="A5" s="91" t="s">
        <v>215</v>
      </c>
      <c r="B5" s="59" t="s">
        <v>128</v>
      </c>
      <c r="C5" s="89" t="s">
        <v>221</v>
      </c>
      <c r="D5" s="78" t="s">
        <v>222</v>
      </c>
      <c r="E5" s="89" t="s">
        <v>177</v>
      </c>
      <c r="F5" s="78" t="s">
        <v>218</v>
      </c>
      <c r="G5" s="78" t="s">
        <v>218</v>
      </c>
    </row>
    <row r="6">
      <c r="A6" s="88" t="s">
        <v>215</v>
      </c>
      <c r="B6" s="49" t="s">
        <v>87</v>
      </c>
      <c r="C6" s="89" t="s">
        <v>219</v>
      </c>
      <c r="D6" s="78" t="s">
        <v>220</v>
      </c>
      <c r="E6" s="89" t="s">
        <v>177</v>
      </c>
      <c r="F6" s="78" t="s">
        <v>218</v>
      </c>
      <c r="G6" s="78" t="s">
        <v>218</v>
      </c>
    </row>
    <row r="7">
      <c r="A7" s="90" t="s">
        <v>215</v>
      </c>
      <c r="B7" s="54" t="s">
        <v>89</v>
      </c>
      <c r="C7" s="89" t="s">
        <v>219</v>
      </c>
      <c r="D7" s="78" t="s">
        <v>223</v>
      </c>
      <c r="E7" s="89" t="s">
        <v>177</v>
      </c>
      <c r="F7" s="78" t="s">
        <v>218</v>
      </c>
      <c r="G7" s="78" t="s">
        <v>218</v>
      </c>
    </row>
    <row r="8">
      <c r="A8" s="92" t="s">
        <v>215</v>
      </c>
      <c r="B8" s="61" t="s">
        <v>129</v>
      </c>
      <c r="C8" s="89" t="s">
        <v>221</v>
      </c>
      <c r="D8" s="78" t="s">
        <v>220</v>
      </c>
      <c r="E8" s="89" t="s">
        <v>177</v>
      </c>
      <c r="F8" s="78" t="s">
        <v>218</v>
      </c>
      <c r="G8" s="78" t="s">
        <v>218</v>
      </c>
    </row>
    <row r="9">
      <c r="A9" s="91" t="s">
        <v>224</v>
      </c>
      <c r="B9" s="59" t="s">
        <v>76</v>
      </c>
      <c r="C9" s="89" t="s">
        <v>219</v>
      </c>
      <c r="D9" s="78" t="s">
        <v>220</v>
      </c>
      <c r="E9" s="89" t="s">
        <v>177</v>
      </c>
      <c r="F9" s="78" t="s">
        <v>218</v>
      </c>
      <c r="G9" s="78" t="s">
        <v>218</v>
      </c>
    </row>
    <row r="10">
      <c r="A10" s="92" t="s">
        <v>215</v>
      </c>
      <c r="B10" s="61" t="s">
        <v>130</v>
      </c>
      <c r="C10" s="89" t="s">
        <v>219</v>
      </c>
      <c r="D10" s="78" t="s">
        <v>220</v>
      </c>
      <c r="E10" s="89" t="s">
        <v>177</v>
      </c>
      <c r="F10" s="78" t="s">
        <v>218</v>
      </c>
      <c r="G10" s="78" t="s">
        <v>218</v>
      </c>
    </row>
    <row r="11">
      <c r="A11" s="90" t="s">
        <v>215</v>
      </c>
      <c r="B11" s="54" t="s">
        <v>131</v>
      </c>
      <c r="C11" s="89" t="s">
        <v>219</v>
      </c>
      <c r="D11" s="78"/>
      <c r="E11" s="89" t="s">
        <v>177</v>
      </c>
      <c r="F11" s="78" t="s">
        <v>218</v>
      </c>
      <c r="G11" s="78" t="s">
        <v>218</v>
      </c>
    </row>
    <row r="12">
      <c r="A12" s="88" t="s">
        <v>215</v>
      </c>
      <c r="B12" s="49" t="s">
        <v>132</v>
      </c>
      <c r="C12" s="89" t="s">
        <v>219</v>
      </c>
      <c r="D12" s="78" t="s">
        <v>220</v>
      </c>
      <c r="E12" s="89" t="s">
        <v>177</v>
      </c>
      <c r="F12" s="78" t="s">
        <v>218</v>
      </c>
      <c r="G12" s="78" t="s">
        <v>218</v>
      </c>
    </row>
    <row r="13">
      <c r="A13" s="91" t="s">
        <v>215</v>
      </c>
      <c r="B13" s="59" t="s">
        <v>133</v>
      </c>
      <c r="C13" s="89" t="s">
        <v>219</v>
      </c>
      <c r="D13" s="78" t="s">
        <v>220</v>
      </c>
      <c r="E13" s="89" t="s">
        <v>177</v>
      </c>
      <c r="F13" s="78" t="s">
        <v>218</v>
      </c>
      <c r="G13" s="78" t="s">
        <v>218</v>
      </c>
    </row>
    <row r="14">
      <c r="A14" s="92" t="s">
        <v>215</v>
      </c>
      <c r="B14" s="61" t="s">
        <v>134</v>
      </c>
      <c r="C14" s="89" t="s">
        <v>219</v>
      </c>
      <c r="D14" s="78" t="s">
        <v>220</v>
      </c>
      <c r="E14" s="89" t="s">
        <v>177</v>
      </c>
      <c r="F14" s="78" t="s">
        <v>218</v>
      </c>
      <c r="G14" s="78" t="s">
        <v>218</v>
      </c>
    </row>
    <row r="15">
      <c r="A15" s="91" t="s">
        <v>215</v>
      </c>
      <c r="B15" s="59" t="s">
        <v>135</v>
      </c>
      <c r="C15" s="89" t="s">
        <v>219</v>
      </c>
      <c r="D15" s="78" t="s">
        <v>220</v>
      </c>
      <c r="E15" s="89" t="s">
        <v>177</v>
      </c>
      <c r="F15" s="78" t="s">
        <v>218</v>
      </c>
      <c r="G15" s="78" t="s">
        <v>218</v>
      </c>
    </row>
    <row r="16">
      <c r="A16" s="92" t="s">
        <v>215</v>
      </c>
      <c r="B16" s="61" t="s">
        <v>136</v>
      </c>
      <c r="C16" s="89" t="s">
        <v>219</v>
      </c>
      <c r="D16" s="78" t="s">
        <v>220</v>
      </c>
      <c r="E16" s="89" t="s">
        <v>177</v>
      </c>
      <c r="F16" s="78" t="s">
        <v>218</v>
      </c>
      <c r="G16" s="78" t="s">
        <v>218</v>
      </c>
    </row>
    <row r="17">
      <c r="A17" s="91" t="s">
        <v>215</v>
      </c>
      <c r="B17" s="59" t="s">
        <v>137</v>
      </c>
      <c r="C17" s="89" t="s">
        <v>219</v>
      </c>
      <c r="D17" s="78" t="s">
        <v>220</v>
      </c>
      <c r="E17" s="89" t="s">
        <v>177</v>
      </c>
      <c r="F17" s="78" t="s">
        <v>218</v>
      </c>
      <c r="G17" s="78" t="s">
        <v>218</v>
      </c>
    </row>
    <row r="18">
      <c r="A18" s="91" t="s">
        <v>215</v>
      </c>
      <c r="B18" s="61" t="s">
        <v>138</v>
      </c>
      <c r="C18" s="89" t="s">
        <v>219</v>
      </c>
      <c r="D18" s="78" t="s">
        <v>220</v>
      </c>
      <c r="E18" s="89" t="s">
        <v>177</v>
      </c>
      <c r="F18" s="78" t="s">
        <v>218</v>
      </c>
      <c r="G18" s="78" t="s">
        <v>218</v>
      </c>
    </row>
    <row r="19">
      <c r="A19" s="91" t="s">
        <v>215</v>
      </c>
      <c r="B19" s="86" t="s">
        <v>205</v>
      </c>
      <c r="C19" s="89" t="s">
        <v>177</v>
      </c>
      <c r="D19" s="89" t="s">
        <v>177</v>
      </c>
      <c r="E19" s="89" t="s">
        <v>225</v>
      </c>
      <c r="F19" s="89" t="s">
        <v>177</v>
      </c>
      <c r="G19" s="78" t="s">
        <v>218</v>
      </c>
    </row>
    <row r="20">
      <c r="A20" s="91" t="s">
        <v>215</v>
      </c>
      <c r="B20" s="49" t="s">
        <v>140</v>
      </c>
      <c r="C20" s="89" t="s">
        <v>177</v>
      </c>
      <c r="D20" s="89" t="s">
        <v>177</v>
      </c>
      <c r="E20" s="89" t="s">
        <v>219</v>
      </c>
      <c r="F20" s="89" t="s">
        <v>177</v>
      </c>
      <c r="G20" s="78" t="s">
        <v>218</v>
      </c>
    </row>
    <row r="21">
      <c r="A21" s="91" t="s">
        <v>215</v>
      </c>
      <c r="B21" s="86" t="s">
        <v>207</v>
      </c>
      <c r="C21" s="89" t="s">
        <v>177</v>
      </c>
      <c r="D21" s="89" t="s">
        <v>177</v>
      </c>
      <c r="E21" s="89" t="s">
        <v>219</v>
      </c>
      <c r="F21" s="89" t="s">
        <v>177</v>
      </c>
      <c r="G21" s="78" t="s">
        <v>218</v>
      </c>
    </row>
    <row r="22">
      <c r="A22" s="91" t="s">
        <v>215</v>
      </c>
      <c r="B22" s="49" t="s">
        <v>142</v>
      </c>
      <c r="C22" s="89" t="s">
        <v>219</v>
      </c>
      <c r="D22" s="78" t="s">
        <v>220</v>
      </c>
      <c r="E22" s="89" t="s">
        <v>177</v>
      </c>
      <c r="F22" s="89" t="s">
        <v>177</v>
      </c>
      <c r="G22" s="78" t="s">
        <v>218</v>
      </c>
    </row>
    <row r="23">
      <c r="A23" s="91" t="s">
        <v>215</v>
      </c>
      <c r="B23" s="54" t="s">
        <v>143</v>
      </c>
      <c r="C23" s="89" t="s">
        <v>219</v>
      </c>
      <c r="D23" s="78" t="s">
        <v>220</v>
      </c>
      <c r="E23" s="89" t="s">
        <v>177</v>
      </c>
      <c r="F23" s="89" t="s">
        <v>177</v>
      </c>
      <c r="G23" s="78" t="s">
        <v>218</v>
      </c>
    </row>
    <row r="24">
      <c r="A24" s="91" t="s">
        <v>215</v>
      </c>
      <c r="B24" s="49" t="s">
        <v>144</v>
      </c>
      <c r="C24" s="89" t="s">
        <v>225</v>
      </c>
      <c r="D24" s="78" t="s">
        <v>220</v>
      </c>
      <c r="E24" s="89" t="s">
        <v>177</v>
      </c>
      <c r="F24" s="89" t="s">
        <v>177</v>
      </c>
      <c r="G24" s="78" t="s">
        <v>218</v>
      </c>
    </row>
    <row r="25">
      <c r="A25" s="91" t="s">
        <v>215</v>
      </c>
      <c r="B25" s="54" t="s">
        <v>145</v>
      </c>
      <c r="C25" s="89" t="s">
        <v>219</v>
      </c>
      <c r="D25" s="78" t="s">
        <v>220</v>
      </c>
      <c r="E25" s="89" t="s">
        <v>177</v>
      </c>
      <c r="F25" s="89" t="s">
        <v>225</v>
      </c>
      <c r="G25" s="78" t="s">
        <v>218</v>
      </c>
    </row>
    <row r="26">
      <c r="A26" s="91" t="s">
        <v>215</v>
      </c>
      <c r="B26" s="49" t="s">
        <v>146</v>
      </c>
      <c r="C26" s="89" t="s">
        <v>219</v>
      </c>
      <c r="D26" s="78" t="s">
        <v>220</v>
      </c>
      <c r="E26" s="89" t="s">
        <v>177</v>
      </c>
      <c r="F26" s="89" t="s">
        <v>225</v>
      </c>
      <c r="G26" s="78" t="s">
        <v>218</v>
      </c>
    </row>
    <row r="27">
      <c r="A27" s="91" t="s">
        <v>215</v>
      </c>
      <c r="B27" s="54" t="s">
        <v>147</v>
      </c>
      <c r="C27" s="89" t="s">
        <v>218</v>
      </c>
      <c r="D27" s="78" t="s">
        <v>217</v>
      </c>
      <c r="E27" s="89" t="s">
        <v>177</v>
      </c>
      <c r="F27" s="78" t="s">
        <v>177</v>
      </c>
      <c r="G27" s="78" t="s">
        <v>218</v>
      </c>
    </row>
    <row r="28">
      <c r="A28" s="79"/>
      <c r="B28" s="79"/>
      <c r="C28" s="89"/>
      <c r="D28" s="78"/>
      <c r="E28" s="89"/>
      <c r="F28" s="78"/>
      <c r="G28" s="78"/>
    </row>
    <row r="29">
      <c r="A29" s="79"/>
      <c r="B29" s="79"/>
      <c r="C29" s="89"/>
      <c r="D29" s="89"/>
      <c r="E29" s="89"/>
      <c r="F29" s="89"/>
      <c r="G29" s="78"/>
    </row>
    <row r="30">
      <c r="A30" s="79"/>
      <c r="B30" s="79"/>
      <c r="C30" s="89"/>
      <c r="D30" s="89"/>
      <c r="E30" s="89"/>
      <c r="F30" s="89"/>
      <c r="G30" s="78"/>
    </row>
    <row r="31">
      <c r="A31" s="93"/>
    </row>
    <row r="32">
      <c r="A32" s="93"/>
    </row>
    <row r="33">
      <c r="A33" s="93"/>
    </row>
    <row r="34">
      <c r="A34" s="93"/>
    </row>
    <row r="35">
      <c r="A35" s="93"/>
    </row>
    <row r="36">
      <c r="A36" s="93"/>
    </row>
    <row r="37">
      <c r="A37" s="93"/>
    </row>
    <row r="38">
      <c r="A38" s="93"/>
    </row>
    <row r="39">
      <c r="A39" s="93"/>
    </row>
    <row r="40">
      <c r="A40" s="93"/>
    </row>
    <row r="41">
      <c r="A41" s="93"/>
    </row>
    <row r="42">
      <c r="A42" s="93"/>
    </row>
    <row r="43">
      <c r="A43" s="93"/>
    </row>
    <row r="44">
      <c r="A44" s="93"/>
    </row>
    <row r="45">
      <c r="A45" s="93"/>
    </row>
    <row r="46">
      <c r="A46" s="93"/>
    </row>
    <row r="47">
      <c r="A47" s="93"/>
    </row>
    <row r="48">
      <c r="A48" s="93"/>
    </row>
    <row r="49">
      <c r="A49" s="93"/>
    </row>
    <row r="50">
      <c r="A50" s="93"/>
    </row>
    <row r="51">
      <c r="A51" s="93"/>
    </row>
    <row r="52">
      <c r="A52" s="93"/>
    </row>
    <row r="53">
      <c r="A53" s="93"/>
    </row>
    <row r="54">
      <c r="A54" s="93"/>
    </row>
    <row r="55">
      <c r="A55" s="93"/>
    </row>
    <row r="56">
      <c r="A56" s="93"/>
    </row>
    <row r="57">
      <c r="A57" s="93"/>
    </row>
    <row r="58">
      <c r="A58" s="93"/>
    </row>
    <row r="59">
      <c r="A59" s="93"/>
    </row>
    <row r="60">
      <c r="A60" s="93"/>
    </row>
    <row r="61">
      <c r="A61" s="93"/>
    </row>
    <row r="62">
      <c r="A62" s="93"/>
    </row>
    <row r="63">
      <c r="A63" s="93"/>
    </row>
    <row r="64">
      <c r="A64" s="93"/>
    </row>
    <row r="65">
      <c r="A65" s="93"/>
    </row>
    <row r="66">
      <c r="A66" s="93"/>
    </row>
    <row r="67">
      <c r="A67" s="93"/>
    </row>
    <row r="68">
      <c r="A68" s="93"/>
    </row>
    <row r="69">
      <c r="A69" s="93"/>
    </row>
    <row r="70">
      <c r="A70" s="93"/>
    </row>
    <row r="71">
      <c r="A71" s="93"/>
    </row>
    <row r="72">
      <c r="A72" s="93"/>
    </row>
    <row r="73">
      <c r="A73" s="93"/>
    </row>
    <row r="74">
      <c r="A74" s="93"/>
    </row>
    <row r="75">
      <c r="A75" s="93"/>
    </row>
    <row r="76">
      <c r="A76" s="93"/>
    </row>
    <row r="77">
      <c r="A77" s="93"/>
    </row>
    <row r="78">
      <c r="A78" s="93"/>
    </row>
    <row r="79">
      <c r="A79" s="93"/>
    </row>
    <row r="80">
      <c r="A80" s="93"/>
    </row>
    <row r="81">
      <c r="A81" s="93"/>
    </row>
    <row r="82">
      <c r="A82" s="93"/>
    </row>
    <row r="83">
      <c r="A83" s="93"/>
    </row>
    <row r="84">
      <c r="A84" s="93"/>
    </row>
    <row r="85">
      <c r="A85" s="93"/>
    </row>
    <row r="86">
      <c r="A86" s="93"/>
    </row>
    <row r="87">
      <c r="A87" s="93"/>
    </row>
    <row r="88">
      <c r="A88" s="93"/>
    </row>
    <row r="89">
      <c r="A89" s="93"/>
    </row>
    <row r="90">
      <c r="A90" s="93"/>
    </row>
    <row r="91">
      <c r="A91" s="93"/>
    </row>
    <row r="92">
      <c r="A92" s="93"/>
    </row>
    <row r="93">
      <c r="A93" s="93"/>
    </row>
    <row r="94">
      <c r="A94" s="93"/>
    </row>
    <row r="95">
      <c r="A95" s="93"/>
    </row>
    <row r="96">
      <c r="A96" s="93"/>
    </row>
    <row r="97">
      <c r="A97" s="93"/>
    </row>
    <row r="98">
      <c r="A98" s="93"/>
    </row>
    <row r="99">
      <c r="A99" s="93"/>
    </row>
    <row r="100">
      <c r="A100" s="93"/>
    </row>
    <row r="101">
      <c r="A101" s="93"/>
    </row>
    <row r="102">
      <c r="A102" s="93"/>
    </row>
    <row r="103">
      <c r="A103" s="93"/>
    </row>
    <row r="104">
      <c r="A104" s="93"/>
    </row>
    <row r="105">
      <c r="A105" s="93"/>
    </row>
    <row r="106">
      <c r="A106" s="93"/>
    </row>
    <row r="107">
      <c r="A107" s="93"/>
    </row>
    <row r="108">
      <c r="A108" s="93"/>
    </row>
    <row r="109">
      <c r="A109" s="93"/>
    </row>
    <row r="110">
      <c r="A110" s="93"/>
    </row>
    <row r="111">
      <c r="A111" s="93"/>
    </row>
    <row r="112">
      <c r="A112" s="93"/>
    </row>
    <row r="113">
      <c r="A113" s="93"/>
    </row>
    <row r="114">
      <c r="A114" s="93"/>
    </row>
    <row r="115">
      <c r="A115" s="93"/>
    </row>
    <row r="116">
      <c r="A116" s="93"/>
    </row>
    <row r="117">
      <c r="A117" s="93"/>
    </row>
    <row r="118">
      <c r="A118" s="93"/>
    </row>
    <row r="119">
      <c r="A119" s="93"/>
    </row>
    <row r="120">
      <c r="A120" s="93"/>
    </row>
    <row r="121">
      <c r="A121" s="93"/>
    </row>
    <row r="122">
      <c r="A122" s="93"/>
    </row>
    <row r="123">
      <c r="A123" s="93"/>
    </row>
    <row r="124">
      <c r="A124" s="93"/>
    </row>
    <row r="125">
      <c r="A125" s="93"/>
    </row>
    <row r="126">
      <c r="A126" s="93"/>
    </row>
    <row r="127">
      <c r="A127" s="93"/>
    </row>
    <row r="128">
      <c r="A128" s="93"/>
    </row>
    <row r="129">
      <c r="A129" s="93"/>
    </row>
    <row r="130">
      <c r="A130" s="93"/>
    </row>
    <row r="131">
      <c r="A131" s="93"/>
    </row>
    <row r="132">
      <c r="A132" s="93"/>
    </row>
    <row r="133">
      <c r="A133" s="93"/>
    </row>
    <row r="134">
      <c r="A134" s="93"/>
    </row>
    <row r="135">
      <c r="A135" s="93"/>
    </row>
    <row r="136">
      <c r="A136" s="93"/>
    </row>
    <row r="137">
      <c r="A137" s="93"/>
    </row>
    <row r="138">
      <c r="A138" s="93"/>
    </row>
    <row r="139">
      <c r="A139" s="93"/>
    </row>
    <row r="140">
      <c r="A140" s="93"/>
    </row>
    <row r="141">
      <c r="A141" s="93"/>
    </row>
    <row r="142">
      <c r="A142" s="93"/>
    </row>
    <row r="143">
      <c r="A143" s="93"/>
    </row>
    <row r="144">
      <c r="A144" s="93"/>
    </row>
    <row r="145">
      <c r="A145" s="93"/>
    </row>
    <row r="146">
      <c r="A146" s="93"/>
    </row>
    <row r="147">
      <c r="A147" s="93"/>
    </row>
    <row r="148">
      <c r="A148" s="93"/>
    </row>
    <row r="149">
      <c r="A149" s="93"/>
    </row>
    <row r="150">
      <c r="A150" s="93"/>
    </row>
    <row r="151">
      <c r="A151" s="93"/>
    </row>
    <row r="152">
      <c r="A152" s="93"/>
    </row>
    <row r="153">
      <c r="A153" s="93"/>
    </row>
    <row r="154">
      <c r="A154" s="93"/>
    </row>
    <row r="155">
      <c r="A155" s="93"/>
    </row>
    <row r="156">
      <c r="A156" s="93"/>
    </row>
    <row r="157">
      <c r="A157" s="93"/>
    </row>
    <row r="158">
      <c r="A158" s="93"/>
    </row>
    <row r="159">
      <c r="A159" s="93"/>
    </row>
    <row r="160">
      <c r="A160" s="93"/>
    </row>
    <row r="161">
      <c r="A161" s="93"/>
    </row>
    <row r="162">
      <c r="A162" s="93"/>
    </row>
    <row r="163">
      <c r="A163" s="93"/>
    </row>
    <row r="164">
      <c r="A164" s="93"/>
    </row>
    <row r="165">
      <c r="A165" s="93"/>
    </row>
    <row r="166">
      <c r="A166" s="93"/>
    </row>
    <row r="167">
      <c r="A167" s="93"/>
    </row>
    <row r="168">
      <c r="A168" s="93"/>
    </row>
    <row r="169">
      <c r="A169" s="93"/>
    </row>
    <row r="170">
      <c r="A170" s="93"/>
    </row>
    <row r="171">
      <c r="A171" s="93"/>
    </row>
    <row r="172">
      <c r="A172" s="93"/>
    </row>
    <row r="173">
      <c r="A173" s="93"/>
    </row>
    <row r="174">
      <c r="A174" s="93"/>
    </row>
    <row r="175">
      <c r="A175" s="93"/>
    </row>
    <row r="176">
      <c r="A176" s="93"/>
    </row>
    <row r="177">
      <c r="A177" s="93"/>
    </row>
    <row r="178">
      <c r="A178" s="93"/>
    </row>
    <row r="179">
      <c r="A179" s="93"/>
    </row>
    <row r="180">
      <c r="A180" s="93"/>
    </row>
    <row r="181">
      <c r="A181" s="93"/>
    </row>
    <row r="182">
      <c r="A182" s="93"/>
    </row>
    <row r="183">
      <c r="A183" s="93"/>
    </row>
    <row r="184">
      <c r="A184" s="93"/>
    </row>
    <row r="185">
      <c r="A185" s="93"/>
    </row>
    <row r="186">
      <c r="A186" s="93"/>
    </row>
    <row r="187">
      <c r="A187" s="93"/>
    </row>
    <row r="188">
      <c r="A188" s="93"/>
    </row>
    <row r="189">
      <c r="A189" s="93"/>
    </row>
    <row r="190">
      <c r="A190" s="93"/>
    </row>
    <row r="191">
      <c r="A191" s="93"/>
    </row>
    <row r="192">
      <c r="A192" s="93"/>
    </row>
    <row r="193">
      <c r="A193" s="93"/>
    </row>
    <row r="194">
      <c r="A194" s="93"/>
    </row>
    <row r="195">
      <c r="A195" s="93"/>
    </row>
    <row r="196">
      <c r="A196" s="93"/>
    </row>
    <row r="197">
      <c r="A197" s="93"/>
    </row>
    <row r="198">
      <c r="A198" s="93"/>
    </row>
    <row r="199">
      <c r="A199" s="93"/>
    </row>
    <row r="200">
      <c r="A200" s="93"/>
    </row>
    <row r="201">
      <c r="A201" s="93"/>
    </row>
    <row r="202">
      <c r="A202" s="93"/>
    </row>
    <row r="203">
      <c r="A203" s="93"/>
    </row>
    <row r="204">
      <c r="A204" s="93"/>
    </row>
    <row r="205">
      <c r="A205" s="93"/>
    </row>
    <row r="206">
      <c r="A206" s="93"/>
    </row>
    <row r="207">
      <c r="A207" s="93"/>
    </row>
    <row r="208">
      <c r="A208" s="93"/>
    </row>
    <row r="209">
      <c r="A209" s="93"/>
    </row>
    <row r="210">
      <c r="A210" s="93"/>
    </row>
    <row r="211">
      <c r="A211" s="93"/>
    </row>
    <row r="212">
      <c r="A212" s="93"/>
    </row>
    <row r="213">
      <c r="A213" s="93"/>
    </row>
    <row r="214">
      <c r="A214" s="93"/>
    </row>
    <row r="215">
      <c r="A215" s="93"/>
    </row>
    <row r="216">
      <c r="A216" s="93"/>
    </row>
    <row r="217">
      <c r="A217" s="93"/>
    </row>
    <row r="218">
      <c r="A218" s="93"/>
    </row>
    <row r="219">
      <c r="A219" s="93"/>
    </row>
    <row r="220">
      <c r="A220" s="93"/>
    </row>
    <row r="221">
      <c r="A221" s="93"/>
    </row>
    <row r="222">
      <c r="A222" s="93"/>
    </row>
    <row r="223">
      <c r="A223" s="93"/>
    </row>
    <row r="224">
      <c r="A224" s="93"/>
    </row>
    <row r="225">
      <c r="A225" s="93"/>
    </row>
    <row r="226">
      <c r="A226" s="93"/>
    </row>
    <row r="227">
      <c r="A227" s="93"/>
    </row>
    <row r="228">
      <c r="A228" s="93"/>
    </row>
    <row r="229">
      <c r="A229" s="93"/>
    </row>
    <row r="230">
      <c r="A230" s="93"/>
    </row>
    <row r="231">
      <c r="A231" s="93"/>
    </row>
    <row r="232">
      <c r="A232" s="93"/>
    </row>
    <row r="233">
      <c r="A233" s="93"/>
    </row>
    <row r="234">
      <c r="A234" s="93"/>
    </row>
    <row r="235">
      <c r="A235" s="93"/>
    </row>
    <row r="236">
      <c r="A236" s="93"/>
    </row>
    <row r="237">
      <c r="A237" s="93"/>
    </row>
    <row r="238">
      <c r="A238" s="93"/>
    </row>
    <row r="239">
      <c r="A239" s="93"/>
    </row>
    <row r="240">
      <c r="A240" s="93"/>
    </row>
    <row r="241">
      <c r="A241" s="93"/>
    </row>
    <row r="242">
      <c r="A242" s="93"/>
    </row>
    <row r="243">
      <c r="A243" s="93"/>
    </row>
    <row r="244">
      <c r="A244" s="93"/>
    </row>
    <row r="245">
      <c r="A245" s="93"/>
    </row>
    <row r="246">
      <c r="A246" s="93"/>
    </row>
    <row r="247">
      <c r="A247" s="93"/>
    </row>
    <row r="248">
      <c r="A248" s="93"/>
    </row>
    <row r="249">
      <c r="A249" s="93"/>
    </row>
    <row r="250">
      <c r="A250" s="93"/>
    </row>
    <row r="251">
      <c r="A251" s="93"/>
    </row>
    <row r="252">
      <c r="A252" s="93"/>
    </row>
    <row r="253">
      <c r="A253" s="93"/>
    </row>
    <row r="254">
      <c r="A254" s="93"/>
    </row>
    <row r="255">
      <c r="A255" s="93"/>
    </row>
    <row r="256">
      <c r="A256" s="93"/>
    </row>
    <row r="257">
      <c r="A257" s="93"/>
    </row>
    <row r="258">
      <c r="A258" s="93"/>
    </row>
    <row r="259">
      <c r="A259" s="93"/>
    </row>
    <row r="260">
      <c r="A260" s="93"/>
    </row>
    <row r="261">
      <c r="A261" s="93"/>
    </row>
    <row r="262">
      <c r="A262" s="93"/>
    </row>
    <row r="263">
      <c r="A263" s="93"/>
    </row>
    <row r="264">
      <c r="A264" s="93"/>
    </row>
    <row r="265">
      <c r="A265" s="93"/>
    </row>
    <row r="266">
      <c r="A266" s="93"/>
    </row>
    <row r="267">
      <c r="A267" s="93"/>
    </row>
    <row r="268">
      <c r="A268" s="93"/>
    </row>
    <row r="269">
      <c r="A269" s="93"/>
    </row>
    <row r="270">
      <c r="A270" s="93"/>
    </row>
    <row r="271">
      <c r="A271" s="93"/>
    </row>
    <row r="272">
      <c r="A272" s="93"/>
    </row>
    <row r="273">
      <c r="A273" s="93"/>
    </row>
    <row r="274">
      <c r="A274" s="93"/>
    </row>
    <row r="275">
      <c r="A275" s="93"/>
    </row>
    <row r="276">
      <c r="A276" s="93"/>
    </row>
    <row r="277">
      <c r="A277" s="93"/>
    </row>
    <row r="278">
      <c r="A278" s="93"/>
    </row>
    <row r="279">
      <c r="A279" s="93"/>
    </row>
    <row r="280">
      <c r="A280" s="93"/>
    </row>
    <row r="281">
      <c r="A281" s="93"/>
    </row>
    <row r="282">
      <c r="A282" s="93"/>
    </row>
    <row r="283">
      <c r="A283" s="93"/>
    </row>
    <row r="284">
      <c r="A284" s="93"/>
    </row>
    <row r="285">
      <c r="A285" s="93"/>
    </row>
    <row r="286">
      <c r="A286" s="93"/>
    </row>
    <row r="287">
      <c r="A287" s="93"/>
    </row>
    <row r="288">
      <c r="A288" s="93"/>
    </row>
    <row r="289">
      <c r="A289" s="93"/>
    </row>
    <row r="290">
      <c r="A290" s="93"/>
    </row>
    <row r="291">
      <c r="A291" s="93"/>
    </row>
    <row r="292">
      <c r="A292" s="93"/>
    </row>
    <row r="293">
      <c r="A293" s="93"/>
    </row>
    <row r="294">
      <c r="A294" s="93"/>
    </row>
    <row r="295">
      <c r="A295" s="93"/>
    </row>
    <row r="296">
      <c r="A296" s="93"/>
    </row>
    <row r="297">
      <c r="A297" s="93"/>
    </row>
    <row r="298">
      <c r="A298" s="93"/>
    </row>
    <row r="299">
      <c r="A299" s="93"/>
    </row>
    <row r="300">
      <c r="A300" s="93"/>
    </row>
    <row r="301">
      <c r="A301" s="93"/>
    </row>
    <row r="302">
      <c r="A302" s="93"/>
    </row>
    <row r="303">
      <c r="A303" s="93"/>
    </row>
    <row r="304">
      <c r="A304" s="93"/>
    </row>
    <row r="305">
      <c r="A305" s="93"/>
    </row>
    <row r="306">
      <c r="A306" s="93"/>
    </row>
    <row r="307">
      <c r="A307" s="93"/>
    </row>
    <row r="308">
      <c r="A308" s="93"/>
    </row>
    <row r="309">
      <c r="A309" s="93"/>
    </row>
    <row r="310">
      <c r="A310" s="93"/>
    </row>
    <row r="311">
      <c r="A311" s="93"/>
    </row>
    <row r="312">
      <c r="A312" s="93"/>
    </row>
    <row r="313">
      <c r="A313" s="93"/>
    </row>
    <row r="314">
      <c r="A314" s="93"/>
    </row>
    <row r="315">
      <c r="A315" s="93"/>
    </row>
    <row r="316">
      <c r="A316" s="93"/>
    </row>
    <row r="317">
      <c r="A317" s="93"/>
    </row>
    <row r="318">
      <c r="A318" s="93"/>
    </row>
    <row r="319">
      <c r="A319" s="93"/>
    </row>
    <row r="320">
      <c r="A320" s="93"/>
    </row>
    <row r="321">
      <c r="A321" s="93"/>
    </row>
    <row r="322">
      <c r="A322" s="93"/>
    </row>
    <row r="323">
      <c r="A323" s="93"/>
    </row>
    <row r="324">
      <c r="A324" s="93"/>
    </row>
    <row r="325">
      <c r="A325" s="93"/>
    </row>
    <row r="326">
      <c r="A326" s="93"/>
    </row>
    <row r="327">
      <c r="A327" s="93"/>
    </row>
    <row r="328">
      <c r="A328" s="93"/>
    </row>
    <row r="329">
      <c r="A329" s="93"/>
    </row>
    <row r="330">
      <c r="A330" s="93"/>
    </row>
    <row r="331">
      <c r="A331" s="93"/>
    </row>
    <row r="332">
      <c r="A332" s="93"/>
    </row>
    <row r="333">
      <c r="A333" s="93"/>
    </row>
    <row r="334">
      <c r="A334" s="93"/>
    </row>
    <row r="335">
      <c r="A335" s="93"/>
    </row>
    <row r="336">
      <c r="A336" s="93"/>
    </row>
    <row r="337">
      <c r="A337" s="93"/>
    </row>
    <row r="338">
      <c r="A338" s="93"/>
    </row>
    <row r="339">
      <c r="A339" s="93"/>
    </row>
    <row r="340">
      <c r="A340" s="93"/>
    </row>
    <row r="341">
      <c r="A341" s="93"/>
    </row>
    <row r="342">
      <c r="A342" s="93"/>
    </row>
    <row r="343">
      <c r="A343" s="93"/>
    </row>
    <row r="344">
      <c r="A344" s="93"/>
    </row>
    <row r="345">
      <c r="A345" s="93"/>
    </row>
    <row r="346">
      <c r="A346" s="93"/>
    </row>
    <row r="347">
      <c r="A347" s="93"/>
    </row>
    <row r="348">
      <c r="A348" s="93"/>
    </row>
    <row r="349">
      <c r="A349" s="93"/>
    </row>
    <row r="350">
      <c r="A350" s="93"/>
    </row>
    <row r="351">
      <c r="A351" s="93"/>
    </row>
    <row r="352">
      <c r="A352" s="93"/>
    </row>
    <row r="353">
      <c r="A353" s="93"/>
    </row>
    <row r="354">
      <c r="A354" s="93"/>
    </row>
    <row r="355">
      <c r="A355" s="93"/>
    </row>
    <row r="356">
      <c r="A356" s="93"/>
    </row>
    <row r="357">
      <c r="A357" s="93"/>
    </row>
    <row r="358">
      <c r="A358" s="93"/>
    </row>
    <row r="359">
      <c r="A359" s="93"/>
    </row>
    <row r="360">
      <c r="A360" s="93"/>
    </row>
    <row r="361">
      <c r="A361" s="93"/>
    </row>
    <row r="362">
      <c r="A362" s="93"/>
    </row>
    <row r="363">
      <c r="A363" s="93"/>
    </row>
    <row r="364">
      <c r="A364" s="93"/>
    </row>
    <row r="365">
      <c r="A365" s="93"/>
    </row>
    <row r="366">
      <c r="A366" s="93"/>
    </row>
    <row r="367">
      <c r="A367" s="93"/>
    </row>
    <row r="368">
      <c r="A368" s="93"/>
    </row>
    <row r="369">
      <c r="A369" s="93"/>
    </row>
    <row r="370">
      <c r="A370" s="93"/>
    </row>
    <row r="371">
      <c r="A371" s="93"/>
    </row>
    <row r="372">
      <c r="A372" s="93"/>
    </row>
    <row r="373">
      <c r="A373" s="93"/>
    </row>
    <row r="374">
      <c r="A374" s="93"/>
    </row>
    <row r="375">
      <c r="A375" s="93"/>
    </row>
    <row r="376">
      <c r="A376" s="93"/>
    </row>
    <row r="377">
      <c r="A377" s="93"/>
    </row>
    <row r="378">
      <c r="A378" s="93"/>
    </row>
    <row r="379">
      <c r="A379" s="93"/>
    </row>
    <row r="380">
      <c r="A380" s="93"/>
    </row>
    <row r="381">
      <c r="A381" s="93"/>
    </row>
    <row r="382">
      <c r="A382" s="93"/>
    </row>
    <row r="383">
      <c r="A383" s="93"/>
    </row>
    <row r="384">
      <c r="A384" s="93"/>
    </row>
    <row r="385">
      <c r="A385" s="93"/>
    </row>
    <row r="386">
      <c r="A386" s="93"/>
    </row>
    <row r="387">
      <c r="A387" s="93"/>
    </row>
    <row r="388">
      <c r="A388" s="93"/>
    </row>
    <row r="389">
      <c r="A389" s="93"/>
    </row>
    <row r="390">
      <c r="A390" s="93"/>
    </row>
    <row r="391">
      <c r="A391" s="93"/>
    </row>
    <row r="392">
      <c r="A392" s="93"/>
    </row>
    <row r="393">
      <c r="A393" s="93"/>
    </row>
    <row r="394">
      <c r="A394" s="93"/>
    </row>
    <row r="395">
      <c r="A395" s="93"/>
    </row>
    <row r="396">
      <c r="A396" s="93"/>
    </row>
    <row r="397">
      <c r="A397" s="93"/>
    </row>
    <row r="398">
      <c r="A398" s="93"/>
    </row>
    <row r="399">
      <c r="A399" s="93"/>
    </row>
    <row r="400">
      <c r="A400" s="93"/>
    </row>
    <row r="401">
      <c r="A401" s="93"/>
    </row>
    <row r="402">
      <c r="A402" s="93"/>
    </row>
    <row r="403">
      <c r="A403" s="93"/>
    </row>
    <row r="404">
      <c r="A404" s="93"/>
    </row>
    <row r="405">
      <c r="A405" s="93"/>
    </row>
    <row r="406">
      <c r="A406" s="93"/>
    </row>
    <row r="407">
      <c r="A407" s="93"/>
    </row>
    <row r="408">
      <c r="A408" s="93"/>
    </row>
    <row r="409">
      <c r="A409" s="93"/>
    </row>
    <row r="410">
      <c r="A410" s="93"/>
    </row>
    <row r="411">
      <c r="A411" s="93"/>
    </row>
    <row r="412">
      <c r="A412" s="93"/>
    </row>
    <row r="413">
      <c r="A413" s="93"/>
    </row>
    <row r="414">
      <c r="A414" s="93"/>
    </row>
    <row r="415">
      <c r="A415" s="93"/>
    </row>
    <row r="416">
      <c r="A416" s="93"/>
    </row>
    <row r="417">
      <c r="A417" s="93"/>
    </row>
    <row r="418">
      <c r="A418" s="93"/>
    </row>
    <row r="419">
      <c r="A419" s="93"/>
    </row>
    <row r="420">
      <c r="A420" s="93"/>
    </row>
    <row r="421">
      <c r="A421" s="93"/>
    </row>
    <row r="422">
      <c r="A422" s="93"/>
    </row>
    <row r="423">
      <c r="A423" s="93"/>
    </row>
    <row r="424">
      <c r="A424" s="93"/>
    </row>
    <row r="425">
      <c r="A425" s="93"/>
    </row>
    <row r="426">
      <c r="A426" s="93"/>
    </row>
    <row r="427">
      <c r="A427" s="93"/>
    </row>
    <row r="428">
      <c r="A428" s="93"/>
    </row>
    <row r="429">
      <c r="A429" s="93"/>
    </row>
    <row r="430">
      <c r="A430" s="93"/>
    </row>
    <row r="431">
      <c r="A431" s="93"/>
    </row>
    <row r="432">
      <c r="A432" s="93"/>
    </row>
    <row r="433">
      <c r="A433" s="93"/>
    </row>
    <row r="434">
      <c r="A434" s="93"/>
    </row>
    <row r="435">
      <c r="A435" s="93"/>
    </row>
    <row r="436">
      <c r="A436" s="93"/>
    </row>
    <row r="437">
      <c r="A437" s="93"/>
    </row>
    <row r="438">
      <c r="A438" s="93"/>
    </row>
    <row r="439">
      <c r="A439" s="93"/>
    </row>
    <row r="440">
      <c r="A440" s="93"/>
    </row>
    <row r="441">
      <c r="A441" s="93"/>
    </row>
    <row r="442">
      <c r="A442" s="93"/>
    </row>
    <row r="443">
      <c r="A443" s="93"/>
    </row>
    <row r="444">
      <c r="A444" s="93"/>
    </row>
    <row r="445">
      <c r="A445" s="93"/>
    </row>
    <row r="446">
      <c r="A446" s="93"/>
    </row>
    <row r="447">
      <c r="A447" s="93"/>
    </row>
    <row r="448">
      <c r="A448" s="93"/>
    </row>
    <row r="449">
      <c r="A449" s="93"/>
    </row>
    <row r="450">
      <c r="A450" s="93"/>
    </row>
    <row r="451">
      <c r="A451" s="93"/>
    </row>
    <row r="452">
      <c r="A452" s="93"/>
    </row>
    <row r="453">
      <c r="A453" s="93"/>
    </row>
    <row r="454">
      <c r="A454" s="93"/>
    </row>
    <row r="455">
      <c r="A455" s="93"/>
    </row>
    <row r="456">
      <c r="A456" s="93"/>
    </row>
    <row r="457">
      <c r="A457" s="93"/>
    </row>
    <row r="458">
      <c r="A458" s="93"/>
    </row>
    <row r="459">
      <c r="A459" s="93"/>
    </row>
    <row r="460">
      <c r="A460" s="93"/>
    </row>
    <row r="461">
      <c r="A461" s="93"/>
    </row>
    <row r="462">
      <c r="A462" s="93"/>
    </row>
    <row r="463">
      <c r="A463" s="93"/>
    </row>
    <row r="464">
      <c r="A464" s="93"/>
    </row>
    <row r="465">
      <c r="A465" s="93"/>
    </row>
    <row r="466">
      <c r="A466" s="93"/>
    </row>
    <row r="467">
      <c r="A467" s="93"/>
    </row>
    <row r="468">
      <c r="A468" s="93"/>
    </row>
    <row r="469">
      <c r="A469" s="93"/>
    </row>
    <row r="470">
      <c r="A470" s="93"/>
    </row>
    <row r="471">
      <c r="A471" s="93"/>
    </row>
    <row r="472">
      <c r="A472" s="93"/>
    </row>
    <row r="473">
      <c r="A473" s="93"/>
    </row>
    <row r="474">
      <c r="A474" s="93"/>
    </row>
    <row r="475">
      <c r="A475" s="93"/>
    </row>
    <row r="476">
      <c r="A476" s="93"/>
    </row>
    <row r="477">
      <c r="A477" s="93"/>
    </row>
    <row r="478">
      <c r="A478" s="93"/>
    </row>
    <row r="479">
      <c r="A479" s="93"/>
    </row>
    <row r="480">
      <c r="A480" s="93"/>
    </row>
    <row r="481">
      <c r="A481" s="93"/>
    </row>
    <row r="482">
      <c r="A482" s="93"/>
    </row>
    <row r="483">
      <c r="A483" s="93"/>
    </row>
    <row r="484">
      <c r="A484" s="93"/>
    </row>
    <row r="485">
      <c r="A485" s="93"/>
    </row>
    <row r="486">
      <c r="A486" s="93"/>
    </row>
    <row r="487">
      <c r="A487" s="93"/>
    </row>
    <row r="488">
      <c r="A488" s="93"/>
    </row>
    <row r="489">
      <c r="A489" s="93"/>
    </row>
    <row r="490">
      <c r="A490" s="93"/>
    </row>
    <row r="491">
      <c r="A491" s="93"/>
    </row>
    <row r="492">
      <c r="A492" s="93"/>
    </row>
    <row r="493">
      <c r="A493" s="93"/>
    </row>
    <row r="494">
      <c r="A494" s="93"/>
    </row>
    <row r="495">
      <c r="A495" s="93"/>
    </row>
    <row r="496">
      <c r="A496" s="93"/>
    </row>
    <row r="497">
      <c r="A497" s="93"/>
    </row>
    <row r="498">
      <c r="A498" s="93"/>
    </row>
    <row r="499">
      <c r="A499" s="93"/>
    </row>
    <row r="500">
      <c r="A500" s="93"/>
    </row>
    <row r="501">
      <c r="A501" s="93"/>
    </row>
    <row r="502">
      <c r="A502" s="93"/>
    </row>
    <row r="503">
      <c r="A503" s="93"/>
    </row>
    <row r="504">
      <c r="A504" s="93"/>
    </row>
    <row r="505">
      <c r="A505" s="93"/>
    </row>
    <row r="506">
      <c r="A506" s="93"/>
    </row>
    <row r="507">
      <c r="A507" s="93"/>
    </row>
    <row r="508">
      <c r="A508" s="93"/>
    </row>
    <row r="509">
      <c r="A509" s="93"/>
    </row>
    <row r="510">
      <c r="A510" s="93"/>
    </row>
    <row r="511">
      <c r="A511" s="93"/>
    </row>
    <row r="512">
      <c r="A512" s="93"/>
    </row>
    <row r="513">
      <c r="A513" s="93"/>
    </row>
    <row r="514">
      <c r="A514" s="93"/>
    </row>
    <row r="515">
      <c r="A515" s="93"/>
    </row>
    <row r="516">
      <c r="A516" s="93"/>
    </row>
    <row r="517">
      <c r="A517" s="93"/>
    </row>
    <row r="518">
      <c r="A518" s="93"/>
    </row>
    <row r="519">
      <c r="A519" s="93"/>
    </row>
    <row r="520">
      <c r="A520" s="93"/>
    </row>
    <row r="521">
      <c r="A521" s="93"/>
    </row>
    <row r="522">
      <c r="A522" s="93"/>
    </row>
    <row r="523">
      <c r="A523" s="93"/>
    </row>
    <row r="524">
      <c r="A524" s="93"/>
    </row>
    <row r="525">
      <c r="A525" s="93"/>
    </row>
    <row r="526">
      <c r="A526" s="93"/>
    </row>
    <row r="527">
      <c r="A527" s="93"/>
    </row>
    <row r="528">
      <c r="A528" s="93"/>
    </row>
    <row r="529">
      <c r="A529" s="93"/>
    </row>
    <row r="530">
      <c r="A530" s="93"/>
    </row>
    <row r="531">
      <c r="A531" s="93"/>
    </row>
    <row r="532">
      <c r="A532" s="93"/>
    </row>
    <row r="533">
      <c r="A533" s="93"/>
    </row>
    <row r="534">
      <c r="A534" s="93"/>
    </row>
    <row r="535">
      <c r="A535" s="93"/>
    </row>
    <row r="536">
      <c r="A536" s="93"/>
    </row>
    <row r="537">
      <c r="A537" s="93"/>
    </row>
    <row r="538">
      <c r="A538" s="93"/>
    </row>
    <row r="539">
      <c r="A539" s="93"/>
    </row>
    <row r="540">
      <c r="A540" s="93"/>
    </row>
    <row r="541">
      <c r="A541" s="93"/>
    </row>
    <row r="542">
      <c r="A542" s="93"/>
    </row>
    <row r="543">
      <c r="A543" s="93"/>
    </row>
    <row r="544">
      <c r="A544" s="93"/>
    </row>
    <row r="545">
      <c r="A545" s="93"/>
    </row>
    <row r="546">
      <c r="A546" s="93"/>
    </row>
    <row r="547">
      <c r="A547" s="93"/>
    </row>
    <row r="548">
      <c r="A548" s="93"/>
    </row>
    <row r="549">
      <c r="A549" s="93"/>
    </row>
    <row r="550">
      <c r="A550" s="93"/>
    </row>
    <row r="551">
      <c r="A551" s="93"/>
    </row>
    <row r="552">
      <c r="A552" s="93"/>
    </row>
    <row r="553">
      <c r="A553" s="93"/>
    </row>
    <row r="554">
      <c r="A554" s="93"/>
    </row>
    <row r="555">
      <c r="A555" s="93"/>
    </row>
    <row r="556">
      <c r="A556" s="93"/>
    </row>
    <row r="557">
      <c r="A557" s="93"/>
    </row>
    <row r="558">
      <c r="A558" s="93"/>
    </row>
    <row r="559">
      <c r="A559" s="93"/>
    </row>
    <row r="560">
      <c r="A560" s="93"/>
    </row>
    <row r="561">
      <c r="A561" s="93"/>
    </row>
    <row r="562">
      <c r="A562" s="93"/>
    </row>
    <row r="563">
      <c r="A563" s="93"/>
    </row>
    <row r="564">
      <c r="A564" s="93"/>
    </row>
    <row r="565">
      <c r="A565" s="93"/>
    </row>
    <row r="566">
      <c r="A566" s="93"/>
    </row>
    <row r="567">
      <c r="A567" s="93"/>
    </row>
    <row r="568">
      <c r="A568" s="93"/>
    </row>
    <row r="569">
      <c r="A569" s="93"/>
    </row>
    <row r="570">
      <c r="A570" s="93"/>
    </row>
    <row r="571">
      <c r="A571" s="93"/>
    </row>
    <row r="572">
      <c r="A572" s="93"/>
    </row>
    <row r="573">
      <c r="A573" s="93"/>
    </row>
    <row r="574">
      <c r="A574" s="93"/>
    </row>
    <row r="575">
      <c r="A575" s="93"/>
    </row>
    <row r="576">
      <c r="A576" s="93"/>
    </row>
    <row r="577">
      <c r="A577" s="93"/>
    </row>
    <row r="578">
      <c r="A578" s="93"/>
    </row>
    <row r="579">
      <c r="A579" s="93"/>
    </row>
    <row r="580">
      <c r="A580" s="93"/>
    </row>
    <row r="581">
      <c r="A581" s="93"/>
    </row>
    <row r="582">
      <c r="A582" s="93"/>
    </row>
    <row r="583">
      <c r="A583" s="93"/>
    </row>
    <row r="584">
      <c r="A584" s="93"/>
    </row>
    <row r="585">
      <c r="A585" s="93"/>
    </row>
    <row r="586">
      <c r="A586" s="93"/>
    </row>
    <row r="587">
      <c r="A587" s="93"/>
    </row>
    <row r="588">
      <c r="A588" s="93"/>
    </row>
    <row r="589">
      <c r="A589" s="93"/>
    </row>
    <row r="590">
      <c r="A590" s="93"/>
    </row>
    <row r="591">
      <c r="A591" s="93"/>
    </row>
    <row r="592">
      <c r="A592" s="93"/>
    </row>
    <row r="593">
      <c r="A593" s="93"/>
    </row>
    <row r="594">
      <c r="A594" s="93"/>
    </row>
    <row r="595">
      <c r="A595" s="93"/>
    </row>
    <row r="596">
      <c r="A596" s="93"/>
    </row>
    <row r="597">
      <c r="A597" s="93"/>
    </row>
    <row r="598">
      <c r="A598" s="93"/>
    </row>
    <row r="599">
      <c r="A599" s="93"/>
    </row>
    <row r="600">
      <c r="A600" s="93"/>
    </row>
    <row r="601">
      <c r="A601" s="93"/>
    </row>
    <row r="602">
      <c r="A602" s="93"/>
    </row>
    <row r="603">
      <c r="A603" s="93"/>
    </row>
    <row r="604">
      <c r="A604" s="93"/>
    </row>
    <row r="605">
      <c r="A605" s="93"/>
    </row>
    <row r="606">
      <c r="A606" s="93"/>
    </row>
    <row r="607">
      <c r="A607" s="93"/>
    </row>
    <row r="608">
      <c r="A608" s="93"/>
    </row>
    <row r="609">
      <c r="A609" s="93"/>
    </row>
    <row r="610">
      <c r="A610" s="93"/>
    </row>
    <row r="611">
      <c r="A611" s="93"/>
    </row>
    <row r="612">
      <c r="A612" s="93"/>
    </row>
    <row r="613">
      <c r="A613" s="93"/>
    </row>
    <row r="614">
      <c r="A614" s="93"/>
    </row>
    <row r="615">
      <c r="A615" s="93"/>
    </row>
    <row r="616">
      <c r="A616" s="93"/>
    </row>
    <row r="617">
      <c r="A617" s="93"/>
    </row>
    <row r="618">
      <c r="A618" s="93"/>
    </row>
    <row r="619">
      <c r="A619" s="93"/>
    </row>
    <row r="620">
      <c r="A620" s="93"/>
    </row>
    <row r="621">
      <c r="A621" s="93"/>
    </row>
    <row r="622">
      <c r="A622" s="93"/>
    </row>
    <row r="623">
      <c r="A623" s="93"/>
    </row>
    <row r="624">
      <c r="A624" s="93"/>
    </row>
    <row r="625">
      <c r="A625" s="93"/>
    </row>
    <row r="626">
      <c r="A626" s="93"/>
    </row>
    <row r="627">
      <c r="A627" s="93"/>
    </row>
    <row r="628">
      <c r="A628" s="93"/>
    </row>
    <row r="629">
      <c r="A629" s="93"/>
    </row>
    <row r="630">
      <c r="A630" s="93"/>
    </row>
    <row r="631">
      <c r="A631" s="93"/>
    </row>
    <row r="632">
      <c r="A632" s="93"/>
    </row>
    <row r="633">
      <c r="A633" s="93"/>
    </row>
    <row r="634">
      <c r="A634" s="93"/>
    </row>
    <row r="635">
      <c r="A635" s="93"/>
    </row>
    <row r="636">
      <c r="A636" s="93"/>
    </row>
    <row r="637">
      <c r="A637" s="93"/>
    </row>
    <row r="638">
      <c r="A638" s="93"/>
    </row>
    <row r="639">
      <c r="A639" s="93"/>
    </row>
    <row r="640">
      <c r="A640" s="93"/>
    </row>
    <row r="641">
      <c r="A641" s="93"/>
    </row>
    <row r="642">
      <c r="A642" s="93"/>
    </row>
    <row r="643">
      <c r="A643" s="93"/>
    </row>
    <row r="644">
      <c r="A644" s="93"/>
    </row>
    <row r="645">
      <c r="A645" s="93"/>
    </row>
    <row r="646">
      <c r="A646" s="93"/>
    </row>
    <row r="647">
      <c r="A647" s="93"/>
    </row>
    <row r="648">
      <c r="A648" s="93"/>
    </row>
    <row r="649">
      <c r="A649" s="93"/>
    </row>
    <row r="650">
      <c r="A650" s="93"/>
    </row>
    <row r="651">
      <c r="A651" s="93"/>
    </row>
    <row r="652">
      <c r="A652" s="93"/>
    </row>
    <row r="653">
      <c r="A653" s="93"/>
    </row>
    <row r="654">
      <c r="A654" s="93"/>
    </row>
    <row r="655">
      <c r="A655" s="93"/>
    </row>
    <row r="656">
      <c r="A656" s="93"/>
    </row>
    <row r="657">
      <c r="A657" s="93"/>
    </row>
    <row r="658">
      <c r="A658" s="93"/>
    </row>
    <row r="659">
      <c r="A659" s="93"/>
    </row>
    <row r="660">
      <c r="A660" s="93"/>
    </row>
    <row r="661">
      <c r="A661" s="93"/>
    </row>
    <row r="662">
      <c r="A662" s="93"/>
    </row>
    <row r="663">
      <c r="A663" s="93"/>
    </row>
    <row r="664">
      <c r="A664" s="93"/>
    </row>
    <row r="665">
      <c r="A665" s="93"/>
    </row>
    <row r="666">
      <c r="A666" s="93"/>
    </row>
    <row r="667">
      <c r="A667" s="93"/>
    </row>
    <row r="668">
      <c r="A668" s="93"/>
    </row>
    <row r="669">
      <c r="A669" s="93"/>
    </row>
    <row r="670">
      <c r="A670" s="93"/>
    </row>
    <row r="671">
      <c r="A671" s="93"/>
    </row>
    <row r="672">
      <c r="A672" s="93"/>
    </row>
    <row r="673">
      <c r="A673" s="93"/>
    </row>
    <row r="674">
      <c r="A674" s="93"/>
    </row>
    <row r="675">
      <c r="A675" s="93"/>
    </row>
    <row r="676">
      <c r="A676" s="93"/>
    </row>
    <row r="677">
      <c r="A677" s="93"/>
    </row>
    <row r="678">
      <c r="A678" s="93"/>
    </row>
    <row r="679">
      <c r="A679" s="93"/>
    </row>
    <row r="680">
      <c r="A680" s="93"/>
    </row>
    <row r="681">
      <c r="A681" s="93"/>
    </row>
    <row r="682">
      <c r="A682" s="93"/>
    </row>
    <row r="683">
      <c r="A683" s="93"/>
    </row>
    <row r="684">
      <c r="A684" s="93"/>
    </row>
    <row r="685">
      <c r="A685" s="93"/>
    </row>
    <row r="686">
      <c r="A686" s="93"/>
    </row>
    <row r="687">
      <c r="A687" s="93"/>
    </row>
    <row r="688">
      <c r="A688" s="93"/>
    </row>
    <row r="689">
      <c r="A689" s="93"/>
    </row>
    <row r="690">
      <c r="A690" s="93"/>
    </row>
    <row r="691">
      <c r="A691" s="93"/>
    </row>
    <row r="692">
      <c r="A692" s="93"/>
    </row>
    <row r="693">
      <c r="A693" s="93"/>
    </row>
    <row r="694">
      <c r="A694" s="93"/>
    </row>
    <row r="695">
      <c r="A695" s="93"/>
    </row>
    <row r="696">
      <c r="A696" s="93"/>
    </row>
    <row r="697">
      <c r="A697" s="93"/>
    </row>
    <row r="698">
      <c r="A698" s="93"/>
    </row>
    <row r="699">
      <c r="A699" s="93"/>
    </row>
    <row r="700">
      <c r="A700" s="93"/>
    </row>
    <row r="701">
      <c r="A701" s="93"/>
    </row>
    <row r="702">
      <c r="A702" s="93"/>
    </row>
    <row r="703">
      <c r="A703" s="93"/>
    </row>
    <row r="704">
      <c r="A704" s="93"/>
    </row>
    <row r="705">
      <c r="A705" s="93"/>
    </row>
    <row r="706">
      <c r="A706" s="93"/>
    </row>
    <row r="707">
      <c r="A707" s="93"/>
    </row>
    <row r="708">
      <c r="A708" s="93"/>
    </row>
    <row r="709">
      <c r="A709" s="93"/>
    </row>
    <row r="710">
      <c r="A710" s="93"/>
    </row>
    <row r="711">
      <c r="A711" s="93"/>
    </row>
    <row r="712">
      <c r="A712" s="93"/>
    </row>
    <row r="713">
      <c r="A713" s="93"/>
    </row>
    <row r="714">
      <c r="A714" s="93"/>
    </row>
    <row r="715">
      <c r="A715" s="93"/>
    </row>
    <row r="716">
      <c r="A716" s="93"/>
    </row>
    <row r="717">
      <c r="A717" s="93"/>
    </row>
    <row r="718">
      <c r="A718" s="93"/>
    </row>
    <row r="719">
      <c r="A719" s="93"/>
    </row>
    <row r="720">
      <c r="A720" s="93"/>
    </row>
    <row r="721">
      <c r="A721" s="93"/>
    </row>
    <row r="722">
      <c r="A722" s="93"/>
    </row>
    <row r="723">
      <c r="A723" s="93"/>
    </row>
    <row r="724">
      <c r="A724" s="93"/>
    </row>
    <row r="725">
      <c r="A725" s="93"/>
    </row>
    <row r="726">
      <c r="A726" s="93"/>
    </row>
    <row r="727">
      <c r="A727" s="93"/>
    </row>
    <row r="728">
      <c r="A728" s="93"/>
    </row>
    <row r="729">
      <c r="A729" s="93"/>
    </row>
    <row r="730">
      <c r="A730" s="93"/>
    </row>
    <row r="731">
      <c r="A731" s="93"/>
    </row>
    <row r="732">
      <c r="A732" s="93"/>
    </row>
    <row r="733">
      <c r="A733" s="93"/>
    </row>
    <row r="734">
      <c r="A734" s="93"/>
    </row>
    <row r="735">
      <c r="A735" s="93"/>
    </row>
    <row r="736">
      <c r="A736" s="93"/>
    </row>
    <row r="737">
      <c r="A737" s="93"/>
    </row>
    <row r="738">
      <c r="A738" s="93"/>
    </row>
    <row r="739">
      <c r="A739" s="93"/>
    </row>
    <row r="740">
      <c r="A740" s="93"/>
    </row>
    <row r="741">
      <c r="A741" s="93"/>
    </row>
    <row r="742">
      <c r="A742" s="93"/>
    </row>
    <row r="743">
      <c r="A743" s="93"/>
    </row>
    <row r="744">
      <c r="A744" s="93"/>
    </row>
    <row r="745">
      <c r="A745" s="93"/>
    </row>
    <row r="746">
      <c r="A746" s="93"/>
    </row>
    <row r="747">
      <c r="A747" s="93"/>
    </row>
    <row r="748">
      <c r="A748" s="93"/>
    </row>
    <row r="749">
      <c r="A749" s="93"/>
    </row>
    <row r="750">
      <c r="A750" s="93"/>
    </row>
    <row r="751">
      <c r="A751" s="93"/>
    </row>
    <row r="752">
      <c r="A752" s="93"/>
    </row>
    <row r="753">
      <c r="A753" s="93"/>
    </row>
    <row r="754">
      <c r="A754" s="93"/>
    </row>
    <row r="755">
      <c r="A755" s="93"/>
    </row>
    <row r="756">
      <c r="A756" s="93"/>
    </row>
    <row r="757">
      <c r="A757" s="93"/>
    </row>
    <row r="758">
      <c r="A758" s="93"/>
    </row>
    <row r="759">
      <c r="A759" s="93"/>
    </row>
    <row r="760">
      <c r="A760" s="93"/>
    </row>
    <row r="761">
      <c r="A761" s="93"/>
    </row>
    <row r="762">
      <c r="A762" s="93"/>
    </row>
    <row r="763">
      <c r="A763" s="93"/>
    </row>
    <row r="764">
      <c r="A764" s="93"/>
    </row>
    <row r="765">
      <c r="A765" s="93"/>
    </row>
    <row r="766">
      <c r="A766" s="93"/>
    </row>
    <row r="767">
      <c r="A767" s="93"/>
    </row>
    <row r="768">
      <c r="A768" s="93"/>
    </row>
    <row r="769">
      <c r="A769" s="93"/>
    </row>
    <row r="770">
      <c r="A770" s="93"/>
    </row>
    <row r="771">
      <c r="A771" s="93"/>
    </row>
    <row r="772">
      <c r="A772" s="93"/>
    </row>
    <row r="773">
      <c r="A773" s="93"/>
    </row>
    <row r="774">
      <c r="A774" s="93"/>
    </row>
    <row r="775">
      <c r="A775" s="93"/>
    </row>
    <row r="776">
      <c r="A776" s="93"/>
    </row>
    <row r="777">
      <c r="A777" s="93"/>
    </row>
    <row r="778">
      <c r="A778" s="93"/>
    </row>
    <row r="779">
      <c r="A779" s="93"/>
    </row>
    <row r="780">
      <c r="A780" s="93"/>
    </row>
    <row r="781">
      <c r="A781" s="93"/>
    </row>
    <row r="782">
      <c r="A782" s="93"/>
    </row>
    <row r="783">
      <c r="A783" s="93"/>
    </row>
    <row r="784">
      <c r="A784" s="93"/>
    </row>
    <row r="785">
      <c r="A785" s="93"/>
    </row>
    <row r="786">
      <c r="A786" s="93"/>
    </row>
    <row r="787">
      <c r="A787" s="93"/>
    </row>
    <row r="788">
      <c r="A788" s="93"/>
    </row>
    <row r="789">
      <c r="A789" s="93"/>
    </row>
    <row r="790">
      <c r="A790" s="93"/>
    </row>
    <row r="791">
      <c r="A791" s="93"/>
    </row>
    <row r="792">
      <c r="A792" s="93"/>
    </row>
    <row r="793">
      <c r="A793" s="93"/>
    </row>
    <row r="794">
      <c r="A794" s="93"/>
    </row>
    <row r="795">
      <c r="A795" s="93"/>
    </row>
    <row r="796">
      <c r="A796" s="93"/>
    </row>
    <row r="797">
      <c r="A797" s="93"/>
    </row>
    <row r="798">
      <c r="A798" s="93"/>
    </row>
    <row r="799">
      <c r="A799" s="93"/>
    </row>
    <row r="800">
      <c r="A800" s="93"/>
    </row>
    <row r="801">
      <c r="A801" s="93"/>
    </row>
    <row r="802">
      <c r="A802" s="93"/>
    </row>
    <row r="803">
      <c r="A803" s="93"/>
    </row>
    <row r="804">
      <c r="A804" s="93"/>
    </row>
    <row r="805">
      <c r="A805" s="93"/>
    </row>
    <row r="806">
      <c r="A806" s="93"/>
    </row>
    <row r="807">
      <c r="A807" s="93"/>
    </row>
    <row r="808">
      <c r="A808" s="93"/>
    </row>
    <row r="809">
      <c r="A809" s="93"/>
    </row>
    <row r="810">
      <c r="A810" s="93"/>
    </row>
    <row r="811">
      <c r="A811" s="93"/>
    </row>
    <row r="812">
      <c r="A812" s="93"/>
    </row>
    <row r="813">
      <c r="A813" s="93"/>
    </row>
    <row r="814">
      <c r="A814" s="93"/>
    </row>
    <row r="815">
      <c r="A815" s="93"/>
    </row>
    <row r="816">
      <c r="A816" s="93"/>
    </row>
    <row r="817">
      <c r="A817" s="93"/>
    </row>
    <row r="818">
      <c r="A818" s="93"/>
    </row>
    <row r="819">
      <c r="A819" s="93"/>
    </row>
    <row r="820">
      <c r="A820" s="93"/>
    </row>
    <row r="821">
      <c r="A821" s="93"/>
    </row>
    <row r="822">
      <c r="A822" s="93"/>
    </row>
    <row r="823">
      <c r="A823" s="93"/>
    </row>
    <row r="824">
      <c r="A824" s="93"/>
    </row>
    <row r="825">
      <c r="A825" s="93"/>
    </row>
    <row r="826">
      <c r="A826" s="93"/>
    </row>
    <row r="827">
      <c r="A827" s="93"/>
    </row>
    <row r="828">
      <c r="A828" s="93"/>
    </row>
    <row r="829">
      <c r="A829" s="93"/>
    </row>
    <row r="830">
      <c r="A830" s="93"/>
    </row>
    <row r="831">
      <c r="A831" s="93"/>
    </row>
    <row r="832">
      <c r="A832" s="93"/>
    </row>
    <row r="833">
      <c r="A833" s="93"/>
    </row>
    <row r="834">
      <c r="A834" s="93"/>
    </row>
    <row r="835">
      <c r="A835" s="93"/>
    </row>
    <row r="836">
      <c r="A836" s="93"/>
    </row>
    <row r="837">
      <c r="A837" s="93"/>
    </row>
    <row r="838">
      <c r="A838" s="93"/>
    </row>
    <row r="839">
      <c r="A839" s="93"/>
    </row>
    <row r="840">
      <c r="A840" s="93"/>
    </row>
    <row r="841">
      <c r="A841" s="93"/>
    </row>
    <row r="842">
      <c r="A842" s="93"/>
    </row>
    <row r="843">
      <c r="A843" s="93"/>
    </row>
    <row r="844">
      <c r="A844" s="93"/>
    </row>
    <row r="845">
      <c r="A845" s="93"/>
    </row>
    <row r="846">
      <c r="A846" s="93"/>
    </row>
    <row r="847">
      <c r="A847" s="93"/>
    </row>
    <row r="848">
      <c r="A848" s="93"/>
    </row>
    <row r="849">
      <c r="A849" s="93"/>
    </row>
    <row r="850">
      <c r="A850" s="93"/>
    </row>
    <row r="851">
      <c r="A851" s="93"/>
    </row>
    <row r="852">
      <c r="A852" s="93"/>
    </row>
    <row r="853">
      <c r="A853" s="93"/>
    </row>
    <row r="854">
      <c r="A854" s="93"/>
    </row>
    <row r="855">
      <c r="A855" s="93"/>
    </row>
    <row r="856">
      <c r="A856" s="93"/>
    </row>
    <row r="857">
      <c r="A857" s="93"/>
    </row>
    <row r="858">
      <c r="A858" s="93"/>
    </row>
    <row r="859">
      <c r="A859" s="93"/>
    </row>
    <row r="860">
      <c r="A860" s="93"/>
    </row>
    <row r="861">
      <c r="A861" s="93"/>
    </row>
    <row r="862">
      <c r="A862" s="93"/>
    </row>
    <row r="863">
      <c r="A863" s="93"/>
    </row>
    <row r="864">
      <c r="A864" s="93"/>
    </row>
    <row r="865">
      <c r="A865" s="93"/>
    </row>
    <row r="866">
      <c r="A866" s="93"/>
    </row>
    <row r="867">
      <c r="A867" s="93"/>
    </row>
    <row r="868">
      <c r="A868" s="93"/>
    </row>
    <row r="869">
      <c r="A869" s="93"/>
    </row>
    <row r="870">
      <c r="A870" s="93"/>
    </row>
    <row r="871">
      <c r="A871" s="93"/>
    </row>
    <row r="872">
      <c r="A872" s="93"/>
    </row>
    <row r="873">
      <c r="A873" s="93"/>
    </row>
    <row r="874">
      <c r="A874" s="93"/>
    </row>
    <row r="875">
      <c r="A875" s="93"/>
    </row>
    <row r="876">
      <c r="A876" s="93"/>
    </row>
    <row r="877">
      <c r="A877" s="93"/>
    </row>
    <row r="878">
      <c r="A878" s="93"/>
    </row>
    <row r="879">
      <c r="A879" s="93"/>
    </row>
    <row r="880">
      <c r="A880" s="93"/>
    </row>
    <row r="881">
      <c r="A881" s="93"/>
    </row>
    <row r="882">
      <c r="A882" s="93"/>
    </row>
    <row r="883">
      <c r="A883" s="93"/>
    </row>
    <row r="884">
      <c r="A884" s="93"/>
    </row>
    <row r="885">
      <c r="A885" s="93"/>
    </row>
    <row r="886">
      <c r="A886" s="93"/>
    </row>
    <row r="887">
      <c r="A887" s="93"/>
    </row>
    <row r="888">
      <c r="A888" s="93"/>
    </row>
    <row r="889">
      <c r="A889" s="93"/>
    </row>
    <row r="890">
      <c r="A890" s="93"/>
    </row>
    <row r="891">
      <c r="A891" s="93"/>
    </row>
    <row r="892">
      <c r="A892" s="93"/>
    </row>
    <row r="893">
      <c r="A893" s="93"/>
    </row>
    <row r="894">
      <c r="A894" s="93"/>
    </row>
    <row r="895">
      <c r="A895" s="93"/>
    </row>
    <row r="896">
      <c r="A896" s="93"/>
    </row>
    <row r="897">
      <c r="A897" s="93"/>
    </row>
    <row r="898">
      <c r="A898" s="93"/>
    </row>
    <row r="899">
      <c r="A899" s="93"/>
    </row>
    <row r="900">
      <c r="A900" s="93"/>
    </row>
    <row r="901">
      <c r="A901" s="93"/>
    </row>
    <row r="902">
      <c r="A902" s="93"/>
    </row>
    <row r="903">
      <c r="A903" s="93"/>
    </row>
    <row r="904">
      <c r="A904" s="93"/>
    </row>
    <row r="905">
      <c r="A905" s="93"/>
    </row>
    <row r="906">
      <c r="A906" s="93"/>
    </row>
    <row r="907">
      <c r="A907" s="93"/>
    </row>
    <row r="908">
      <c r="A908" s="93"/>
    </row>
    <row r="909">
      <c r="A909" s="93"/>
    </row>
    <row r="910">
      <c r="A910" s="93"/>
    </row>
    <row r="911">
      <c r="A911" s="93"/>
    </row>
    <row r="912">
      <c r="A912" s="93"/>
    </row>
    <row r="913">
      <c r="A913" s="93"/>
    </row>
    <row r="914">
      <c r="A914" s="93"/>
    </row>
    <row r="915">
      <c r="A915" s="93"/>
    </row>
    <row r="916">
      <c r="A916" s="93"/>
    </row>
    <row r="917">
      <c r="A917" s="93"/>
    </row>
    <row r="918">
      <c r="A918" s="93"/>
    </row>
    <row r="919">
      <c r="A919" s="93"/>
    </row>
    <row r="920">
      <c r="A920" s="93"/>
    </row>
    <row r="921">
      <c r="A921" s="93"/>
    </row>
    <row r="922">
      <c r="A922" s="93"/>
    </row>
    <row r="923">
      <c r="A923" s="93"/>
    </row>
    <row r="924">
      <c r="A924" s="93"/>
    </row>
    <row r="925">
      <c r="A925" s="93"/>
    </row>
    <row r="926">
      <c r="A926" s="93"/>
    </row>
    <row r="927">
      <c r="A927" s="93"/>
    </row>
    <row r="928">
      <c r="A928" s="93"/>
    </row>
    <row r="929">
      <c r="A929" s="93"/>
    </row>
    <row r="930">
      <c r="A930" s="93"/>
    </row>
    <row r="931">
      <c r="A931" s="93"/>
    </row>
    <row r="932">
      <c r="A932" s="93"/>
    </row>
    <row r="933">
      <c r="A933" s="93"/>
    </row>
    <row r="934">
      <c r="A934" s="93"/>
    </row>
    <row r="935">
      <c r="A935" s="93"/>
    </row>
    <row r="936">
      <c r="A936" s="93"/>
    </row>
    <row r="937">
      <c r="A937" s="93"/>
    </row>
    <row r="938">
      <c r="A938" s="93"/>
    </row>
    <row r="939">
      <c r="A939" s="93"/>
    </row>
    <row r="940">
      <c r="A940" s="93"/>
    </row>
    <row r="941">
      <c r="A941" s="93"/>
    </row>
    <row r="942">
      <c r="A942" s="93"/>
    </row>
    <row r="943">
      <c r="A943" s="93"/>
    </row>
    <row r="944">
      <c r="A944" s="93"/>
    </row>
    <row r="945">
      <c r="A945" s="93"/>
    </row>
    <row r="946">
      <c r="A946" s="93"/>
    </row>
    <row r="947">
      <c r="A947" s="93"/>
    </row>
    <row r="948">
      <c r="A948" s="93"/>
    </row>
    <row r="949">
      <c r="A949" s="93"/>
    </row>
    <row r="950">
      <c r="A950" s="93"/>
    </row>
    <row r="951">
      <c r="A951" s="93"/>
    </row>
    <row r="952">
      <c r="A952" s="93"/>
    </row>
    <row r="953">
      <c r="A953" s="93"/>
    </row>
    <row r="954">
      <c r="A954" s="93"/>
    </row>
    <row r="955">
      <c r="A955" s="93"/>
    </row>
    <row r="956">
      <c r="A956" s="93"/>
    </row>
    <row r="957">
      <c r="A957" s="93"/>
    </row>
    <row r="958">
      <c r="A958" s="93"/>
    </row>
    <row r="959">
      <c r="A959" s="93"/>
    </row>
    <row r="960">
      <c r="A960" s="93"/>
    </row>
    <row r="961">
      <c r="A961" s="93"/>
    </row>
    <row r="962">
      <c r="A962" s="93"/>
    </row>
    <row r="963">
      <c r="A963" s="93"/>
    </row>
    <row r="964">
      <c r="A964" s="93"/>
    </row>
    <row r="965">
      <c r="A965" s="93"/>
    </row>
    <row r="966">
      <c r="A966" s="93"/>
    </row>
    <row r="967">
      <c r="A967" s="93"/>
    </row>
    <row r="968">
      <c r="A968" s="93"/>
    </row>
    <row r="969">
      <c r="A969" s="93"/>
    </row>
    <row r="970">
      <c r="A970" s="93"/>
    </row>
    <row r="971">
      <c r="A971" s="93"/>
    </row>
    <row r="972">
      <c r="A972" s="93"/>
    </row>
    <row r="973">
      <c r="A973" s="93"/>
    </row>
    <row r="974">
      <c r="A974" s="93"/>
    </row>
    <row r="975">
      <c r="A975" s="93"/>
    </row>
    <row r="976">
      <c r="A976" s="93"/>
    </row>
    <row r="977">
      <c r="A977" s="93"/>
    </row>
    <row r="978">
      <c r="A978" s="93"/>
    </row>
    <row r="979">
      <c r="A979" s="93"/>
    </row>
    <row r="980">
      <c r="A980" s="93"/>
    </row>
    <row r="981">
      <c r="A981" s="93"/>
    </row>
    <row r="982">
      <c r="A982" s="93"/>
    </row>
    <row r="983">
      <c r="A983" s="93"/>
    </row>
    <row r="984">
      <c r="A984" s="93"/>
    </row>
    <row r="985">
      <c r="A985" s="93"/>
    </row>
    <row r="986">
      <c r="A986" s="93"/>
    </row>
    <row r="987">
      <c r="A987" s="93"/>
    </row>
    <row r="988">
      <c r="A988" s="93"/>
    </row>
    <row r="989">
      <c r="A989" s="93"/>
    </row>
    <row r="990">
      <c r="A990" s="93"/>
    </row>
    <row r="991">
      <c r="A991" s="93"/>
    </row>
    <row r="992">
      <c r="A992" s="93"/>
    </row>
    <row r="993">
      <c r="A993" s="93"/>
    </row>
    <row r="994">
      <c r="A994" s="93"/>
    </row>
    <row r="995">
      <c r="A995" s="93"/>
    </row>
    <row r="996">
      <c r="A996" s="93"/>
    </row>
    <row r="997">
      <c r="A997" s="93"/>
    </row>
    <row r="998">
      <c r="A998" s="93"/>
    </row>
    <row r="999">
      <c r="A999" s="93"/>
    </row>
    <row r="1000">
      <c r="A1000" s="93"/>
    </row>
  </sheetData>
  <dataValidations>
    <dataValidation type="list" allowBlank="1" showErrorMessage="1" sqref="C2:G30">
      <formula1>"Edit/Fill forms ,View Only,Approve Encounter,Void (Delete),Cancel,NA,Edit,Yes"</formula1>
    </dataValidation>
    <dataValidation type="list" allowBlank="1" showErrorMessage="1" sqref="A1:A1000">
      <formula1>"Within Scope,Outside"</formula1>
    </dataValidation>
  </dataValidations>
  <drawing r:id="rId4"/>
  <legacyDrawing r:id="rId5"/>
  <tableParts count="2">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0"/>
    <col customWidth="1" min="2" max="3" width="22.5"/>
    <col customWidth="1" min="4" max="4" width="24.38"/>
    <col customWidth="1" min="5" max="5" width="20.38"/>
    <col customWidth="1" min="6" max="6" width="15.25"/>
    <col customWidth="1" min="7" max="7" width="21.13"/>
    <col customWidth="1" min="8" max="8" width="23.88"/>
  </cols>
  <sheetData>
    <row r="1">
      <c r="A1" s="94" t="s">
        <v>226</v>
      </c>
      <c r="B1" s="95" t="s">
        <v>227</v>
      </c>
      <c r="C1" s="94" t="s">
        <v>101</v>
      </c>
      <c r="D1" s="96" t="s">
        <v>228</v>
      </c>
      <c r="E1" s="96" t="s">
        <v>229</v>
      </c>
      <c r="F1" s="96" t="s">
        <v>230</v>
      </c>
      <c r="G1" s="94" t="s">
        <v>231</v>
      </c>
      <c r="H1" s="94" t="s">
        <v>99</v>
      </c>
      <c r="I1" s="94" t="s">
        <v>232</v>
      </c>
      <c r="J1" s="95"/>
      <c r="K1" s="95"/>
      <c r="L1" s="97"/>
      <c r="M1" s="97"/>
      <c r="N1" s="98"/>
      <c r="O1" s="97"/>
      <c r="P1" s="98"/>
      <c r="Q1" s="98"/>
      <c r="R1" s="98"/>
      <c r="S1" s="98"/>
      <c r="T1" s="98"/>
      <c r="U1" s="98"/>
      <c r="V1" s="98"/>
      <c r="W1" s="98"/>
      <c r="X1" s="98"/>
      <c r="Y1" s="98"/>
      <c r="Z1" s="98"/>
      <c r="AA1" s="98"/>
      <c r="AB1" s="98"/>
    </row>
    <row r="2">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9"/>
    </row>
    <row r="3">
      <c r="A3" s="99"/>
      <c r="B3" s="99"/>
      <c r="C3" s="99"/>
      <c r="D3" s="99"/>
      <c r="E3" s="99"/>
      <c r="F3" s="99"/>
      <c r="G3" s="99"/>
      <c r="H3" s="99"/>
      <c r="I3" s="99"/>
      <c r="J3" s="99"/>
      <c r="K3" s="99"/>
      <c r="L3" s="99"/>
      <c r="M3" s="99"/>
      <c r="N3" s="99"/>
      <c r="O3" s="99"/>
      <c r="P3" s="99"/>
      <c r="Q3" s="99"/>
      <c r="R3" s="99"/>
      <c r="S3" s="99"/>
      <c r="T3" s="99"/>
      <c r="U3" s="99"/>
      <c r="V3" s="99"/>
      <c r="W3" s="99"/>
      <c r="X3" s="99"/>
      <c r="Y3" s="99"/>
      <c r="Z3" s="99"/>
      <c r="AA3" s="99"/>
      <c r="AB3" s="99"/>
    </row>
    <row r="4">
      <c r="A4" s="99"/>
      <c r="B4" s="99"/>
      <c r="C4" s="99"/>
      <c r="D4" s="99"/>
      <c r="E4" s="99"/>
      <c r="F4" s="99"/>
      <c r="G4" s="99"/>
      <c r="H4" s="99"/>
      <c r="I4" s="99"/>
      <c r="J4" s="99"/>
      <c r="K4" s="99"/>
      <c r="L4" s="99"/>
      <c r="M4" s="99"/>
      <c r="N4" s="99"/>
      <c r="O4" s="99"/>
      <c r="P4" s="99"/>
      <c r="Q4" s="99"/>
      <c r="R4" s="99"/>
      <c r="S4" s="99"/>
      <c r="T4" s="99"/>
      <c r="U4" s="99"/>
      <c r="V4" s="99"/>
      <c r="W4" s="99"/>
      <c r="X4" s="99"/>
      <c r="Y4" s="99"/>
      <c r="Z4" s="99"/>
      <c r="AA4" s="99"/>
      <c r="AB4" s="99"/>
    </row>
    <row r="5">
      <c r="A5" s="100" t="s">
        <v>101</v>
      </c>
      <c r="B5" s="100" t="s">
        <v>228</v>
      </c>
      <c r="C5" s="100" t="s">
        <v>229</v>
      </c>
      <c r="D5" s="100" t="s">
        <v>99</v>
      </c>
      <c r="E5" s="100" t="s">
        <v>233</v>
      </c>
      <c r="F5" s="100" t="s">
        <v>230</v>
      </c>
      <c r="G5" s="100" t="s">
        <v>231</v>
      </c>
      <c r="H5" s="100" t="s">
        <v>234</v>
      </c>
      <c r="I5" s="99"/>
      <c r="J5" s="99"/>
      <c r="K5" s="99"/>
      <c r="L5" s="99"/>
      <c r="M5" s="99"/>
      <c r="N5" s="99"/>
      <c r="O5" s="99"/>
      <c r="P5" s="99"/>
      <c r="Q5" s="99"/>
      <c r="R5" s="99"/>
      <c r="S5" s="99"/>
      <c r="T5" s="99"/>
      <c r="U5" s="99"/>
      <c r="V5" s="99"/>
      <c r="W5" s="99"/>
      <c r="X5" s="99"/>
      <c r="Y5" s="99"/>
      <c r="Z5" s="99"/>
      <c r="AA5" s="99"/>
      <c r="AB5" s="99"/>
    </row>
    <row r="6">
      <c r="A6" s="101" t="s">
        <v>235</v>
      </c>
      <c r="B6" s="101" t="s">
        <v>236</v>
      </c>
      <c r="C6" s="101" t="s">
        <v>237</v>
      </c>
      <c r="D6" s="102" t="s">
        <v>238</v>
      </c>
      <c r="E6" s="103" t="s">
        <v>239</v>
      </c>
      <c r="F6" s="102" t="s">
        <v>238</v>
      </c>
      <c r="G6" s="103" t="s">
        <v>238</v>
      </c>
      <c r="H6" s="101" t="s">
        <v>240</v>
      </c>
      <c r="I6" s="99"/>
      <c r="J6" s="99"/>
      <c r="K6" s="99"/>
      <c r="L6" s="99"/>
      <c r="M6" s="99"/>
      <c r="N6" s="99"/>
      <c r="O6" s="99"/>
      <c r="P6" s="99"/>
      <c r="Q6" s="99"/>
      <c r="R6" s="99"/>
      <c r="S6" s="99"/>
      <c r="T6" s="99"/>
      <c r="U6" s="99"/>
      <c r="V6" s="99"/>
      <c r="W6" s="99"/>
      <c r="X6" s="99"/>
      <c r="Y6" s="99"/>
      <c r="Z6" s="99"/>
      <c r="AA6" s="99"/>
      <c r="AB6" s="99"/>
    </row>
    <row r="7">
      <c r="A7" s="26"/>
      <c r="B7" s="26"/>
      <c r="C7" s="26"/>
      <c r="D7" s="26"/>
      <c r="E7" s="103" t="s">
        <v>241</v>
      </c>
      <c r="F7" s="26"/>
      <c r="G7" s="103" t="s">
        <v>242</v>
      </c>
      <c r="H7" s="26"/>
      <c r="I7" s="99"/>
      <c r="J7" s="99"/>
      <c r="K7" s="99"/>
      <c r="L7" s="99"/>
      <c r="M7" s="99"/>
      <c r="N7" s="99"/>
      <c r="O7" s="99"/>
      <c r="P7" s="99"/>
      <c r="Q7" s="99"/>
      <c r="R7" s="99"/>
      <c r="S7" s="99"/>
      <c r="T7" s="99"/>
      <c r="U7" s="99"/>
      <c r="V7" s="99"/>
      <c r="W7" s="99"/>
      <c r="X7" s="99"/>
      <c r="Y7" s="99"/>
      <c r="Z7" s="99"/>
      <c r="AA7" s="99"/>
      <c r="AB7" s="99"/>
    </row>
    <row r="8">
      <c r="A8" s="26"/>
      <c r="B8" s="26"/>
      <c r="C8" s="26"/>
      <c r="D8" s="26"/>
      <c r="E8" s="103" t="s">
        <v>243</v>
      </c>
      <c r="F8" s="26"/>
      <c r="G8" s="103" t="s">
        <v>244</v>
      </c>
      <c r="H8" s="26"/>
      <c r="I8" s="99"/>
      <c r="J8" s="99"/>
      <c r="K8" s="99"/>
      <c r="L8" s="99"/>
      <c r="M8" s="99"/>
      <c r="N8" s="99"/>
      <c r="O8" s="99"/>
      <c r="P8" s="99"/>
      <c r="Q8" s="99"/>
      <c r="R8" s="99"/>
      <c r="S8" s="99"/>
      <c r="T8" s="99"/>
      <c r="U8" s="99"/>
      <c r="V8" s="99"/>
      <c r="W8" s="99"/>
      <c r="X8" s="99"/>
      <c r="Y8" s="99"/>
      <c r="Z8" s="99"/>
      <c r="AA8" s="99"/>
      <c r="AB8" s="99"/>
    </row>
    <row r="9">
      <c r="A9" s="26"/>
      <c r="B9" s="26"/>
      <c r="C9" s="26"/>
      <c r="D9" s="26"/>
      <c r="E9" s="104"/>
      <c r="F9" s="26"/>
      <c r="G9" s="103" t="s">
        <v>245</v>
      </c>
      <c r="H9" s="26"/>
      <c r="I9" s="99"/>
      <c r="J9" s="99"/>
      <c r="K9" s="99"/>
      <c r="L9" s="99"/>
      <c r="M9" s="99"/>
      <c r="N9" s="99"/>
      <c r="O9" s="99"/>
      <c r="P9" s="99"/>
      <c r="Q9" s="99"/>
      <c r="R9" s="99"/>
      <c r="S9" s="99"/>
      <c r="T9" s="99"/>
      <c r="U9" s="99"/>
      <c r="V9" s="99"/>
      <c r="W9" s="99"/>
      <c r="X9" s="99"/>
      <c r="Y9" s="99"/>
      <c r="Z9" s="99"/>
      <c r="AA9" s="99"/>
      <c r="AB9" s="99"/>
    </row>
    <row r="10">
      <c r="A10" s="26"/>
      <c r="B10" s="26"/>
      <c r="C10" s="26"/>
      <c r="D10" s="27"/>
      <c r="E10" s="104"/>
      <c r="F10" s="27"/>
      <c r="G10" s="103" t="s">
        <v>246</v>
      </c>
      <c r="H10" s="27"/>
      <c r="I10" s="99"/>
      <c r="J10" s="99"/>
      <c r="K10" s="99"/>
      <c r="L10" s="99"/>
      <c r="M10" s="99"/>
      <c r="N10" s="99"/>
      <c r="O10" s="99"/>
      <c r="P10" s="99"/>
      <c r="Q10" s="99"/>
      <c r="R10" s="99"/>
      <c r="S10" s="99"/>
      <c r="T10" s="99"/>
      <c r="U10" s="99"/>
      <c r="V10" s="99"/>
      <c r="W10" s="99"/>
      <c r="X10" s="99"/>
      <c r="Y10" s="99"/>
      <c r="Z10" s="99"/>
      <c r="AA10" s="99"/>
      <c r="AB10" s="99"/>
    </row>
    <row r="11">
      <c r="A11" s="26"/>
      <c r="B11" s="26"/>
      <c r="C11" s="26"/>
      <c r="D11" s="102" t="s">
        <v>247</v>
      </c>
      <c r="E11" s="103" t="s">
        <v>248</v>
      </c>
      <c r="F11" s="102" t="s">
        <v>238</v>
      </c>
      <c r="G11" s="103" t="s">
        <v>247</v>
      </c>
      <c r="H11" s="101" t="s">
        <v>249</v>
      </c>
      <c r="I11" s="99"/>
      <c r="J11" s="99"/>
      <c r="K11" s="99"/>
      <c r="L11" s="99"/>
      <c r="M11" s="99"/>
      <c r="N11" s="99"/>
      <c r="O11" s="99"/>
      <c r="P11" s="99"/>
      <c r="Q11" s="99"/>
      <c r="R11" s="99"/>
      <c r="S11" s="99"/>
      <c r="T11" s="99"/>
      <c r="U11" s="99"/>
      <c r="V11" s="99"/>
      <c r="W11" s="99"/>
      <c r="X11" s="99"/>
      <c r="Y11" s="99"/>
      <c r="Z11" s="99"/>
      <c r="AA11" s="99"/>
      <c r="AB11" s="99"/>
    </row>
    <row r="12">
      <c r="A12" s="26"/>
      <c r="B12" s="26"/>
      <c r="C12" s="26"/>
      <c r="D12" s="26"/>
      <c r="E12" s="103" t="s">
        <v>250</v>
      </c>
      <c r="F12" s="26"/>
      <c r="G12" s="103" t="s">
        <v>251</v>
      </c>
      <c r="H12" s="26"/>
      <c r="I12" s="99"/>
      <c r="J12" s="99"/>
      <c r="K12" s="99"/>
      <c r="L12" s="99"/>
      <c r="M12" s="99"/>
      <c r="N12" s="99"/>
      <c r="O12" s="99"/>
      <c r="P12" s="99"/>
      <c r="Q12" s="99"/>
      <c r="R12" s="99"/>
      <c r="S12" s="99"/>
      <c r="T12" s="99"/>
      <c r="U12" s="99"/>
      <c r="V12" s="99"/>
      <c r="W12" s="99"/>
      <c r="X12" s="99"/>
      <c r="Y12" s="99"/>
      <c r="Z12" s="99"/>
      <c r="AA12" s="99"/>
      <c r="AB12" s="99"/>
    </row>
    <row r="13">
      <c r="A13" s="26"/>
      <c r="B13" s="26"/>
      <c r="C13" s="26"/>
      <c r="D13" s="26"/>
      <c r="E13" s="103" t="s">
        <v>252</v>
      </c>
      <c r="F13" s="26"/>
      <c r="G13" s="103" t="s">
        <v>253</v>
      </c>
      <c r="H13" s="26"/>
      <c r="I13" s="99"/>
      <c r="J13" s="99"/>
      <c r="K13" s="99"/>
      <c r="L13" s="99"/>
      <c r="M13" s="99"/>
      <c r="N13" s="99"/>
      <c r="O13" s="99"/>
      <c r="P13" s="99"/>
      <c r="Q13" s="99"/>
      <c r="R13" s="99"/>
      <c r="S13" s="99"/>
      <c r="T13" s="99"/>
      <c r="U13" s="99"/>
      <c r="V13" s="99"/>
      <c r="W13" s="99"/>
      <c r="X13" s="99"/>
      <c r="Y13" s="99"/>
      <c r="Z13" s="99"/>
      <c r="AA13" s="99"/>
      <c r="AB13" s="99"/>
    </row>
    <row r="14">
      <c r="A14" s="26"/>
      <c r="B14" s="26"/>
      <c r="C14" s="26"/>
      <c r="D14" s="26"/>
      <c r="E14" s="104"/>
      <c r="F14" s="26"/>
      <c r="G14" s="103" t="s">
        <v>254</v>
      </c>
      <c r="H14" s="26"/>
      <c r="I14" s="99"/>
      <c r="J14" s="99"/>
      <c r="K14" s="99"/>
      <c r="L14" s="99"/>
      <c r="M14" s="99"/>
      <c r="N14" s="99"/>
      <c r="O14" s="99"/>
      <c r="P14" s="99"/>
      <c r="Q14" s="99"/>
      <c r="R14" s="99"/>
      <c r="S14" s="99"/>
      <c r="T14" s="99"/>
      <c r="U14" s="99"/>
      <c r="V14" s="99"/>
      <c r="W14" s="99"/>
      <c r="X14" s="99"/>
      <c r="Y14" s="99"/>
      <c r="Z14" s="99"/>
      <c r="AA14" s="99"/>
      <c r="AB14" s="99"/>
    </row>
    <row r="15">
      <c r="A15" s="26"/>
      <c r="B15" s="26"/>
      <c r="C15" s="26"/>
      <c r="D15" s="26"/>
      <c r="E15" s="104"/>
      <c r="F15" s="26"/>
      <c r="G15" s="103" t="s">
        <v>255</v>
      </c>
      <c r="H15" s="26"/>
      <c r="I15" s="99"/>
      <c r="J15" s="99"/>
      <c r="K15" s="99"/>
      <c r="L15" s="99"/>
      <c r="M15" s="99"/>
      <c r="N15" s="99"/>
      <c r="O15" s="99"/>
      <c r="P15" s="99"/>
      <c r="Q15" s="99"/>
      <c r="R15" s="99"/>
      <c r="S15" s="99"/>
      <c r="T15" s="99"/>
      <c r="U15" s="99"/>
      <c r="V15" s="99"/>
      <c r="W15" s="99"/>
      <c r="X15" s="99"/>
      <c r="Y15" s="99"/>
      <c r="Z15" s="99"/>
      <c r="AA15" s="99"/>
      <c r="AB15" s="99"/>
    </row>
    <row r="16">
      <c r="A16" s="26"/>
      <c r="B16" s="26"/>
      <c r="C16" s="26"/>
      <c r="D16" s="26"/>
      <c r="E16" s="104"/>
      <c r="F16" s="26"/>
      <c r="G16" s="103" t="s">
        <v>256</v>
      </c>
      <c r="H16" s="26"/>
      <c r="I16" s="99"/>
      <c r="J16" s="99"/>
      <c r="K16" s="99"/>
      <c r="L16" s="99"/>
      <c r="M16" s="99"/>
      <c r="N16" s="99"/>
      <c r="O16" s="99"/>
      <c r="P16" s="99"/>
      <c r="Q16" s="99"/>
      <c r="R16" s="99"/>
      <c r="S16" s="99"/>
      <c r="T16" s="99"/>
      <c r="U16" s="99"/>
      <c r="V16" s="99"/>
      <c r="W16" s="99"/>
      <c r="X16" s="99"/>
      <c r="Y16" s="99"/>
      <c r="Z16" s="99"/>
      <c r="AA16" s="99"/>
      <c r="AB16" s="99"/>
    </row>
    <row r="17">
      <c r="A17" s="26"/>
      <c r="B17" s="26"/>
      <c r="C17" s="26"/>
      <c r="D17" s="27"/>
      <c r="E17" s="104"/>
      <c r="F17" s="27"/>
      <c r="G17" s="103" t="s">
        <v>257</v>
      </c>
      <c r="H17" s="27"/>
      <c r="I17" s="99"/>
      <c r="J17" s="99"/>
      <c r="K17" s="99"/>
      <c r="L17" s="99"/>
      <c r="M17" s="99"/>
      <c r="N17" s="99"/>
      <c r="O17" s="99"/>
      <c r="P17" s="99"/>
      <c r="Q17" s="99"/>
      <c r="R17" s="99"/>
      <c r="S17" s="99"/>
      <c r="T17" s="99"/>
      <c r="U17" s="99"/>
      <c r="V17" s="99"/>
      <c r="W17" s="99"/>
      <c r="X17" s="99"/>
      <c r="Y17" s="99"/>
      <c r="Z17" s="99"/>
      <c r="AA17" s="99"/>
      <c r="AB17" s="99"/>
    </row>
    <row r="18">
      <c r="A18" s="26"/>
      <c r="B18" s="26"/>
      <c r="C18" s="26"/>
      <c r="D18" s="102" t="s">
        <v>258</v>
      </c>
      <c r="E18" s="103" t="s">
        <v>259</v>
      </c>
      <c r="F18" s="102" t="s">
        <v>260</v>
      </c>
      <c r="G18" s="103" t="s">
        <v>258</v>
      </c>
      <c r="H18" s="101" t="s">
        <v>261</v>
      </c>
      <c r="I18" s="99"/>
      <c r="J18" s="99"/>
      <c r="K18" s="99"/>
      <c r="L18" s="99"/>
      <c r="M18" s="99"/>
      <c r="N18" s="99"/>
      <c r="O18" s="99"/>
      <c r="P18" s="99"/>
      <c r="Q18" s="99"/>
      <c r="R18" s="99"/>
      <c r="S18" s="99"/>
      <c r="T18" s="99"/>
      <c r="U18" s="99"/>
      <c r="V18" s="99"/>
      <c r="W18" s="99"/>
      <c r="X18" s="99"/>
      <c r="Y18" s="99"/>
      <c r="Z18" s="99"/>
      <c r="AA18" s="99"/>
      <c r="AB18" s="99"/>
    </row>
    <row r="19">
      <c r="A19" s="26"/>
      <c r="B19" s="26"/>
      <c r="C19" s="26"/>
      <c r="D19" s="26"/>
      <c r="E19" s="103" t="s">
        <v>262</v>
      </c>
      <c r="F19" s="26"/>
      <c r="G19" s="103" t="s">
        <v>262</v>
      </c>
      <c r="H19" s="26"/>
      <c r="I19" s="99"/>
      <c r="J19" s="99"/>
      <c r="K19" s="99"/>
      <c r="L19" s="99"/>
      <c r="M19" s="99"/>
      <c r="N19" s="99"/>
      <c r="O19" s="99"/>
      <c r="P19" s="99"/>
      <c r="Q19" s="99"/>
      <c r="R19" s="99"/>
      <c r="S19" s="99"/>
      <c r="T19" s="99"/>
      <c r="U19" s="99"/>
      <c r="V19" s="99"/>
      <c r="W19" s="99"/>
      <c r="X19" s="99"/>
      <c r="Y19" s="99"/>
      <c r="Z19" s="99"/>
      <c r="AA19" s="99"/>
      <c r="AB19" s="99"/>
    </row>
    <row r="20">
      <c r="A20" s="26"/>
      <c r="B20" s="26"/>
      <c r="C20" s="26"/>
      <c r="D20" s="26"/>
      <c r="E20" s="103" t="s">
        <v>263</v>
      </c>
      <c r="F20" s="26"/>
      <c r="G20" s="103" t="s">
        <v>264</v>
      </c>
      <c r="H20" s="26"/>
      <c r="I20" s="99"/>
      <c r="J20" s="99"/>
      <c r="K20" s="99"/>
      <c r="L20" s="99"/>
      <c r="M20" s="99"/>
      <c r="N20" s="99"/>
      <c r="O20" s="99"/>
      <c r="P20" s="99"/>
      <c r="Q20" s="99"/>
      <c r="R20" s="99"/>
      <c r="S20" s="99"/>
      <c r="T20" s="99"/>
      <c r="U20" s="99"/>
      <c r="V20" s="99"/>
      <c r="W20" s="99"/>
      <c r="X20" s="99"/>
      <c r="Y20" s="99"/>
      <c r="Z20" s="99"/>
      <c r="AA20" s="99"/>
      <c r="AB20" s="99"/>
    </row>
    <row r="21">
      <c r="A21" s="26"/>
      <c r="B21" s="26"/>
      <c r="C21" s="26"/>
      <c r="D21" s="26"/>
      <c r="E21" s="104"/>
      <c r="F21" s="26"/>
      <c r="G21" s="103" t="s">
        <v>265</v>
      </c>
      <c r="H21" s="26"/>
      <c r="I21" s="99"/>
      <c r="J21" s="99"/>
      <c r="K21" s="99"/>
      <c r="L21" s="99"/>
      <c r="M21" s="99"/>
      <c r="N21" s="99"/>
      <c r="O21" s="99"/>
      <c r="P21" s="99"/>
      <c r="Q21" s="99"/>
      <c r="R21" s="99"/>
      <c r="S21" s="99"/>
      <c r="T21" s="99"/>
      <c r="U21" s="99"/>
      <c r="V21" s="99"/>
      <c r="W21" s="99"/>
      <c r="X21" s="99"/>
      <c r="Y21" s="99"/>
      <c r="Z21" s="99"/>
      <c r="AA21" s="99"/>
      <c r="AB21" s="99"/>
    </row>
    <row r="22">
      <c r="A22" s="26"/>
      <c r="B22" s="26"/>
      <c r="C22" s="26"/>
      <c r="D22" s="26"/>
      <c r="E22" s="104"/>
      <c r="F22" s="26"/>
      <c r="G22" s="103" t="s">
        <v>266</v>
      </c>
      <c r="H22" s="26"/>
      <c r="I22" s="99"/>
      <c r="J22" s="99"/>
      <c r="K22" s="99"/>
      <c r="L22" s="99"/>
      <c r="M22" s="99"/>
      <c r="N22" s="99"/>
      <c r="O22" s="99"/>
      <c r="P22" s="99"/>
      <c r="Q22" s="99"/>
      <c r="R22" s="99"/>
      <c r="S22" s="99"/>
      <c r="T22" s="99"/>
      <c r="U22" s="99"/>
      <c r="V22" s="99"/>
      <c r="W22" s="99"/>
      <c r="X22" s="99"/>
      <c r="Y22" s="99"/>
      <c r="Z22" s="99"/>
      <c r="AA22" s="99"/>
      <c r="AB22" s="99"/>
    </row>
    <row r="23">
      <c r="A23" s="26"/>
      <c r="B23" s="26"/>
      <c r="C23" s="26"/>
      <c r="D23" s="26"/>
      <c r="E23" s="104"/>
      <c r="F23" s="26"/>
      <c r="G23" s="103" t="s">
        <v>267</v>
      </c>
      <c r="H23" s="26"/>
      <c r="I23" s="99"/>
      <c r="J23" s="99"/>
      <c r="K23" s="99"/>
      <c r="L23" s="99"/>
      <c r="M23" s="99"/>
      <c r="N23" s="99"/>
      <c r="O23" s="99"/>
      <c r="P23" s="99"/>
      <c r="Q23" s="99"/>
      <c r="R23" s="99"/>
      <c r="S23" s="99"/>
      <c r="T23" s="99"/>
      <c r="U23" s="99"/>
      <c r="V23" s="99"/>
      <c r="W23" s="99"/>
      <c r="X23" s="99"/>
      <c r="Y23" s="99"/>
      <c r="Z23" s="99"/>
      <c r="AA23" s="99"/>
      <c r="AB23" s="99"/>
    </row>
    <row r="24">
      <c r="A24" s="26"/>
      <c r="B24" s="26"/>
      <c r="C24" s="26"/>
      <c r="D24" s="27"/>
      <c r="E24" s="104"/>
      <c r="F24" s="27"/>
      <c r="G24" s="103" t="s">
        <v>268</v>
      </c>
      <c r="H24" s="27"/>
      <c r="I24" s="99"/>
      <c r="J24" s="99"/>
      <c r="K24" s="99"/>
      <c r="L24" s="99"/>
      <c r="M24" s="99"/>
      <c r="N24" s="99"/>
      <c r="O24" s="99"/>
      <c r="P24" s="99"/>
      <c r="Q24" s="99"/>
      <c r="R24" s="99"/>
      <c r="S24" s="99"/>
      <c r="T24" s="99"/>
      <c r="U24" s="99"/>
      <c r="V24" s="99"/>
      <c r="W24" s="99"/>
      <c r="X24" s="99"/>
      <c r="Y24" s="99"/>
      <c r="Z24" s="99"/>
      <c r="AA24" s="99"/>
      <c r="AB24" s="99"/>
    </row>
    <row r="25">
      <c r="A25" s="26"/>
      <c r="B25" s="26"/>
      <c r="C25" s="26"/>
      <c r="D25" s="102" t="s">
        <v>260</v>
      </c>
      <c r="E25" s="105" t="s">
        <v>269</v>
      </c>
      <c r="F25" s="102" t="s">
        <v>260</v>
      </c>
      <c r="G25" s="103" t="s">
        <v>270</v>
      </c>
      <c r="H25" s="101" t="s">
        <v>271</v>
      </c>
      <c r="I25" s="99"/>
      <c r="J25" s="99"/>
      <c r="K25" s="99"/>
      <c r="L25" s="99"/>
      <c r="M25" s="99"/>
      <c r="N25" s="99"/>
      <c r="O25" s="99"/>
      <c r="P25" s="99"/>
      <c r="Q25" s="99"/>
      <c r="R25" s="99"/>
      <c r="S25" s="99"/>
      <c r="T25" s="99"/>
      <c r="U25" s="99"/>
      <c r="V25" s="99"/>
      <c r="W25" s="99"/>
      <c r="X25" s="99"/>
      <c r="Y25" s="99"/>
      <c r="Z25" s="99"/>
      <c r="AA25" s="99"/>
      <c r="AB25" s="99"/>
    </row>
    <row r="26">
      <c r="A26" s="26"/>
      <c r="B26" s="26"/>
      <c r="C26" s="26"/>
      <c r="D26" s="26"/>
      <c r="E26" s="103" t="s">
        <v>260</v>
      </c>
      <c r="F26" s="26"/>
      <c r="G26" s="103" t="s">
        <v>272</v>
      </c>
      <c r="H26" s="26"/>
      <c r="I26" s="99"/>
      <c r="J26" s="99"/>
      <c r="K26" s="99"/>
      <c r="L26" s="99"/>
      <c r="M26" s="99"/>
      <c r="N26" s="99"/>
      <c r="O26" s="99"/>
      <c r="P26" s="99"/>
      <c r="Q26" s="99"/>
      <c r="R26" s="99"/>
      <c r="S26" s="99"/>
      <c r="T26" s="99"/>
      <c r="U26" s="99"/>
      <c r="V26" s="99"/>
      <c r="W26" s="99"/>
      <c r="X26" s="99"/>
      <c r="Y26" s="99"/>
      <c r="Z26" s="99"/>
      <c r="AA26" s="99"/>
      <c r="AB26" s="99"/>
    </row>
    <row r="27">
      <c r="A27" s="26"/>
      <c r="B27" s="26"/>
      <c r="C27" s="26"/>
      <c r="D27" s="26"/>
      <c r="E27" s="105" t="s">
        <v>273</v>
      </c>
      <c r="F27" s="26"/>
      <c r="G27" s="103" t="s">
        <v>274</v>
      </c>
      <c r="H27" s="26"/>
      <c r="I27" s="99"/>
      <c r="J27" s="99"/>
      <c r="K27" s="99"/>
      <c r="L27" s="99"/>
      <c r="M27" s="99"/>
      <c r="N27" s="99"/>
      <c r="O27" s="99"/>
      <c r="P27" s="99"/>
      <c r="Q27" s="99"/>
      <c r="R27" s="99"/>
      <c r="S27" s="99"/>
      <c r="T27" s="99"/>
      <c r="U27" s="99"/>
      <c r="V27" s="99"/>
      <c r="W27" s="99"/>
      <c r="X27" s="99"/>
      <c r="Y27" s="99"/>
      <c r="Z27" s="99"/>
      <c r="AA27" s="99"/>
      <c r="AB27" s="99"/>
    </row>
    <row r="28">
      <c r="A28" s="26"/>
      <c r="B28" s="26"/>
      <c r="C28" s="26"/>
      <c r="D28" s="26"/>
      <c r="E28" s="104"/>
      <c r="F28" s="26"/>
      <c r="G28" s="103" t="s">
        <v>275</v>
      </c>
      <c r="H28" s="26"/>
      <c r="I28" s="99"/>
      <c r="J28" s="99"/>
      <c r="K28" s="99"/>
      <c r="L28" s="99"/>
      <c r="M28" s="99"/>
      <c r="N28" s="99"/>
      <c r="O28" s="99"/>
      <c r="P28" s="99"/>
      <c r="Q28" s="99"/>
      <c r="R28" s="99"/>
      <c r="S28" s="99"/>
      <c r="T28" s="99"/>
      <c r="U28" s="99"/>
      <c r="V28" s="99"/>
      <c r="W28" s="99"/>
      <c r="X28" s="99"/>
      <c r="Y28" s="99"/>
      <c r="Z28" s="99"/>
      <c r="AA28" s="99"/>
      <c r="AB28" s="99"/>
    </row>
    <row r="29">
      <c r="A29" s="26"/>
      <c r="B29" s="26"/>
      <c r="C29" s="26"/>
      <c r="D29" s="26"/>
      <c r="E29" s="104"/>
      <c r="F29" s="26"/>
      <c r="G29" s="103" t="s">
        <v>276</v>
      </c>
      <c r="H29" s="26"/>
      <c r="I29" s="99"/>
      <c r="J29" s="99"/>
      <c r="K29" s="99"/>
      <c r="L29" s="99"/>
      <c r="M29" s="99"/>
      <c r="N29" s="99"/>
      <c r="O29" s="99"/>
      <c r="P29" s="99"/>
      <c r="Q29" s="99"/>
      <c r="R29" s="99"/>
      <c r="S29" s="99"/>
      <c r="T29" s="99"/>
      <c r="U29" s="99"/>
      <c r="V29" s="99"/>
      <c r="W29" s="99"/>
      <c r="X29" s="99"/>
      <c r="Y29" s="99"/>
      <c r="Z29" s="99"/>
      <c r="AA29" s="99"/>
      <c r="AB29" s="99"/>
    </row>
    <row r="30">
      <c r="A30" s="26"/>
      <c r="B30" s="26"/>
      <c r="C30" s="26"/>
      <c r="D30" s="26"/>
      <c r="E30" s="104"/>
      <c r="F30" s="26"/>
      <c r="G30" s="103" t="s">
        <v>277</v>
      </c>
      <c r="H30" s="26"/>
      <c r="I30" s="99"/>
      <c r="J30" s="99"/>
      <c r="K30" s="99"/>
      <c r="L30" s="99"/>
      <c r="M30" s="99"/>
      <c r="N30" s="99"/>
      <c r="O30" s="99"/>
      <c r="P30" s="99"/>
      <c r="Q30" s="99"/>
      <c r="R30" s="99"/>
      <c r="S30" s="99"/>
      <c r="T30" s="99"/>
      <c r="U30" s="99"/>
      <c r="V30" s="99"/>
      <c r="W30" s="99"/>
      <c r="X30" s="99"/>
      <c r="Y30" s="99"/>
      <c r="Z30" s="99"/>
      <c r="AA30" s="99"/>
      <c r="AB30" s="99"/>
    </row>
    <row r="31">
      <c r="A31" s="26"/>
      <c r="B31" s="26"/>
      <c r="C31" s="26"/>
      <c r="D31" s="27"/>
      <c r="E31" s="104"/>
      <c r="F31" s="27"/>
      <c r="G31" s="103" t="s">
        <v>278</v>
      </c>
      <c r="H31" s="27"/>
      <c r="I31" s="99"/>
      <c r="J31" s="99"/>
      <c r="K31" s="99"/>
      <c r="L31" s="99"/>
      <c r="M31" s="99"/>
      <c r="N31" s="99"/>
      <c r="O31" s="99"/>
      <c r="P31" s="99"/>
      <c r="Q31" s="99"/>
      <c r="R31" s="99"/>
      <c r="S31" s="99"/>
      <c r="T31" s="99"/>
      <c r="U31" s="99"/>
      <c r="V31" s="99"/>
      <c r="W31" s="99"/>
      <c r="X31" s="99"/>
      <c r="Y31" s="99"/>
      <c r="Z31" s="99"/>
      <c r="AA31" s="99"/>
      <c r="AB31" s="99"/>
    </row>
    <row r="32">
      <c r="A32" s="26"/>
      <c r="B32" s="26"/>
      <c r="C32" s="26"/>
      <c r="D32" s="102" t="s">
        <v>279</v>
      </c>
      <c r="E32" s="103" t="s">
        <v>280</v>
      </c>
      <c r="F32" s="102" t="s">
        <v>281</v>
      </c>
      <c r="G32" s="103" t="s">
        <v>279</v>
      </c>
      <c r="H32" s="101" t="s">
        <v>282</v>
      </c>
      <c r="I32" s="99"/>
      <c r="J32" s="99"/>
      <c r="K32" s="99"/>
      <c r="L32" s="99"/>
      <c r="M32" s="99"/>
      <c r="N32" s="99"/>
      <c r="O32" s="99"/>
      <c r="P32" s="99"/>
      <c r="Q32" s="99"/>
      <c r="R32" s="99"/>
      <c r="S32" s="99"/>
      <c r="T32" s="99"/>
      <c r="U32" s="99"/>
      <c r="V32" s="99"/>
      <c r="W32" s="99"/>
      <c r="X32" s="99"/>
      <c r="Y32" s="99"/>
      <c r="Z32" s="99"/>
      <c r="AA32" s="99"/>
      <c r="AB32" s="99"/>
    </row>
    <row r="33">
      <c r="A33" s="26"/>
      <c r="B33" s="26"/>
      <c r="C33" s="26"/>
      <c r="D33" s="26"/>
      <c r="E33" s="103" t="s">
        <v>283</v>
      </c>
      <c r="F33" s="26"/>
      <c r="G33" s="103" t="s">
        <v>267</v>
      </c>
      <c r="H33" s="26"/>
      <c r="I33" s="99"/>
      <c r="J33" s="99"/>
      <c r="K33" s="99"/>
      <c r="L33" s="99"/>
      <c r="M33" s="99"/>
      <c r="N33" s="99"/>
      <c r="O33" s="99"/>
      <c r="P33" s="99"/>
      <c r="Q33" s="99"/>
      <c r="R33" s="99"/>
      <c r="S33" s="99"/>
      <c r="T33" s="99"/>
      <c r="U33" s="99"/>
      <c r="V33" s="99"/>
      <c r="W33" s="99"/>
      <c r="X33" s="99"/>
      <c r="Y33" s="99"/>
      <c r="Z33" s="99"/>
      <c r="AA33" s="99"/>
      <c r="AB33" s="99"/>
    </row>
    <row r="34">
      <c r="A34" s="26"/>
      <c r="B34" s="26"/>
      <c r="C34" s="26"/>
      <c r="D34" s="26"/>
      <c r="E34" s="104"/>
      <c r="F34" s="26"/>
      <c r="G34" s="103" t="s">
        <v>284</v>
      </c>
      <c r="H34" s="26"/>
      <c r="I34" s="99"/>
      <c r="J34" s="99"/>
      <c r="K34" s="99"/>
      <c r="L34" s="99"/>
      <c r="M34" s="99"/>
      <c r="N34" s="99"/>
      <c r="O34" s="99"/>
      <c r="P34" s="99"/>
      <c r="Q34" s="99"/>
      <c r="R34" s="99"/>
      <c r="S34" s="99"/>
      <c r="T34" s="99"/>
      <c r="U34" s="99"/>
      <c r="V34" s="99"/>
      <c r="W34" s="99"/>
      <c r="X34" s="99"/>
      <c r="Y34" s="99"/>
      <c r="Z34" s="99"/>
      <c r="AA34" s="99"/>
      <c r="AB34" s="99"/>
    </row>
    <row r="35">
      <c r="A35" s="26"/>
      <c r="B35" s="26"/>
      <c r="C35" s="26"/>
      <c r="D35" s="27"/>
      <c r="E35" s="104"/>
      <c r="F35" s="27"/>
      <c r="G35" s="103" t="s">
        <v>280</v>
      </c>
      <c r="H35" s="27"/>
      <c r="I35" s="99"/>
      <c r="J35" s="99"/>
      <c r="K35" s="99"/>
      <c r="L35" s="99"/>
      <c r="M35" s="99"/>
      <c r="N35" s="99"/>
      <c r="O35" s="99"/>
      <c r="P35" s="99"/>
      <c r="Q35" s="99"/>
      <c r="R35" s="99"/>
      <c r="S35" s="99"/>
      <c r="T35" s="99"/>
      <c r="U35" s="99"/>
      <c r="V35" s="99"/>
      <c r="W35" s="99"/>
      <c r="X35" s="99"/>
      <c r="Y35" s="99"/>
      <c r="Z35" s="99"/>
      <c r="AA35" s="99"/>
      <c r="AB35" s="99"/>
    </row>
    <row r="36">
      <c r="A36" s="26"/>
      <c r="B36" s="26"/>
      <c r="C36" s="26"/>
      <c r="D36" s="102" t="s">
        <v>285</v>
      </c>
      <c r="E36" s="105" t="s">
        <v>286</v>
      </c>
      <c r="F36" s="102" t="s">
        <v>287</v>
      </c>
      <c r="G36" s="103" t="s">
        <v>285</v>
      </c>
      <c r="H36" s="101" t="s">
        <v>288</v>
      </c>
      <c r="I36" s="99"/>
      <c r="J36" s="99"/>
      <c r="K36" s="99"/>
      <c r="L36" s="99"/>
      <c r="M36" s="99"/>
      <c r="N36" s="99"/>
      <c r="O36" s="99"/>
      <c r="P36" s="99"/>
      <c r="Q36" s="99"/>
      <c r="R36" s="99"/>
      <c r="S36" s="99"/>
      <c r="T36" s="99"/>
      <c r="U36" s="99"/>
      <c r="V36" s="99"/>
      <c r="W36" s="99"/>
      <c r="X36" s="99"/>
      <c r="Y36" s="99"/>
      <c r="Z36" s="99"/>
      <c r="AA36" s="99"/>
      <c r="AB36" s="99"/>
    </row>
    <row r="37">
      <c r="A37" s="26"/>
      <c r="B37" s="26"/>
      <c r="C37" s="26"/>
      <c r="D37" s="26"/>
      <c r="E37" s="105" t="s">
        <v>289</v>
      </c>
      <c r="F37" s="26"/>
      <c r="G37" s="103" t="s">
        <v>290</v>
      </c>
      <c r="H37" s="26"/>
      <c r="I37" s="99"/>
      <c r="J37" s="99"/>
      <c r="K37" s="99"/>
      <c r="L37" s="99"/>
      <c r="M37" s="99"/>
      <c r="N37" s="99"/>
      <c r="O37" s="99"/>
      <c r="P37" s="99"/>
      <c r="Q37" s="99"/>
      <c r="R37" s="99"/>
      <c r="S37" s="99"/>
      <c r="T37" s="99"/>
      <c r="U37" s="99"/>
      <c r="V37" s="99"/>
      <c r="W37" s="99"/>
      <c r="X37" s="99"/>
      <c r="Y37" s="99"/>
      <c r="Z37" s="99"/>
      <c r="AA37" s="99"/>
      <c r="AB37" s="99"/>
    </row>
    <row r="38">
      <c r="A38" s="26"/>
      <c r="B38" s="26"/>
      <c r="C38" s="26"/>
      <c r="D38" s="26"/>
      <c r="E38" s="105" t="s">
        <v>287</v>
      </c>
      <c r="F38" s="26"/>
      <c r="G38" s="103" t="s">
        <v>291</v>
      </c>
      <c r="H38" s="26"/>
      <c r="I38" s="99"/>
      <c r="J38" s="99"/>
      <c r="K38" s="99"/>
      <c r="L38" s="99"/>
      <c r="M38" s="99"/>
      <c r="N38" s="99"/>
      <c r="O38" s="99"/>
      <c r="P38" s="99"/>
      <c r="Q38" s="99"/>
      <c r="R38" s="99"/>
      <c r="S38" s="99"/>
      <c r="T38" s="99"/>
      <c r="U38" s="99"/>
      <c r="V38" s="99"/>
      <c r="W38" s="99"/>
      <c r="X38" s="99"/>
      <c r="Y38" s="99"/>
      <c r="Z38" s="99"/>
      <c r="AA38" s="99"/>
      <c r="AB38" s="99"/>
    </row>
    <row r="39">
      <c r="A39" s="26"/>
      <c r="B39" s="26"/>
      <c r="C39" s="26"/>
      <c r="D39" s="26"/>
      <c r="E39" s="104"/>
      <c r="F39" s="26"/>
      <c r="G39" s="103" t="s">
        <v>287</v>
      </c>
      <c r="H39" s="26"/>
      <c r="I39" s="99"/>
      <c r="J39" s="99"/>
      <c r="K39" s="99"/>
      <c r="L39" s="99"/>
      <c r="M39" s="99"/>
      <c r="N39" s="99"/>
      <c r="O39" s="99"/>
      <c r="P39" s="99"/>
      <c r="Q39" s="99"/>
      <c r="R39" s="99"/>
      <c r="S39" s="99"/>
      <c r="T39" s="99"/>
      <c r="U39" s="99"/>
      <c r="V39" s="99"/>
      <c r="W39" s="99"/>
      <c r="X39" s="99"/>
      <c r="Y39" s="99"/>
      <c r="Z39" s="99"/>
      <c r="AA39" s="99"/>
      <c r="AB39" s="99"/>
    </row>
    <row r="40">
      <c r="A40" s="26"/>
      <c r="B40" s="26"/>
      <c r="C40" s="26"/>
      <c r="D40" s="26"/>
      <c r="E40" s="104"/>
      <c r="F40" s="26"/>
      <c r="G40" s="103" t="s">
        <v>292</v>
      </c>
      <c r="H40" s="26"/>
      <c r="I40" s="99"/>
      <c r="J40" s="99"/>
      <c r="K40" s="99"/>
      <c r="L40" s="99"/>
      <c r="M40" s="99"/>
      <c r="N40" s="99"/>
      <c r="O40" s="99"/>
      <c r="P40" s="99"/>
      <c r="Q40" s="99"/>
      <c r="R40" s="99"/>
      <c r="S40" s="99"/>
      <c r="T40" s="99"/>
      <c r="U40" s="99"/>
      <c r="V40" s="99"/>
      <c r="W40" s="99"/>
      <c r="X40" s="99"/>
      <c r="Y40" s="99"/>
      <c r="Z40" s="99"/>
      <c r="AA40" s="99"/>
      <c r="AB40" s="99"/>
    </row>
    <row r="41">
      <c r="A41" s="27"/>
      <c r="B41" s="27"/>
      <c r="C41" s="27"/>
      <c r="D41" s="27"/>
      <c r="E41" s="104"/>
      <c r="F41" s="27"/>
      <c r="G41" s="103" t="s">
        <v>293</v>
      </c>
      <c r="H41" s="27"/>
      <c r="I41" s="99"/>
      <c r="J41" s="99"/>
      <c r="K41" s="99"/>
      <c r="L41" s="99"/>
      <c r="M41" s="99"/>
      <c r="N41" s="99"/>
      <c r="O41" s="99"/>
      <c r="P41" s="99"/>
      <c r="Q41" s="99"/>
      <c r="R41" s="99"/>
      <c r="S41" s="99"/>
      <c r="T41" s="99"/>
      <c r="U41" s="99"/>
      <c r="V41" s="99"/>
      <c r="W41" s="99"/>
      <c r="X41" s="99"/>
      <c r="Y41" s="99"/>
      <c r="Z41" s="99"/>
      <c r="AA41" s="99"/>
      <c r="AB41" s="99"/>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row>
    <row r="44">
      <c r="A44" s="106" t="s">
        <v>101</v>
      </c>
      <c r="B44" s="106" t="s">
        <v>228</v>
      </c>
      <c r="C44" s="106" t="s">
        <v>229</v>
      </c>
      <c r="D44" s="106" t="s">
        <v>99</v>
      </c>
      <c r="E44" s="107" t="s">
        <v>100</v>
      </c>
      <c r="F44" s="106" t="s">
        <v>231</v>
      </c>
      <c r="G44" s="106" t="s">
        <v>230</v>
      </c>
      <c r="H44" s="106" t="s">
        <v>234</v>
      </c>
      <c r="I44" s="99"/>
      <c r="J44" s="99"/>
      <c r="K44" s="99"/>
      <c r="L44" s="99"/>
      <c r="M44" s="99"/>
      <c r="N44" s="99"/>
      <c r="O44" s="99"/>
      <c r="P44" s="99"/>
      <c r="Q44" s="99"/>
      <c r="R44" s="99"/>
      <c r="S44" s="99"/>
      <c r="T44" s="99"/>
      <c r="U44" s="99"/>
      <c r="V44" s="99"/>
      <c r="W44" s="99"/>
      <c r="X44" s="99"/>
      <c r="Y44" s="99"/>
      <c r="Z44" s="99"/>
      <c r="AA44" s="99"/>
      <c r="AB44" s="99"/>
    </row>
    <row r="45">
      <c r="A45" s="108" t="s">
        <v>235</v>
      </c>
      <c r="B45" s="108" t="s">
        <v>294</v>
      </c>
      <c r="C45" s="108" t="s">
        <v>295</v>
      </c>
      <c r="D45" s="109" t="s">
        <v>296</v>
      </c>
      <c r="E45" s="110" t="s">
        <v>297</v>
      </c>
      <c r="F45" s="111" t="s">
        <v>298</v>
      </c>
      <c r="G45" s="112" t="s">
        <v>298</v>
      </c>
      <c r="H45" s="112" t="s">
        <v>299</v>
      </c>
      <c r="I45" s="99"/>
      <c r="J45" s="99"/>
      <c r="K45" s="99"/>
      <c r="L45" s="99"/>
      <c r="M45" s="99"/>
      <c r="N45" s="99"/>
      <c r="O45" s="99"/>
      <c r="P45" s="99"/>
      <c r="Q45" s="99"/>
      <c r="R45" s="99"/>
      <c r="S45" s="99"/>
      <c r="T45" s="99"/>
      <c r="U45" s="99"/>
      <c r="V45" s="99"/>
      <c r="W45" s="99"/>
      <c r="X45" s="99"/>
      <c r="Y45" s="99"/>
      <c r="Z45" s="99"/>
      <c r="AA45" s="99"/>
      <c r="AB45" s="99"/>
    </row>
    <row r="46">
      <c r="A46" s="26"/>
      <c r="B46" s="26"/>
      <c r="C46" s="26"/>
      <c r="D46" s="26"/>
      <c r="E46" s="113"/>
      <c r="F46" s="111" t="s">
        <v>300</v>
      </c>
      <c r="G46" s="26"/>
      <c r="H46" s="26"/>
      <c r="I46" s="99"/>
      <c r="J46" s="99"/>
      <c r="K46" s="99"/>
      <c r="L46" s="99"/>
      <c r="M46" s="99"/>
      <c r="N46" s="99"/>
      <c r="O46" s="99"/>
      <c r="P46" s="99"/>
      <c r="Q46" s="99"/>
      <c r="R46" s="99"/>
      <c r="S46" s="99"/>
      <c r="T46" s="99"/>
      <c r="U46" s="99"/>
      <c r="V46" s="99"/>
      <c r="W46" s="99"/>
      <c r="X46" s="99"/>
      <c r="Y46" s="99"/>
      <c r="Z46" s="99"/>
      <c r="AA46" s="99"/>
      <c r="AB46" s="99"/>
    </row>
    <row r="47">
      <c r="A47" s="26"/>
      <c r="B47" s="26"/>
      <c r="C47" s="26"/>
      <c r="D47" s="26"/>
      <c r="E47" s="110" t="s">
        <v>301</v>
      </c>
      <c r="F47" s="111" t="s">
        <v>302</v>
      </c>
      <c r="G47" s="26"/>
      <c r="H47" s="26"/>
      <c r="I47" s="99"/>
      <c r="J47" s="99"/>
      <c r="K47" s="99"/>
      <c r="L47" s="99"/>
      <c r="M47" s="99"/>
      <c r="N47" s="99"/>
      <c r="O47" s="99"/>
      <c r="P47" s="99"/>
      <c r="Q47" s="99"/>
      <c r="R47" s="99"/>
      <c r="S47" s="99"/>
      <c r="T47" s="99"/>
      <c r="U47" s="99"/>
      <c r="V47" s="99"/>
      <c r="W47" s="99"/>
      <c r="X47" s="99"/>
      <c r="Y47" s="99"/>
      <c r="Z47" s="99"/>
      <c r="AA47" s="99"/>
      <c r="AB47" s="99"/>
    </row>
    <row r="48">
      <c r="A48" s="26"/>
      <c r="B48" s="26"/>
      <c r="C48" s="26"/>
      <c r="D48" s="26"/>
      <c r="E48" s="114" t="s">
        <v>303</v>
      </c>
      <c r="F48" s="111" t="s">
        <v>304</v>
      </c>
      <c r="G48" s="26"/>
      <c r="H48" s="26"/>
      <c r="I48" s="99"/>
      <c r="J48" s="99"/>
      <c r="K48" s="99"/>
      <c r="L48" s="99"/>
      <c r="M48" s="99"/>
      <c r="N48" s="99"/>
      <c r="O48" s="99"/>
      <c r="P48" s="99"/>
      <c r="Q48" s="99"/>
      <c r="R48" s="99"/>
      <c r="S48" s="99"/>
      <c r="T48" s="99"/>
      <c r="U48" s="99"/>
      <c r="V48" s="99"/>
      <c r="W48" s="99"/>
      <c r="X48" s="99"/>
      <c r="Y48" s="99"/>
      <c r="Z48" s="99"/>
      <c r="AA48" s="99"/>
      <c r="AB48" s="99"/>
    </row>
    <row r="49">
      <c r="A49" s="26"/>
      <c r="B49" s="26"/>
      <c r="C49" s="26"/>
      <c r="D49" s="26"/>
      <c r="E49" s="115"/>
      <c r="F49" s="111" t="s">
        <v>305</v>
      </c>
      <c r="G49" s="26"/>
      <c r="H49" s="26"/>
      <c r="I49" s="99"/>
      <c r="J49" s="99"/>
      <c r="K49" s="99"/>
      <c r="L49" s="99"/>
      <c r="M49" s="99"/>
      <c r="N49" s="99"/>
      <c r="O49" s="99"/>
      <c r="P49" s="99"/>
      <c r="Q49" s="99"/>
      <c r="R49" s="99"/>
      <c r="S49" s="99"/>
      <c r="T49" s="99"/>
      <c r="U49" s="99"/>
      <c r="V49" s="99"/>
      <c r="W49" s="99"/>
      <c r="X49" s="99"/>
      <c r="Y49" s="99"/>
      <c r="Z49" s="99"/>
      <c r="AA49" s="99"/>
      <c r="AB49" s="99"/>
    </row>
    <row r="50">
      <c r="A50" s="26"/>
      <c r="B50" s="26"/>
      <c r="C50" s="26"/>
      <c r="D50" s="27"/>
      <c r="E50" s="115"/>
      <c r="F50" s="111" t="s">
        <v>306</v>
      </c>
      <c r="G50" s="27"/>
      <c r="H50" s="26"/>
      <c r="I50" s="99"/>
      <c r="J50" s="99"/>
      <c r="K50" s="99"/>
      <c r="L50" s="99"/>
      <c r="M50" s="99"/>
      <c r="N50" s="99"/>
      <c r="O50" s="99"/>
      <c r="P50" s="99"/>
      <c r="Q50" s="99"/>
      <c r="R50" s="99"/>
      <c r="S50" s="99"/>
      <c r="T50" s="99"/>
      <c r="U50" s="99"/>
      <c r="V50" s="99"/>
      <c r="W50" s="99"/>
      <c r="X50" s="99"/>
      <c r="Y50" s="99"/>
      <c r="Z50" s="99"/>
      <c r="AA50" s="99"/>
      <c r="AB50" s="99"/>
    </row>
    <row r="51">
      <c r="A51" s="26"/>
      <c r="B51" s="26"/>
      <c r="C51" s="26"/>
      <c r="D51" s="109" t="s">
        <v>307</v>
      </c>
      <c r="E51" s="110" t="s">
        <v>308</v>
      </c>
      <c r="F51" s="111" t="s">
        <v>309</v>
      </c>
      <c r="G51" s="116" t="s">
        <v>309</v>
      </c>
      <c r="H51" s="26"/>
      <c r="I51" s="99"/>
      <c r="J51" s="99"/>
      <c r="K51" s="99"/>
      <c r="L51" s="99"/>
      <c r="M51" s="99"/>
      <c r="N51" s="99"/>
      <c r="O51" s="99"/>
      <c r="P51" s="99"/>
      <c r="Q51" s="99"/>
      <c r="R51" s="99"/>
      <c r="S51" s="99"/>
      <c r="T51" s="99"/>
      <c r="U51" s="99"/>
      <c r="V51" s="99"/>
      <c r="W51" s="99"/>
      <c r="X51" s="99"/>
      <c r="Y51" s="99"/>
      <c r="Z51" s="99"/>
      <c r="AA51" s="99"/>
      <c r="AB51" s="99"/>
    </row>
    <row r="52">
      <c r="A52" s="26"/>
      <c r="B52" s="26"/>
      <c r="C52" s="26"/>
      <c r="D52" s="26"/>
      <c r="E52" s="113"/>
      <c r="F52" s="111" t="s">
        <v>310</v>
      </c>
      <c r="G52" s="26"/>
      <c r="H52" s="26"/>
      <c r="I52" s="99"/>
      <c r="J52" s="99"/>
      <c r="K52" s="99"/>
      <c r="L52" s="99"/>
      <c r="M52" s="99"/>
      <c r="N52" s="99"/>
      <c r="O52" s="99"/>
      <c r="P52" s="99"/>
      <c r="Q52" s="99"/>
      <c r="R52" s="99"/>
      <c r="S52" s="99"/>
      <c r="T52" s="99"/>
      <c r="U52" s="99"/>
      <c r="V52" s="99"/>
      <c r="W52" s="99"/>
      <c r="X52" s="99"/>
      <c r="Y52" s="99"/>
      <c r="Z52" s="99"/>
      <c r="AA52" s="99"/>
      <c r="AB52" s="99"/>
    </row>
    <row r="53">
      <c r="A53" s="26"/>
      <c r="B53" s="26"/>
      <c r="C53" s="26"/>
      <c r="D53" s="26"/>
      <c r="E53" s="113"/>
      <c r="F53" s="111" t="s">
        <v>311</v>
      </c>
      <c r="G53" s="26"/>
      <c r="H53" s="26"/>
      <c r="I53" s="99"/>
      <c r="J53" s="99"/>
      <c r="K53" s="99"/>
      <c r="L53" s="99"/>
      <c r="M53" s="99"/>
      <c r="N53" s="99"/>
      <c r="O53" s="99"/>
      <c r="P53" s="99"/>
      <c r="Q53" s="99"/>
      <c r="R53" s="99"/>
      <c r="S53" s="99"/>
      <c r="T53" s="99"/>
      <c r="U53" s="99"/>
      <c r="V53" s="99"/>
      <c r="W53" s="99"/>
      <c r="X53" s="99"/>
      <c r="Y53" s="99"/>
      <c r="Z53" s="99"/>
      <c r="AA53" s="99"/>
      <c r="AB53" s="99"/>
    </row>
    <row r="54">
      <c r="A54" s="26"/>
      <c r="B54" s="26"/>
      <c r="C54" s="26"/>
      <c r="D54" s="26"/>
      <c r="E54" s="110" t="s">
        <v>312</v>
      </c>
      <c r="F54" s="111" t="s">
        <v>313</v>
      </c>
      <c r="G54" s="26"/>
      <c r="H54" s="26"/>
      <c r="I54" s="99"/>
      <c r="J54" s="99"/>
      <c r="K54" s="99"/>
      <c r="L54" s="99"/>
      <c r="M54" s="99"/>
      <c r="N54" s="99"/>
      <c r="O54" s="99"/>
      <c r="P54" s="99"/>
      <c r="Q54" s="99"/>
      <c r="R54" s="99"/>
      <c r="S54" s="99"/>
      <c r="T54" s="99"/>
      <c r="U54" s="99"/>
      <c r="V54" s="99"/>
      <c r="W54" s="99"/>
      <c r="X54" s="99"/>
      <c r="Y54" s="99"/>
      <c r="Z54" s="99"/>
      <c r="AA54" s="99"/>
      <c r="AB54" s="99"/>
    </row>
    <row r="55">
      <c r="A55" s="26"/>
      <c r="B55" s="26"/>
      <c r="C55" s="26"/>
      <c r="D55" s="26"/>
      <c r="E55" s="113"/>
      <c r="F55" s="111" t="s">
        <v>314</v>
      </c>
      <c r="G55" s="26"/>
      <c r="H55" s="26"/>
      <c r="I55" s="99"/>
      <c r="J55" s="99"/>
      <c r="K55" s="99"/>
      <c r="L55" s="99"/>
      <c r="M55" s="99"/>
      <c r="N55" s="99"/>
      <c r="O55" s="99"/>
      <c r="P55" s="99"/>
      <c r="Q55" s="99"/>
      <c r="R55" s="99"/>
      <c r="S55" s="99"/>
      <c r="T55" s="99"/>
      <c r="U55" s="99"/>
      <c r="V55" s="99"/>
      <c r="W55" s="99"/>
      <c r="X55" s="99"/>
      <c r="Y55" s="99"/>
      <c r="Z55" s="99"/>
      <c r="AA55" s="99"/>
      <c r="AB55" s="99"/>
    </row>
    <row r="56">
      <c r="A56" s="26"/>
      <c r="B56" s="26"/>
      <c r="C56" s="26"/>
      <c r="D56" s="27"/>
      <c r="E56" s="113"/>
      <c r="F56" s="111" t="s">
        <v>315</v>
      </c>
      <c r="G56" s="27"/>
      <c r="H56" s="27"/>
      <c r="I56" s="99"/>
      <c r="J56" s="99"/>
      <c r="K56" s="99"/>
      <c r="L56" s="99"/>
      <c r="M56" s="99"/>
      <c r="N56" s="99"/>
      <c r="O56" s="99"/>
      <c r="P56" s="99"/>
      <c r="Q56" s="99"/>
      <c r="R56" s="99"/>
      <c r="S56" s="99"/>
      <c r="T56" s="99"/>
      <c r="U56" s="99"/>
      <c r="V56" s="99"/>
      <c r="W56" s="99"/>
      <c r="X56" s="99"/>
      <c r="Y56" s="99"/>
      <c r="Z56" s="99"/>
      <c r="AA56" s="99"/>
      <c r="AB56" s="99"/>
    </row>
    <row r="57">
      <c r="A57" s="26"/>
      <c r="B57" s="26"/>
      <c r="C57" s="26"/>
      <c r="D57" s="117" t="s">
        <v>316</v>
      </c>
      <c r="E57" s="110" t="s">
        <v>317</v>
      </c>
      <c r="F57" s="111" t="s">
        <v>318</v>
      </c>
      <c r="G57" s="116" t="s">
        <v>318</v>
      </c>
      <c r="H57" s="112" t="s">
        <v>319</v>
      </c>
      <c r="I57" s="99"/>
      <c r="J57" s="99"/>
      <c r="K57" s="99"/>
      <c r="L57" s="99"/>
      <c r="M57" s="99"/>
      <c r="N57" s="99"/>
      <c r="O57" s="99"/>
      <c r="P57" s="99"/>
      <c r="Q57" s="99"/>
      <c r="R57" s="99"/>
      <c r="S57" s="99"/>
      <c r="T57" s="99"/>
      <c r="U57" s="99"/>
      <c r="V57" s="99"/>
      <c r="W57" s="99"/>
      <c r="X57" s="99"/>
      <c r="Y57" s="99"/>
      <c r="Z57" s="99"/>
      <c r="AA57" s="99"/>
      <c r="AB57" s="99"/>
    </row>
    <row r="58">
      <c r="A58" s="26"/>
      <c r="B58" s="26"/>
      <c r="C58" s="26"/>
      <c r="D58" s="26"/>
      <c r="E58" s="113"/>
      <c r="F58" s="111" t="s">
        <v>320</v>
      </c>
      <c r="G58" s="26"/>
      <c r="H58" s="26"/>
      <c r="I58" s="99"/>
      <c r="J58" s="99"/>
      <c r="K58" s="99"/>
      <c r="L58" s="99"/>
      <c r="M58" s="99"/>
      <c r="N58" s="99"/>
      <c r="O58" s="99"/>
      <c r="P58" s="99"/>
      <c r="Q58" s="99"/>
      <c r="R58" s="99"/>
      <c r="S58" s="99"/>
      <c r="T58" s="99"/>
      <c r="U58" s="99"/>
      <c r="V58" s="99"/>
      <c r="W58" s="99"/>
      <c r="X58" s="99"/>
      <c r="Y58" s="99"/>
      <c r="Z58" s="99"/>
      <c r="AA58" s="99"/>
      <c r="AB58" s="99"/>
    </row>
    <row r="59">
      <c r="A59" s="26"/>
      <c r="B59" s="26"/>
      <c r="C59" s="26"/>
      <c r="D59" s="26"/>
      <c r="E59" s="110" t="s">
        <v>321</v>
      </c>
      <c r="F59" s="111" t="s">
        <v>322</v>
      </c>
      <c r="G59" s="26"/>
      <c r="H59" s="26"/>
      <c r="I59" s="99"/>
      <c r="J59" s="99"/>
      <c r="K59" s="99"/>
      <c r="L59" s="99"/>
      <c r="M59" s="99"/>
      <c r="N59" s="99"/>
      <c r="O59" s="99"/>
      <c r="P59" s="99"/>
      <c r="Q59" s="99"/>
      <c r="R59" s="99"/>
      <c r="S59" s="99"/>
      <c r="T59" s="99"/>
      <c r="U59" s="99"/>
      <c r="V59" s="99"/>
      <c r="W59" s="99"/>
      <c r="X59" s="99"/>
      <c r="Y59" s="99"/>
      <c r="Z59" s="99"/>
      <c r="AA59" s="99"/>
      <c r="AB59" s="99"/>
    </row>
    <row r="60">
      <c r="A60" s="26"/>
      <c r="B60" s="26"/>
      <c r="C60" s="26"/>
      <c r="D60" s="26"/>
      <c r="E60" s="113"/>
      <c r="F60" s="111" t="s">
        <v>323</v>
      </c>
      <c r="G60" s="27"/>
      <c r="H60" s="26"/>
      <c r="I60" s="99"/>
      <c r="J60" s="99"/>
      <c r="K60" s="99"/>
      <c r="L60" s="99"/>
      <c r="M60" s="99"/>
      <c r="N60" s="99"/>
      <c r="O60" s="99"/>
      <c r="P60" s="99"/>
      <c r="Q60" s="99"/>
      <c r="R60" s="99"/>
      <c r="S60" s="99"/>
      <c r="T60" s="99"/>
      <c r="U60" s="99"/>
      <c r="V60" s="99"/>
      <c r="W60" s="99"/>
      <c r="X60" s="99"/>
      <c r="Y60" s="99"/>
      <c r="Z60" s="99"/>
      <c r="AA60" s="99"/>
      <c r="AB60" s="99"/>
    </row>
    <row r="61">
      <c r="A61" s="26"/>
      <c r="B61" s="26"/>
      <c r="C61" s="26"/>
      <c r="D61" s="109" t="s">
        <v>307</v>
      </c>
      <c r="E61" s="118" t="s">
        <v>324</v>
      </c>
      <c r="F61" s="111" t="s">
        <v>325</v>
      </c>
      <c r="G61" s="116" t="s">
        <v>325</v>
      </c>
      <c r="H61" s="26"/>
      <c r="I61" s="99"/>
      <c r="J61" s="99"/>
      <c r="K61" s="99"/>
      <c r="L61" s="99"/>
      <c r="M61" s="99"/>
      <c r="N61" s="99"/>
      <c r="O61" s="99"/>
      <c r="P61" s="99"/>
      <c r="Q61" s="99"/>
      <c r="R61" s="99"/>
      <c r="S61" s="99"/>
      <c r="T61" s="99"/>
      <c r="U61" s="99"/>
      <c r="V61" s="99"/>
      <c r="W61" s="99"/>
      <c r="X61" s="99"/>
      <c r="Y61" s="99"/>
      <c r="Z61" s="99"/>
      <c r="AA61" s="99"/>
      <c r="AB61" s="99"/>
    </row>
    <row r="62">
      <c r="A62" s="26"/>
      <c r="B62" s="26"/>
      <c r="C62" s="26"/>
      <c r="D62" s="26"/>
      <c r="E62" s="113"/>
      <c r="F62" s="111" t="s">
        <v>326</v>
      </c>
      <c r="G62" s="26"/>
      <c r="H62" s="26"/>
      <c r="I62" s="99"/>
      <c r="J62" s="99"/>
      <c r="K62" s="99"/>
      <c r="L62" s="99"/>
      <c r="M62" s="99"/>
      <c r="N62" s="99"/>
      <c r="O62" s="99"/>
      <c r="P62" s="99"/>
      <c r="Q62" s="99"/>
      <c r="R62" s="99"/>
      <c r="S62" s="99"/>
      <c r="T62" s="99"/>
      <c r="U62" s="99"/>
      <c r="V62" s="99"/>
      <c r="W62" s="99"/>
      <c r="X62" s="99"/>
      <c r="Y62" s="99"/>
      <c r="Z62" s="99"/>
      <c r="AA62" s="99"/>
      <c r="AB62" s="99"/>
    </row>
    <row r="63">
      <c r="A63" s="26"/>
      <c r="B63" s="26"/>
      <c r="C63" s="26"/>
      <c r="D63" s="26"/>
      <c r="E63" s="118" t="s">
        <v>327</v>
      </c>
      <c r="F63" s="111" t="s">
        <v>328</v>
      </c>
      <c r="G63" s="26"/>
      <c r="H63" s="26"/>
      <c r="I63" s="99"/>
      <c r="J63" s="99"/>
      <c r="K63" s="99"/>
      <c r="L63" s="99"/>
      <c r="M63" s="99"/>
      <c r="N63" s="99"/>
      <c r="O63" s="99"/>
      <c r="P63" s="99"/>
      <c r="Q63" s="99"/>
      <c r="R63" s="99"/>
      <c r="S63" s="99"/>
      <c r="T63" s="99"/>
      <c r="U63" s="99"/>
      <c r="V63" s="99"/>
      <c r="W63" s="99"/>
      <c r="X63" s="99"/>
      <c r="Y63" s="99"/>
      <c r="Z63" s="99"/>
      <c r="AA63" s="99"/>
      <c r="AB63" s="99"/>
    </row>
    <row r="64">
      <c r="A64" s="26"/>
      <c r="B64" s="26"/>
      <c r="C64" s="26"/>
      <c r="D64" s="26"/>
      <c r="E64" s="113"/>
      <c r="F64" s="111" t="s">
        <v>323</v>
      </c>
      <c r="G64" s="26"/>
      <c r="H64" s="26"/>
      <c r="I64" s="99"/>
      <c r="J64" s="99"/>
      <c r="K64" s="99"/>
      <c r="L64" s="99"/>
      <c r="M64" s="99"/>
      <c r="N64" s="99"/>
      <c r="O64" s="99"/>
      <c r="P64" s="99"/>
      <c r="Q64" s="99"/>
      <c r="R64" s="99"/>
      <c r="S64" s="99"/>
      <c r="T64" s="99"/>
      <c r="U64" s="99"/>
      <c r="V64" s="99"/>
      <c r="W64" s="99"/>
      <c r="X64" s="99"/>
      <c r="Y64" s="99"/>
      <c r="Z64" s="99"/>
      <c r="AA64" s="99"/>
      <c r="AB64" s="99"/>
    </row>
    <row r="65">
      <c r="A65" s="26"/>
      <c r="B65" s="26"/>
      <c r="C65" s="26"/>
      <c r="D65" s="27"/>
      <c r="E65" s="113"/>
      <c r="F65" s="111" t="s">
        <v>329</v>
      </c>
      <c r="G65" s="27"/>
      <c r="H65" s="27"/>
      <c r="I65" s="99"/>
      <c r="J65" s="99"/>
      <c r="K65" s="99"/>
      <c r="L65" s="99"/>
      <c r="M65" s="99"/>
      <c r="N65" s="99"/>
      <c r="O65" s="99"/>
      <c r="P65" s="99"/>
      <c r="Q65" s="99"/>
      <c r="R65" s="99"/>
      <c r="S65" s="99"/>
      <c r="T65" s="99"/>
      <c r="U65" s="99"/>
      <c r="V65" s="99"/>
      <c r="W65" s="99"/>
      <c r="X65" s="99"/>
      <c r="Y65" s="99"/>
      <c r="Z65" s="99"/>
      <c r="AA65" s="99"/>
      <c r="AB65" s="99"/>
    </row>
    <row r="66">
      <c r="A66" s="26"/>
      <c r="B66" s="26"/>
      <c r="C66" s="26"/>
      <c r="D66" s="109" t="s">
        <v>330</v>
      </c>
      <c r="E66" s="110" t="s">
        <v>331</v>
      </c>
      <c r="F66" s="111" t="s">
        <v>332</v>
      </c>
      <c r="G66" s="116" t="s">
        <v>332</v>
      </c>
      <c r="H66" s="112" t="s">
        <v>333</v>
      </c>
      <c r="I66" s="99"/>
      <c r="J66" s="99"/>
      <c r="K66" s="99"/>
      <c r="L66" s="99"/>
      <c r="M66" s="99"/>
      <c r="N66" s="99"/>
      <c r="O66" s="99"/>
      <c r="P66" s="99"/>
      <c r="Q66" s="99"/>
      <c r="R66" s="99"/>
      <c r="S66" s="99"/>
      <c r="T66" s="99"/>
      <c r="U66" s="99"/>
      <c r="V66" s="99"/>
      <c r="W66" s="99"/>
      <c r="X66" s="99"/>
      <c r="Y66" s="99"/>
      <c r="Z66" s="99"/>
      <c r="AA66" s="99"/>
      <c r="AB66" s="99"/>
    </row>
    <row r="67">
      <c r="A67" s="26"/>
      <c r="B67" s="26"/>
      <c r="C67" s="26"/>
      <c r="D67" s="26"/>
      <c r="E67" s="110" t="s">
        <v>334</v>
      </c>
      <c r="F67" s="111" t="s">
        <v>335</v>
      </c>
      <c r="G67" s="26"/>
      <c r="H67" s="26"/>
      <c r="I67" s="99"/>
      <c r="J67" s="99"/>
      <c r="K67" s="99"/>
      <c r="L67" s="99"/>
      <c r="M67" s="99"/>
      <c r="N67" s="99"/>
      <c r="O67" s="99"/>
      <c r="P67" s="99"/>
      <c r="Q67" s="99"/>
      <c r="R67" s="99"/>
      <c r="S67" s="99"/>
      <c r="T67" s="99"/>
      <c r="U67" s="99"/>
      <c r="V67" s="99"/>
      <c r="W67" s="99"/>
      <c r="X67" s="99"/>
      <c r="Y67" s="99"/>
      <c r="Z67" s="99"/>
      <c r="AA67" s="99"/>
      <c r="AB67" s="99"/>
    </row>
    <row r="68">
      <c r="A68" s="26"/>
      <c r="B68" s="26"/>
      <c r="C68" s="26"/>
      <c r="D68" s="26"/>
      <c r="E68" s="110" t="s">
        <v>336</v>
      </c>
      <c r="F68" s="111" t="s">
        <v>337</v>
      </c>
      <c r="G68" s="26"/>
      <c r="H68" s="26"/>
      <c r="I68" s="99"/>
      <c r="J68" s="99"/>
      <c r="K68" s="99"/>
      <c r="L68" s="99"/>
      <c r="M68" s="99"/>
      <c r="N68" s="99"/>
      <c r="O68" s="99"/>
      <c r="P68" s="99"/>
      <c r="Q68" s="99"/>
      <c r="R68" s="99"/>
      <c r="S68" s="99"/>
      <c r="T68" s="99"/>
      <c r="U68" s="99"/>
      <c r="V68" s="99"/>
      <c r="W68" s="99"/>
      <c r="X68" s="99"/>
      <c r="Y68" s="99"/>
      <c r="Z68" s="99"/>
      <c r="AA68" s="99"/>
      <c r="AB68" s="99"/>
    </row>
    <row r="69">
      <c r="A69" s="26"/>
      <c r="B69" s="26"/>
      <c r="C69" s="26"/>
      <c r="D69" s="26"/>
      <c r="E69" s="113"/>
      <c r="F69" s="111" t="s">
        <v>338</v>
      </c>
      <c r="G69" s="26"/>
      <c r="H69" s="26"/>
      <c r="I69" s="99"/>
      <c r="J69" s="99"/>
      <c r="K69" s="99"/>
      <c r="L69" s="99"/>
      <c r="M69" s="99"/>
      <c r="N69" s="99"/>
      <c r="O69" s="99"/>
      <c r="P69" s="99"/>
      <c r="Q69" s="99"/>
      <c r="R69" s="99"/>
      <c r="S69" s="99"/>
      <c r="T69" s="99"/>
      <c r="U69" s="99"/>
      <c r="V69" s="99"/>
      <c r="W69" s="99"/>
      <c r="X69" s="99"/>
      <c r="Y69" s="99"/>
      <c r="Z69" s="99"/>
      <c r="AA69" s="99"/>
      <c r="AB69" s="99"/>
    </row>
    <row r="70">
      <c r="A70" s="26"/>
      <c r="B70" s="26"/>
      <c r="C70" s="26"/>
      <c r="D70" s="26"/>
      <c r="E70" s="110" t="s">
        <v>339</v>
      </c>
      <c r="F70" s="111" t="s">
        <v>340</v>
      </c>
      <c r="G70" s="26"/>
      <c r="H70" s="26"/>
      <c r="I70" s="99"/>
      <c r="J70" s="99"/>
      <c r="K70" s="99"/>
      <c r="L70" s="99"/>
      <c r="M70" s="99"/>
      <c r="N70" s="99"/>
      <c r="O70" s="99"/>
      <c r="P70" s="99"/>
      <c r="Q70" s="99"/>
      <c r="R70" s="99"/>
      <c r="S70" s="99"/>
      <c r="T70" s="99"/>
      <c r="U70" s="99"/>
      <c r="V70" s="99"/>
      <c r="W70" s="99"/>
      <c r="X70" s="99"/>
      <c r="Y70" s="99"/>
      <c r="Z70" s="99"/>
      <c r="AA70" s="99"/>
      <c r="AB70" s="99"/>
    </row>
    <row r="71">
      <c r="A71" s="26"/>
      <c r="B71" s="26"/>
      <c r="C71" s="26"/>
      <c r="D71" s="26"/>
      <c r="E71" s="113"/>
      <c r="F71" s="111" t="s">
        <v>341</v>
      </c>
      <c r="G71" s="26"/>
      <c r="H71" s="26"/>
      <c r="I71" s="99"/>
      <c r="J71" s="99"/>
      <c r="K71" s="99"/>
      <c r="L71" s="99"/>
      <c r="M71" s="99"/>
      <c r="N71" s="99"/>
      <c r="O71" s="99"/>
      <c r="P71" s="99"/>
      <c r="Q71" s="99"/>
      <c r="R71" s="99"/>
      <c r="S71" s="99"/>
      <c r="T71" s="99"/>
      <c r="U71" s="99"/>
      <c r="V71" s="99"/>
      <c r="W71" s="99"/>
      <c r="X71" s="99"/>
      <c r="Y71" s="99"/>
      <c r="Z71" s="99"/>
      <c r="AA71" s="99"/>
      <c r="AB71" s="99"/>
    </row>
    <row r="72">
      <c r="A72" s="26"/>
      <c r="B72" s="26"/>
      <c r="C72" s="26"/>
      <c r="D72" s="27"/>
      <c r="E72" s="113"/>
      <c r="F72" s="111" t="s">
        <v>342</v>
      </c>
      <c r="G72" s="27"/>
      <c r="H72" s="26"/>
      <c r="I72" s="99"/>
      <c r="J72" s="99"/>
      <c r="K72" s="99"/>
      <c r="L72" s="99"/>
      <c r="M72" s="99"/>
      <c r="N72" s="99"/>
      <c r="O72" s="99"/>
      <c r="P72" s="99"/>
      <c r="Q72" s="99"/>
      <c r="R72" s="99"/>
      <c r="S72" s="99"/>
      <c r="T72" s="99"/>
      <c r="U72" s="99"/>
      <c r="V72" s="99"/>
      <c r="W72" s="99"/>
      <c r="X72" s="99"/>
      <c r="Y72" s="99"/>
      <c r="Z72" s="99"/>
      <c r="AA72" s="99"/>
      <c r="AB72" s="99"/>
    </row>
    <row r="73">
      <c r="A73" s="26"/>
      <c r="B73" s="26"/>
      <c r="C73" s="26"/>
      <c r="D73" s="109" t="s">
        <v>307</v>
      </c>
      <c r="E73" s="118" t="s">
        <v>343</v>
      </c>
      <c r="F73" s="111" t="s">
        <v>272</v>
      </c>
      <c r="G73" s="116" t="s">
        <v>344</v>
      </c>
      <c r="H73" s="26"/>
      <c r="I73" s="99"/>
      <c r="J73" s="99"/>
      <c r="K73" s="99"/>
      <c r="L73" s="99"/>
      <c r="M73" s="99"/>
      <c r="N73" s="99"/>
      <c r="O73" s="99"/>
      <c r="P73" s="99"/>
      <c r="Q73" s="99"/>
      <c r="R73" s="99"/>
      <c r="S73" s="99"/>
      <c r="T73" s="99"/>
      <c r="U73" s="99"/>
      <c r="V73" s="99"/>
      <c r="W73" s="99"/>
      <c r="X73" s="99"/>
      <c r="Y73" s="99"/>
      <c r="Z73" s="99"/>
      <c r="AA73" s="99"/>
      <c r="AB73" s="99"/>
    </row>
    <row r="74">
      <c r="A74" s="26"/>
      <c r="B74" s="26"/>
      <c r="C74" s="26"/>
      <c r="D74" s="26"/>
      <c r="E74" s="119"/>
      <c r="F74" s="111" t="s">
        <v>345</v>
      </c>
      <c r="G74" s="26"/>
      <c r="H74" s="26"/>
      <c r="I74" s="99"/>
      <c r="J74" s="99"/>
      <c r="K74" s="99"/>
      <c r="L74" s="99"/>
      <c r="M74" s="99"/>
      <c r="N74" s="99"/>
      <c r="O74" s="99"/>
      <c r="P74" s="99"/>
      <c r="Q74" s="99"/>
      <c r="R74" s="99"/>
      <c r="S74" s="99"/>
      <c r="T74" s="99"/>
      <c r="U74" s="99"/>
      <c r="V74" s="99"/>
      <c r="W74" s="99"/>
      <c r="X74" s="99"/>
      <c r="Y74" s="99"/>
      <c r="Z74" s="99"/>
      <c r="AA74" s="99"/>
      <c r="AB74" s="99"/>
    </row>
    <row r="75">
      <c r="A75" s="26"/>
      <c r="B75" s="26"/>
      <c r="C75" s="26"/>
      <c r="D75" s="26"/>
      <c r="E75" s="119"/>
      <c r="F75" s="111" t="s">
        <v>346</v>
      </c>
      <c r="G75" s="26"/>
      <c r="H75" s="26"/>
      <c r="I75" s="99"/>
      <c r="J75" s="99"/>
      <c r="K75" s="99"/>
      <c r="L75" s="99"/>
      <c r="M75" s="99"/>
      <c r="N75" s="99"/>
      <c r="O75" s="99"/>
      <c r="P75" s="99"/>
      <c r="Q75" s="99"/>
      <c r="R75" s="99"/>
      <c r="S75" s="99"/>
      <c r="T75" s="99"/>
      <c r="U75" s="99"/>
      <c r="V75" s="99"/>
      <c r="W75" s="99"/>
      <c r="X75" s="99"/>
      <c r="Y75" s="99"/>
      <c r="Z75" s="99"/>
      <c r="AA75" s="99"/>
      <c r="AB75" s="99"/>
    </row>
    <row r="76">
      <c r="A76" s="26"/>
      <c r="B76" s="26"/>
      <c r="C76" s="26"/>
      <c r="D76" s="26"/>
      <c r="E76" s="113"/>
      <c r="F76" s="111" t="s">
        <v>347</v>
      </c>
      <c r="G76" s="26"/>
      <c r="H76" s="26"/>
      <c r="I76" s="99"/>
      <c r="J76" s="99"/>
      <c r="K76" s="99"/>
      <c r="L76" s="99"/>
      <c r="M76" s="99"/>
      <c r="N76" s="99"/>
      <c r="O76" s="99"/>
      <c r="P76" s="99"/>
      <c r="Q76" s="99"/>
      <c r="R76" s="99"/>
      <c r="S76" s="99"/>
      <c r="T76" s="99"/>
      <c r="U76" s="99"/>
      <c r="V76" s="99"/>
      <c r="W76" s="99"/>
      <c r="X76" s="99"/>
      <c r="Y76" s="99"/>
      <c r="Z76" s="99"/>
      <c r="AA76" s="99"/>
      <c r="AB76" s="99"/>
    </row>
    <row r="77">
      <c r="A77" s="26"/>
      <c r="B77" s="26"/>
      <c r="C77" s="26"/>
      <c r="D77" s="26"/>
      <c r="E77" s="110" t="s">
        <v>348</v>
      </c>
      <c r="F77" s="111" t="s">
        <v>349</v>
      </c>
      <c r="G77" s="26"/>
      <c r="H77" s="26"/>
      <c r="I77" s="99"/>
      <c r="J77" s="99"/>
      <c r="K77" s="99"/>
      <c r="L77" s="99"/>
      <c r="M77" s="99"/>
      <c r="N77" s="99"/>
      <c r="O77" s="99"/>
      <c r="P77" s="99"/>
      <c r="Q77" s="99"/>
      <c r="R77" s="99"/>
      <c r="S77" s="99"/>
      <c r="T77" s="99"/>
      <c r="U77" s="99"/>
      <c r="V77" s="99"/>
      <c r="W77" s="99"/>
      <c r="X77" s="99"/>
      <c r="Y77" s="99"/>
      <c r="Z77" s="99"/>
      <c r="AA77" s="99"/>
      <c r="AB77" s="99"/>
    </row>
    <row r="78">
      <c r="A78" s="26"/>
      <c r="B78" s="26"/>
      <c r="C78" s="26"/>
      <c r="D78" s="26"/>
      <c r="E78" s="113"/>
      <c r="F78" s="111" t="s">
        <v>350</v>
      </c>
      <c r="G78" s="26"/>
      <c r="H78" s="26"/>
      <c r="I78" s="99"/>
      <c r="J78" s="99"/>
      <c r="K78" s="99"/>
      <c r="L78" s="99"/>
      <c r="M78" s="99"/>
      <c r="N78" s="99"/>
      <c r="O78" s="99"/>
      <c r="P78" s="99"/>
      <c r="Q78" s="99"/>
      <c r="R78" s="99"/>
      <c r="S78" s="99"/>
      <c r="T78" s="99"/>
      <c r="U78" s="99"/>
      <c r="V78" s="99"/>
      <c r="W78" s="99"/>
      <c r="X78" s="99"/>
      <c r="Y78" s="99"/>
      <c r="Z78" s="99"/>
      <c r="AA78" s="99"/>
      <c r="AB78" s="99"/>
    </row>
    <row r="79">
      <c r="A79" s="26"/>
      <c r="B79" s="26"/>
      <c r="C79" s="26"/>
      <c r="D79" s="26"/>
      <c r="E79" s="113"/>
      <c r="F79" s="111" t="s">
        <v>351</v>
      </c>
      <c r="G79" s="26"/>
      <c r="H79" s="26"/>
      <c r="I79" s="99"/>
      <c r="J79" s="99"/>
      <c r="K79" s="99"/>
      <c r="L79" s="99"/>
      <c r="M79" s="99"/>
      <c r="N79" s="99"/>
      <c r="O79" s="99"/>
      <c r="P79" s="99"/>
      <c r="Q79" s="99"/>
      <c r="R79" s="99"/>
      <c r="S79" s="99"/>
      <c r="T79" s="99"/>
      <c r="U79" s="99"/>
      <c r="V79" s="99"/>
      <c r="W79" s="99"/>
      <c r="X79" s="99"/>
      <c r="Y79" s="99"/>
      <c r="Z79" s="99"/>
      <c r="AA79" s="99"/>
      <c r="AB79" s="99"/>
    </row>
    <row r="80">
      <c r="A80" s="26"/>
      <c r="B80" s="26"/>
      <c r="C80" s="26"/>
      <c r="D80" s="26"/>
      <c r="E80" s="113"/>
      <c r="F80" s="111" t="s">
        <v>352</v>
      </c>
      <c r="G80" s="26"/>
      <c r="H80" s="26"/>
      <c r="I80" s="99"/>
      <c r="J80" s="99"/>
      <c r="K80" s="99"/>
      <c r="L80" s="99"/>
      <c r="M80" s="99"/>
      <c r="N80" s="99"/>
      <c r="O80" s="99"/>
      <c r="P80" s="99"/>
      <c r="Q80" s="99"/>
      <c r="R80" s="99"/>
      <c r="S80" s="99"/>
      <c r="T80" s="99"/>
      <c r="U80" s="99"/>
      <c r="V80" s="99"/>
      <c r="W80" s="99"/>
      <c r="X80" s="99"/>
      <c r="Y80" s="99"/>
      <c r="Z80" s="99"/>
      <c r="AA80" s="99"/>
      <c r="AB80" s="99"/>
    </row>
    <row r="81">
      <c r="A81" s="26"/>
      <c r="B81" s="26"/>
      <c r="C81" s="26"/>
      <c r="D81" s="26"/>
      <c r="E81" s="113"/>
      <c r="F81" s="111" t="s">
        <v>326</v>
      </c>
      <c r="G81" s="26"/>
      <c r="H81" s="26"/>
      <c r="I81" s="99"/>
      <c r="J81" s="99"/>
      <c r="K81" s="99"/>
      <c r="L81" s="99"/>
      <c r="M81" s="99"/>
      <c r="N81" s="99"/>
      <c r="O81" s="99"/>
      <c r="P81" s="99"/>
      <c r="Q81" s="99"/>
      <c r="R81" s="99"/>
      <c r="S81" s="99"/>
      <c r="T81" s="99"/>
      <c r="U81" s="99"/>
      <c r="V81" s="99"/>
      <c r="W81" s="99"/>
      <c r="X81" s="99"/>
      <c r="Y81" s="99"/>
      <c r="Z81" s="99"/>
      <c r="AA81" s="99"/>
      <c r="AB81" s="99"/>
    </row>
    <row r="82">
      <c r="A82" s="26"/>
      <c r="B82" s="26"/>
      <c r="C82" s="26"/>
      <c r="D82" s="26"/>
      <c r="E82" s="110" t="s">
        <v>353</v>
      </c>
      <c r="F82" s="111" t="s">
        <v>354</v>
      </c>
      <c r="G82" s="26"/>
      <c r="H82" s="26"/>
      <c r="I82" s="99"/>
      <c r="J82" s="99"/>
      <c r="K82" s="99"/>
      <c r="L82" s="99"/>
      <c r="M82" s="99"/>
      <c r="N82" s="99"/>
      <c r="O82" s="99"/>
      <c r="P82" s="99"/>
      <c r="Q82" s="99"/>
      <c r="R82" s="99"/>
      <c r="S82" s="99"/>
      <c r="T82" s="99"/>
      <c r="U82" s="99"/>
      <c r="V82" s="99"/>
      <c r="W82" s="99"/>
      <c r="X82" s="99"/>
      <c r="Y82" s="99"/>
      <c r="Z82" s="99"/>
      <c r="AA82" s="99"/>
      <c r="AB82" s="99"/>
    </row>
    <row r="83">
      <c r="A83" s="26"/>
      <c r="B83" s="26"/>
      <c r="C83" s="26"/>
      <c r="D83" s="26"/>
      <c r="E83" s="110" t="s">
        <v>355</v>
      </c>
      <c r="F83" s="111" t="s">
        <v>356</v>
      </c>
      <c r="G83" s="26"/>
      <c r="H83" s="26"/>
      <c r="I83" s="99"/>
      <c r="J83" s="99"/>
      <c r="K83" s="99"/>
      <c r="L83" s="99"/>
      <c r="M83" s="99"/>
      <c r="N83" s="99"/>
      <c r="O83" s="99"/>
      <c r="P83" s="99"/>
      <c r="Q83" s="99"/>
      <c r="R83" s="99"/>
      <c r="S83" s="99"/>
      <c r="T83" s="99"/>
      <c r="U83" s="99"/>
      <c r="V83" s="99"/>
      <c r="W83" s="99"/>
      <c r="X83" s="99"/>
      <c r="Y83" s="99"/>
      <c r="Z83" s="99"/>
      <c r="AA83" s="99"/>
      <c r="AB83" s="99"/>
    </row>
    <row r="84">
      <c r="A84" s="26"/>
      <c r="B84" s="26"/>
      <c r="C84" s="26"/>
      <c r="D84" s="26"/>
      <c r="E84" s="110" t="s">
        <v>357</v>
      </c>
      <c r="F84" s="111" t="s">
        <v>356</v>
      </c>
      <c r="G84" s="26"/>
      <c r="H84" s="26"/>
      <c r="I84" s="99"/>
      <c r="J84" s="99"/>
      <c r="K84" s="99"/>
      <c r="L84" s="99"/>
      <c r="M84" s="99"/>
      <c r="N84" s="99"/>
      <c r="O84" s="99"/>
      <c r="P84" s="99"/>
      <c r="Q84" s="99"/>
      <c r="R84" s="99"/>
      <c r="S84" s="99"/>
      <c r="T84" s="99"/>
      <c r="U84" s="99"/>
      <c r="V84" s="99"/>
      <c r="W84" s="99"/>
      <c r="X84" s="99"/>
      <c r="Y84" s="99"/>
      <c r="Z84" s="99"/>
      <c r="AA84" s="99"/>
      <c r="AB84" s="99"/>
    </row>
    <row r="85">
      <c r="A85" s="26"/>
      <c r="B85" s="26"/>
      <c r="C85" s="26"/>
      <c r="D85" s="27"/>
      <c r="E85" s="110" t="s">
        <v>358</v>
      </c>
      <c r="F85" s="111" t="s">
        <v>356</v>
      </c>
      <c r="G85" s="27"/>
      <c r="H85" s="27"/>
      <c r="I85" s="99"/>
      <c r="J85" s="99"/>
      <c r="K85" s="99"/>
      <c r="L85" s="99"/>
      <c r="M85" s="99"/>
      <c r="N85" s="99"/>
      <c r="O85" s="99"/>
      <c r="P85" s="99"/>
      <c r="Q85" s="99"/>
      <c r="R85" s="99"/>
      <c r="S85" s="99"/>
      <c r="T85" s="99"/>
      <c r="U85" s="99"/>
      <c r="V85" s="99"/>
      <c r="W85" s="99"/>
      <c r="X85" s="99"/>
      <c r="Y85" s="99"/>
      <c r="Z85" s="99"/>
      <c r="AA85" s="99"/>
      <c r="AB85" s="99"/>
    </row>
    <row r="86">
      <c r="A86" s="26"/>
      <c r="B86" s="26"/>
      <c r="C86" s="26"/>
      <c r="D86" s="109" t="s">
        <v>359</v>
      </c>
      <c r="E86" s="110" t="s">
        <v>360</v>
      </c>
      <c r="F86" s="111" t="s">
        <v>361</v>
      </c>
      <c r="G86" s="112" t="s">
        <v>361</v>
      </c>
      <c r="H86" s="112" t="s">
        <v>362</v>
      </c>
      <c r="I86" s="99"/>
      <c r="J86" s="99"/>
      <c r="K86" s="99"/>
      <c r="L86" s="99"/>
      <c r="M86" s="99"/>
      <c r="N86" s="99"/>
      <c r="O86" s="99"/>
      <c r="P86" s="99"/>
      <c r="Q86" s="99"/>
      <c r="R86" s="99"/>
      <c r="S86" s="99"/>
      <c r="T86" s="99"/>
      <c r="U86" s="99"/>
      <c r="V86" s="99"/>
      <c r="W86" s="99"/>
      <c r="X86" s="99"/>
      <c r="Y86" s="99"/>
      <c r="Z86" s="99"/>
      <c r="AA86" s="99"/>
      <c r="AB86" s="99"/>
    </row>
    <row r="87">
      <c r="A87" s="26"/>
      <c r="B87" s="26"/>
      <c r="C87" s="26"/>
      <c r="D87" s="26"/>
      <c r="E87" s="113"/>
      <c r="F87" s="111" t="s">
        <v>363</v>
      </c>
      <c r="G87" s="26"/>
      <c r="H87" s="26"/>
      <c r="I87" s="99"/>
      <c r="J87" s="99"/>
      <c r="K87" s="99"/>
      <c r="L87" s="99"/>
      <c r="M87" s="99"/>
      <c r="N87" s="99"/>
      <c r="O87" s="99"/>
      <c r="P87" s="99"/>
      <c r="Q87" s="99"/>
      <c r="R87" s="99"/>
      <c r="S87" s="99"/>
      <c r="T87" s="99"/>
      <c r="U87" s="99"/>
      <c r="V87" s="99"/>
      <c r="W87" s="99"/>
      <c r="X87" s="99"/>
      <c r="Y87" s="99"/>
      <c r="Z87" s="99"/>
      <c r="AA87" s="99"/>
      <c r="AB87" s="99"/>
    </row>
    <row r="88">
      <c r="A88" s="26"/>
      <c r="B88" s="26"/>
      <c r="C88" s="26"/>
      <c r="D88" s="26"/>
      <c r="E88" s="110" t="s">
        <v>364</v>
      </c>
      <c r="F88" s="111" t="s">
        <v>365</v>
      </c>
      <c r="G88" s="26"/>
      <c r="H88" s="26"/>
      <c r="I88" s="99"/>
      <c r="J88" s="99"/>
      <c r="K88" s="99"/>
      <c r="L88" s="99"/>
      <c r="M88" s="99"/>
      <c r="N88" s="99"/>
      <c r="O88" s="99"/>
      <c r="P88" s="99"/>
      <c r="Q88" s="99"/>
      <c r="R88" s="99"/>
      <c r="S88" s="99"/>
      <c r="T88" s="99"/>
      <c r="U88" s="99"/>
      <c r="V88" s="99"/>
      <c r="W88" s="99"/>
      <c r="X88" s="99"/>
      <c r="Y88" s="99"/>
      <c r="Z88" s="99"/>
      <c r="AA88" s="99"/>
      <c r="AB88" s="99"/>
    </row>
    <row r="89">
      <c r="A89" s="26"/>
      <c r="B89" s="26"/>
      <c r="C89" s="26"/>
      <c r="D89" s="26"/>
      <c r="E89" s="115"/>
      <c r="F89" s="111" t="s">
        <v>366</v>
      </c>
      <c r="G89" s="26"/>
      <c r="H89" s="26"/>
      <c r="I89" s="99"/>
      <c r="J89" s="99"/>
      <c r="K89" s="99"/>
      <c r="L89" s="99"/>
      <c r="M89" s="99"/>
      <c r="N89" s="99"/>
      <c r="O89" s="99"/>
      <c r="P89" s="99"/>
      <c r="Q89" s="99"/>
      <c r="R89" s="99"/>
      <c r="S89" s="99"/>
      <c r="T89" s="99"/>
      <c r="U89" s="99"/>
      <c r="V89" s="99"/>
      <c r="W89" s="99"/>
      <c r="X89" s="99"/>
      <c r="Y89" s="99"/>
      <c r="Z89" s="99"/>
      <c r="AA89" s="99"/>
      <c r="AB89" s="99"/>
    </row>
    <row r="90">
      <c r="A90" s="26"/>
      <c r="B90" s="26"/>
      <c r="C90" s="26"/>
      <c r="D90" s="26"/>
      <c r="E90" s="110" t="s">
        <v>367</v>
      </c>
      <c r="F90" s="111" t="s">
        <v>365</v>
      </c>
      <c r="G90" s="26"/>
      <c r="H90" s="26"/>
      <c r="I90" s="99"/>
      <c r="J90" s="99"/>
      <c r="K90" s="99"/>
      <c r="L90" s="99"/>
      <c r="M90" s="99"/>
      <c r="N90" s="99"/>
      <c r="O90" s="99"/>
      <c r="P90" s="99"/>
      <c r="Q90" s="99"/>
      <c r="R90" s="99"/>
      <c r="S90" s="99"/>
      <c r="T90" s="99"/>
      <c r="U90" s="99"/>
      <c r="V90" s="99"/>
      <c r="W90" s="99"/>
      <c r="X90" s="99"/>
      <c r="Y90" s="99"/>
      <c r="Z90" s="99"/>
      <c r="AA90" s="99"/>
      <c r="AB90" s="99"/>
    </row>
    <row r="91">
      <c r="A91" s="26"/>
      <c r="B91" s="26"/>
      <c r="C91" s="26"/>
      <c r="D91" s="26"/>
      <c r="E91" s="114" t="s">
        <v>368</v>
      </c>
      <c r="F91" s="111" t="s">
        <v>369</v>
      </c>
      <c r="G91" s="26"/>
      <c r="H91" s="26"/>
      <c r="I91" s="99"/>
      <c r="J91" s="99"/>
      <c r="K91" s="99"/>
      <c r="L91" s="99"/>
      <c r="M91" s="99"/>
      <c r="N91" s="99"/>
      <c r="O91" s="99"/>
      <c r="P91" s="99"/>
      <c r="Q91" s="99"/>
      <c r="R91" s="99"/>
      <c r="S91" s="99"/>
      <c r="T91" s="99"/>
      <c r="U91" s="99"/>
      <c r="V91" s="99"/>
      <c r="W91" s="99"/>
      <c r="X91" s="99"/>
      <c r="Y91" s="99"/>
      <c r="Z91" s="99"/>
      <c r="AA91" s="99"/>
      <c r="AB91" s="99"/>
    </row>
    <row r="92">
      <c r="A92" s="26"/>
      <c r="B92" s="26"/>
      <c r="C92" s="26"/>
      <c r="D92" s="26"/>
      <c r="E92" s="115"/>
      <c r="F92" s="111" t="s">
        <v>370</v>
      </c>
      <c r="G92" s="26"/>
      <c r="H92" s="26"/>
      <c r="I92" s="99"/>
      <c r="J92" s="99"/>
      <c r="K92" s="99"/>
      <c r="L92" s="99"/>
      <c r="M92" s="99"/>
      <c r="N92" s="99"/>
      <c r="O92" s="99"/>
      <c r="P92" s="99"/>
      <c r="Q92" s="99"/>
      <c r="R92" s="99"/>
      <c r="S92" s="99"/>
      <c r="T92" s="99"/>
      <c r="U92" s="99"/>
      <c r="V92" s="99"/>
      <c r="W92" s="99"/>
      <c r="X92" s="99"/>
      <c r="Y92" s="99"/>
      <c r="Z92" s="99"/>
      <c r="AA92" s="99"/>
      <c r="AB92" s="99"/>
    </row>
    <row r="93">
      <c r="A93" s="26"/>
      <c r="B93" s="26"/>
      <c r="C93" s="26"/>
      <c r="D93" s="27"/>
      <c r="E93" s="115"/>
      <c r="F93" s="111" t="s">
        <v>363</v>
      </c>
      <c r="G93" s="27"/>
      <c r="H93" s="26"/>
      <c r="I93" s="99"/>
      <c r="J93" s="99"/>
      <c r="K93" s="99"/>
      <c r="L93" s="99"/>
      <c r="M93" s="99"/>
      <c r="N93" s="99"/>
      <c r="O93" s="99"/>
      <c r="P93" s="99"/>
      <c r="Q93" s="99"/>
      <c r="R93" s="99"/>
      <c r="S93" s="99"/>
      <c r="T93" s="99"/>
      <c r="U93" s="99"/>
      <c r="V93" s="99"/>
      <c r="W93" s="99"/>
      <c r="X93" s="99"/>
      <c r="Y93" s="99"/>
      <c r="Z93" s="99"/>
      <c r="AA93" s="99"/>
      <c r="AB93" s="99"/>
    </row>
    <row r="94">
      <c r="A94" s="26"/>
      <c r="B94" s="26"/>
      <c r="C94" s="26"/>
      <c r="D94" s="109" t="s">
        <v>307</v>
      </c>
      <c r="E94" s="110" t="s">
        <v>371</v>
      </c>
      <c r="F94" s="111" t="s">
        <v>372</v>
      </c>
      <c r="G94" s="116" t="s">
        <v>372</v>
      </c>
      <c r="H94" s="26"/>
      <c r="I94" s="99"/>
      <c r="J94" s="99"/>
      <c r="K94" s="99"/>
      <c r="L94" s="99"/>
      <c r="M94" s="99"/>
      <c r="N94" s="99"/>
      <c r="O94" s="99"/>
      <c r="P94" s="99"/>
      <c r="Q94" s="99"/>
      <c r="R94" s="99"/>
      <c r="S94" s="99"/>
      <c r="T94" s="99"/>
      <c r="U94" s="99"/>
      <c r="V94" s="99"/>
      <c r="W94" s="99"/>
      <c r="X94" s="99"/>
      <c r="Y94" s="99"/>
      <c r="Z94" s="99"/>
      <c r="AA94" s="99"/>
      <c r="AB94" s="99"/>
    </row>
    <row r="95">
      <c r="A95" s="26"/>
      <c r="B95" s="26"/>
      <c r="C95" s="26"/>
      <c r="D95" s="26"/>
      <c r="E95" s="113"/>
      <c r="F95" s="111" t="s">
        <v>326</v>
      </c>
      <c r="G95" s="26"/>
      <c r="H95" s="26"/>
      <c r="I95" s="99"/>
      <c r="J95" s="99"/>
      <c r="K95" s="99"/>
      <c r="L95" s="99"/>
      <c r="M95" s="99"/>
      <c r="N95" s="99"/>
      <c r="O95" s="99"/>
      <c r="P95" s="99"/>
      <c r="Q95" s="99"/>
      <c r="R95" s="99"/>
      <c r="S95" s="99"/>
      <c r="T95" s="99"/>
      <c r="U95" s="99"/>
      <c r="V95" s="99"/>
      <c r="W95" s="99"/>
      <c r="X95" s="99"/>
      <c r="Y95" s="99"/>
      <c r="Z95" s="99"/>
      <c r="AA95" s="99"/>
      <c r="AB95" s="99"/>
    </row>
    <row r="96">
      <c r="A96" s="26"/>
      <c r="B96" s="26"/>
      <c r="C96" s="26"/>
      <c r="D96" s="26"/>
      <c r="E96" s="113"/>
      <c r="F96" s="111" t="s">
        <v>373</v>
      </c>
      <c r="G96" s="26"/>
      <c r="H96" s="26"/>
      <c r="I96" s="99"/>
      <c r="J96" s="99"/>
      <c r="K96" s="99"/>
      <c r="L96" s="99"/>
      <c r="M96" s="99"/>
      <c r="N96" s="99"/>
      <c r="O96" s="99"/>
      <c r="P96" s="99"/>
      <c r="Q96" s="99"/>
      <c r="R96" s="99"/>
      <c r="S96" s="99"/>
      <c r="T96" s="99"/>
      <c r="U96" s="99"/>
      <c r="V96" s="99"/>
      <c r="W96" s="99"/>
      <c r="X96" s="99"/>
      <c r="Y96" s="99"/>
      <c r="Z96" s="99"/>
      <c r="AA96" s="99"/>
      <c r="AB96" s="99"/>
    </row>
    <row r="97">
      <c r="A97" s="26"/>
      <c r="B97" s="26"/>
      <c r="C97" s="26"/>
      <c r="D97" s="26"/>
      <c r="E97" s="113"/>
      <c r="F97" s="111" t="s">
        <v>374</v>
      </c>
      <c r="G97" s="26"/>
      <c r="H97" s="26"/>
      <c r="I97" s="99"/>
      <c r="J97" s="99"/>
      <c r="K97" s="99"/>
      <c r="L97" s="99"/>
      <c r="M97" s="99"/>
      <c r="N97" s="99"/>
      <c r="O97" s="99"/>
      <c r="P97" s="99"/>
      <c r="Q97" s="99"/>
      <c r="R97" s="99"/>
      <c r="S97" s="99"/>
      <c r="T97" s="99"/>
      <c r="U97" s="99"/>
      <c r="V97" s="99"/>
      <c r="W97" s="99"/>
      <c r="X97" s="99"/>
      <c r="Y97" s="99"/>
      <c r="Z97" s="99"/>
      <c r="AA97" s="99"/>
      <c r="AB97" s="99"/>
    </row>
    <row r="98">
      <c r="A98" s="26"/>
      <c r="B98" s="26"/>
      <c r="C98" s="26"/>
      <c r="D98" s="26"/>
      <c r="E98" s="110" t="s">
        <v>375</v>
      </c>
      <c r="F98" s="111" t="s">
        <v>376</v>
      </c>
      <c r="G98" s="26"/>
      <c r="H98" s="26"/>
      <c r="I98" s="99"/>
      <c r="J98" s="99"/>
      <c r="K98" s="99"/>
      <c r="L98" s="99"/>
      <c r="M98" s="99"/>
      <c r="N98" s="99"/>
      <c r="O98" s="99"/>
      <c r="P98" s="99"/>
      <c r="Q98" s="99"/>
      <c r="R98" s="99"/>
      <c r="S98" s="99"/>
      <c r="T98" s="99"/>
      <c r="U98" s="99"/>
      <c r="V98" s="99"/>
      <c r="W98" s="99"/>
      <c r="X98" s="99"/>
      <c r="Y98" s="99"/>
      <c r="Z98" s="99"/>
      <c r="AA98" s="99"/>
      <c r="AB98" s="99"/>
    </row>
    <row r="99">
      <c r="A99" s="26"/>
      <c r="B99" s="26"/>
      <c r="C99" s="26"/>
      <c r="D99" s="26"/>
      <c r="E99" s="113"/>
      <c r="F99" s="111" t="s">
        <v>377</v>
      </c>
      <c r="G99" s="26"/>
      <c r="H99" s="26"/>
      <c r="I99" s="99"/>
      <c r="J99" s="99"/>
      <c r="K99" s="99"/>
      <c r="L99" s="99"/>
      <c r="M99" s="99"/>
      <c r="N99" s="99"/>
      <c r="O99" s="99"/>
      <c r="P99" s="99"/>
      <c r="Q99" s="99"/>
      <c r="R99" s="99"/>
      <c r="S99" s="99"/>
      <c r="T99" s="99"/>
      <c r="U99" s="99"/>
      <c r="V99" s="99"/>
      <c r="W99" s="99"/>
      <c r="X99" s="99"/>
      <c r="Y99" s="99"/>
      <c r="Z99" s="99"/>
      <c r="AA99" s="99"/>
      <c r="AB99" s="99"/>
    </row>
    <row r="100">
      <c r="A100" s="26"/>
      <c r="B100" s="26"/>
      <c r="C100" s="26"/>
      <c r="D100" s="27"/>
      <c r="E100" s="113"/>
      <c r="F100" s="111" t="s">
        <v>363</v>
      </c>
      <c r="G100" s="27"/>
      <c r="H100" s="27"/>
      <c r="I100" s="99"/>
      <c r="J100" s="99"/>
      <c r="K100" s="99"/>
      <c r="L100" s="99"/>
      <c r="M100" s="99"/>
      <c r="N100" s="99"/>
      <c r="O100" s="99"/>
      <c r="P100" s="99"/>
      <c r="Q100" s="99"/>
      <c r="R100" s="99"/>
      <c r="S100" s="99"/>
      <c r="T100" s="99"/>
      <c r="U100" s="99"/>
      <c r="V100" s="99"/>
      <c r="W100" s="99"/>
      <c r="X100" s="99"/>
      <c r="Y100" s="99"/>
      <c r="Z100" s="99"/>
      <c r="AA100" s="99"/>
      <c r="AB100" s="99"/>
    </row>
    <row r="101">
      <c r="A101" s="26"/>
      <c r="B101" s="26"/>
      <c r="C101" s="26"/>
      <c r="D101" s="117" t="s">
        <v>378</v>
      </c>
      <c r="E101" s="110" t="s">
        <v>379</v>
      </c>
      <c r="F101" s="111" t="s">
        <v>380</v>
      </c>
      <c r="G101" s="116" t="s">
        <v>380</v>
      </c>
      <c r="H101" s="112" t="s">
        <v>381</v>
      </c>
      <c r="I101" s="99"/>
      <c r="J101" s="99"/>
      <c r="K101" s="99"/>
      <c r="L101" s="99"/>
      <c r="M101" s="99"/>
      <c r="N101" s="99"/>
      <c r="O101" s="99"/>
      <c r="P101" s="99"/>
      <c r="Q101" s="99"/>
      <c r="R101" s="99"/>
      <c r="S101" s="99"/>
      <c r="T101" s="99"/>
      <c r="U101" s="99"/>
      <c r="V101" s="99"/>
      <c r="W101" s="99"/>
      <c r="X101" s="99"/>
      <c r="Y101" s="99"/>
      <c r="Z101" s="99"/>
      <c r="AA101" s="99"/>
      <c r="AB101" s="99"/>
    </row>
    <row r="102">
      <c r="A102" s="26"/>
      <c r="B102" s="26"/>
      <c r="C102" s="26"/>
      <c r="D102" s="26"/>
      <c r="E102" s="113"/>
      <c r="F102" s="111" t="s">
        <v>382</v>
      </c>
      <c r="G102" s="26"/>
      <c r="H102" s="26"/>
      <c r="I102" s="99"/>
      <c r="J102" s="99"/>
      <c r="K102" s="99"/>
      <c r="L102" s="99"/>
      <c r="M102" s="99"/>
      <c r="N102" s="99"/>
      <c r="O102" s="99"/>
      <c r="P102" s="99"/>
      <c r="Q102" s="99"/>
      <c r="R102" s="99"/>
      <c r="S102" s="99"/>
      <c r="T102" s="99"/>
      <c r="U102" s="99"/>
      <c r="V102" s="99"/>
      <c r="W102" s="99"/>
      <c r="X102" s="99"/>
      <c r="Y102" s="99"/>
      <c r="Z102" s="99"/>
      <c r="AA102" s="99"/>
      <c r="AB102" s="99"/>
    </row>
    <row r="103">
      <c r="A103" s="26"/>
      <c r="B103" s="26"/>
      <c r="C103" s="26"/>
      <c r="D103" s="26"/>
      <c r="E103" s="113"/>
      <c r="F103" s="111" t="s">
        <v>323</v>
      </c>
      <c r="G103" s="26"/>
      <c r="H103" s="26"/>
      <c r="I103" s="99"/>
      <c r="J103" s="99"/>
      <c r="K103" s="99"/>
      <c r="L103" s="99"/>
      <c r="M103" s="99"/>
      <c r="N103" s="99"/>
      <c r="O103" s="99"/>
      <c r="P103" s="99"/>
      <c r="Q103" s="99"/>
      <c r="R103" s="99"/>
      <c r="S103" s="99"/>
      <c r="T103" s="99"/>
      <c r="U103" s="99"/>
      <c r="V103" s="99"/>
      <c r="W103" s="99"/>
      <c r="X103" s="99"/>
      <c r="Y103" s="99"/>
      <c r="Z103" s="99"/>
      <c r="AA103" s="99"/>
      <c r="AB103" s="99"/>
    </row>
    <row r="104">
      <c r="A104" s="26"/>
      <c r="B104" s="26"/>
      <c r="C104" s="26"/>
      <c r="D104" s="26"/>
      <c r="E104" s="110" t="s">
        <v>383</v>
      </c>
      <c r="F104" s="111" t="s">
        <v>384</v>
      </c>
      <c r="G104" s="26"/>
      <c r="H104" s="26"/>
      <c r="I104" s="99"/>
      <c r="J104" s="99"/>
      <c r="K104" s="99"/>
      <c r="L104" s="99"/>
      <c r="M104" s="99"/>
      <c r="N104" s="99"/>
      <c r="O104" s="99"/>
      <c r="P104" s="99"/>
      <c r="Q104" s="99"/>
      <c r="R104" s="99"/>
      <c r="S104" s="99"/>
      <c r="T104" s="99"/>
      <c r="U104" s="99"/>
      <c r="V104" s="99"/>
      <c r="W104" s="99"/>
      <c r="X104" s="99"/>
      <c r="Y104" s="99"/>
      <c r="Z104" s="99"/>
      <c r="AA104" s="99"/>
      <c r="AB104" s="99"/>
    </row>
    <row r="105">
      <c r="A105" s="26"/>
      <c r="B105" s="26"/>
      <c r="C105" s="26"/>
      <c r="D105" s="26"/>
      <c r="E105" s="110" t="s">
        <v>385</v>
      </c>
      <c r="F105" s="111" t="s">
        <v>380</v>
      </c>
      <c r="G105" s="26"/>
      <c r="H105" s="26"/>
      <c r="I105" s="99"/>
      <c r="J105" s="99"/>
      <c r="K105" s="99"/>
      <c r="L105" s="99"/>
      <c r="M105" s="99"/>
      <c r="N105" s="99"/>
      <c r="O105" s="99"/>
      <c r="P105" s="99"/>
      <c r="Q105" s="99"/>
      <c r="R105" s="99"/>
      <c r="S105" s="99"/>
      <c r="T105" s="99"/>
      <c r="U105" s="99"/>
      <c r="V105" s="99"/>
      <c r="W105" s="99"/>
      <c r="X105" s="99"/>
      <c r="Y105" s="99"/>
      <c r="Z105" s="99"/>
      <c r="AA105" s="99"/>
      <c r="AB105" s="99"/>
    </row>
    <row r="106">
      <c r="A106" s="26"/>
      <c r="B106" s="26"/>
      <c r="C106" s="26"/>
      <c r="D106" s="109" t="s">
        <v>307</v>
      </c>
      <c r="E106" s="118" t="s">
        <v>386</v>
      </c>
      <c r="F106" s="111" t="s">
        <v>387</v>
      </c>
      <c r="G106" s="120" t="s">
        <v>388</v>
      </c>
      <c r="H106" s="26"/>
      <c r="I106" s="99"/>
      <c r="J106" s="99"/>
      <c r="K106" s="99"/>
      <c r="L106" s="99"/>
      <c r="M106" s="99"/>
      <c r="N106" s="99"/>
      <c r="O106" s="99"/>
      <c r="P106" s="99"/>
      <c r="Q106" s="99"/>
      <c r="R106" s="99"/>
      <c r="S106" s="99"/>
      <c r="T106" s="99"/>
      <c r="U106" s="99"/>
      <c r="V106" s="99"/>
      <c r="W106" s="99"/>
      <c r="X106" s="99"/>
      <c r="Y106" s="99"/>
      <c r="Z106" s="99"/>
      <c r="AA106" s="99"/>
      <c r="AB106" s="99"/>
    </row>
    <row r="107">
      <c r="A107" s="26"/>
      <c r="B107" s="26"/>
      <c r="C107" s="26"/>
      <c r="D107" s="26"/>
      <c r="E107" s="110" t="s">
        <v>389</v>
      </c>
      <c r="F107" s="111" t="s">
        <v>390</v>
      </c>
      <c r="G107" s="26"/>
      <c r="H107" s="26"/>
      <c r="I107" s="99"/>
      <c r="J107" s="99"/>
      <c r="K107" s="99"/>
      <c r="L107" s="99"/>
      <c r="M107" s="99"/>
      <c r="N107" s="99"/>
      <c r="O107" s="99"/>
      <c r="P107" s="99"/>
      <c r="Q107" s="99"/>
      <c r="R107" s="99"/>
      <c r="S107" s="99"/>
      <c r="T107" s="99"/>
      <c r="U107" s="99"/>
      <c r="V107" s="99"/>
      <c r="W107" s="99"/>
      <c r="X107" s="99"/>
      <c r="Y107" s="99"/>
      <c r="Z107" s="99"/>
      <c r="AA107" s="99"/>
      <c r="AB107" s="99"/>
    </row>
    <row r="108">
      <c r="A108" s="26"/>
      <c r="B108" s="26"/>
      <c r="C108" s="26"/>
      <c r="D108" s="26"/>
      <c r="E108" s="119"/>
      <c r="F108" s="111" t="s">
        <v>391</v>
      </c>
      <c r="G108" s="26"/>
      <c r="H108" s="26"/>
      <c r="I108" s="99"/>
      <c r="J108" s="99"/>
      <c r="K108" s="99"/>
      <c r="L108" s="99"/>
      <c r="M108" s="99"/>
      <c r="N108" s="99"/>
      <c r="O108" s="99"/>
      <c r="P108" s="99"/>
      <c r="Q108" s="99"/>
      <c r="R108" s="99"/>
      <c r="S108" s="99"/>
      <c r="T108" s="99"/>
      <c r="U108" s="99"/>
      <c r="V108" s="99"/>
      <c r="W108" s="99"/>
      <c r="X108" s="99"/>
      <c r="Y108" s="99"/>
      <c r="Z108" s="99"/>
      <c r="AA108" s="99"/>
      <c r="AB108" s="99"/>
    </row>
    <row r="109">
      <c r="A109" s="26"/>
      <c r="B109" s="26"/>
      <c r="C109" s="26"/>
      <c r="D109" s="26"/>
      <c r="E109" s="118" t="s">
        <v>392</v>
      </c>
      <c r="F109" s="111" t="s">
        <v>393</v>
      </c>
      <c r="G109" s="26"/>
      <c r="H109" s="26"/>
      <c r="I109" s="99"/>
      <c r="J109" s="99"/>
      <c r="K109" s="99"/>
      <c r="L109" s="99"/>
      <c r="M109" s="99"/>
      <c r="N109" s="99"/>
      <c r="O109" s="99"/>
      <c r="P109" s="99"/>
      <c r="Q109" s="99"/>
      <c r="R109" s="99"/>
      <c r="S109" s="99"/>
      <c r="T109" s="99"/>
      <c r="U109" s="99"/>
      <c r="V109" s="99"/>
      <c r="W109" s="99"/>
      <c r="X109" s="99"/>
      <c r="Y109" s="99"/>
      <c r="Z109" s="99"/>
      <c r="AA109" s="99"/>
      <c r="AB109" s="99"/>
    </row>
    <row r="110">
      <c r="A110" s="26"/>
      <c r="B110" s="26"/>
      <c r="C110" s="26"/>
      <c r="D110" s="26"/>
      <c r="E110" s="119"/>
      <c r="F110" s="111" t="s">
        <v>394</v>
      </c>
      <c r="G110" s="26"/>
      <c r="H110" s="26"/>
      <c r="I110" s="99"/>
      <c r="J110" s="99"/>
      <c r="K110" s="99"/>
      <c r="L110" s="99"/>
      <c r="M110" s="99"/>
      <c r="N110" s="99"/>
      <c r="O110" s="99"/>
      <c r="P110" s="99"/>
      <c r="Q110" s="99"/>
      <c r="R110" s="99"/>
      <c r="S110" s="99"/>
      <c r="T110" s="99"/>
      <c r="U110" s="99"/>
      <c r="V110" s="99"/>
      <c r="W110" s="99"/>
      <c r="X110" s="99"/>
      <c r="Y110" s="99"/>
      <c r="Z110" s="99"/>
      <c r="AA110" s="99"/>
      <c r="AB110" s="99"/>
    </row>
    <row r="111">
      <c r="A111" s="26"/>
      <c r="B111" s="26"/>
      <c r="C111" s="26"/>
      <c r="D111" s="26"/>
      <c r="E111" s="119"/>
      <c r="F111" s="111" t="s">
        <v>326</v>
      </c>
      <c r="G111" s="26"/>
      <c r="H111" s="26"/>
      <c r="I111" s="99"/>
      <c r="J111" s="99"/>
      <c r="K111" s="99"/>
      <c r="L111" s="99"/>
      <c r="M111" s="99"/>
      <c r="N111" s="99"/>
      <c r="O111" s="99"/>
      <c r="P111" s="99"/>
      <c r="Q111" s="99"/>
      <c r="R111" s="99"/>
      <c r="S111" s="99"/>
      <c r="T111" s="99"/>
      <c r="U111" s="99"/>
      <c r="V111" s="99"/>
      <c r="W111" s="99"/>
      <c r="X111" s="99"/>
      <c r="Y111" s="99"/>
      <c r="Z111" s="99"/>
      <c r="AA111" s="99"/>
      <c r="AB111" s="99"/>
    </row>
    <row r="112">
      <c r="A112" s="26"/>
      <c r="B112" s="26"/>
      <c r="C112" s="26"/>
      <c r="D112" s="26"/>
      <c r="E112" s="119"/>
      <c r="F112" s="111" t="s">
        <v>349</v>
      </c>
      <c r="G112" s="26"/>
      <c r="H112" s="26"/>
      <c r="I112" s="99"/>
      <c r="J112" s="99"/>
      <c r="K112" s="99"/>
      <c r="L112" s="99"/>
      <c r="M112" s="99"/>
      <c r="N112" s="99"/>
      <c r="O112" s="99"/>
      <c r="P112" s="99"/>
      <c r="Q112" s="99"/>
      <c r="R112" s="99"/>
      <c r="S112" s="99"/>
      <c r="T112" s="99"/>
      <c r="U112" s="99"/>
      <c r="V112" s="99"/>
      <c r="W112" s="99"/>
      <c r="X112" s="99"/>
      <c r="Y112" s="99"/>
      <c r="Z112" s="99"/>
      <c r="AA112" s="99"/>
      <c r="AB112" s="99"/>
    </row>
    <row r="113">
      <c r="A113" s="26"/>
      <c r="B113" s="26"/>
      <c r="C113" s="26"/>
      <c r="D113" s="26"/>
      <c r="E113" s="118" t="s">
        <v>395</v>
      </c>
      <c r="F113" s="111" t="s">
        <v>396</v>
      </c>
      <c r="G113" s="26"/>
      <c r="H113" s="26"/>
      <c r="I113" s="99"/>
      <c r="J113" s="99"/>
      <c r="K113" s="99"/>
      <c r="L113" s="99"/>
      <c r="M113" s="99"/>
      <c r="N113" s="99"/>
      <c r="O113" s="99"/>
      <c r="P113" s="99"/>
      <c r="Q113" s="99"/>
      <c r="R113" s="99"/>
      <c r="S113" s="99"/>
      <c r="T113" s="99"/>
      <c r="U113" s="99"/>
      <c r="V113" s="99"/>
      <c r="W113" s="99"/>
      <c r="X113" s="99"/>
      <c r="Y113" s="99"/>
      <c r="Z113" s="99"/>
      <c r="AA113" s="99"/>
      <c r="AB113" s="99"/>
    </row>
    <row r="114">
      <c r="A114" s="26"/>
      <c r="B114" s="26"/>
      <c r="C114" s="26"/>
      <c r="D114" s="26"/>
      <c r="E114" s="119"/>
      <c r="F114" s="111" t="s">
        <v>326</v>
      </c>
      <c r="G114" s="26"/>
      <c r="H114" s="26"/>
      <c r="I114" s="99"/>
      <c r="J114" s="99"/>
      <c r="K114" s="99"/>
      <c r="L114" s="99"/>
      <c r="M114" s="99"/>
      <c r="N114" s="99"/>
      <c r="O114" s="99"/>
      <c r="P114" s="99"/>
      <c r="Q114" s="99"/>
      <c r="R114" s="99"/>
      <c r="S114" s="99"/>
      <c r="T114" s="99"/>
      <c r="U114" s="99"/>
      <c r="V114" s="99"/>
      <c r="W114" s="99"/>
      <c r="X114" s="99"/>
      <c r="Y114" s="99"/>
      <c r="Z114" s="99"/>
      <c r="AA114" s="99"/>
      <c r="AB114" s="99"/>
    </row>
    <row r="115">
      <c r="A115" s="26"/>
      <c r="B115" s="26"/>
      <c r="C115" s="26"/>
      <c r="D115" s="26"/>
      <c r="E115" s="113"/>
      <c r="F115" s="111" t="s">
        <v>397</v>
      </c>
      <c r="G115" s="26"/>
      <c r="H115" s="26"/>
      <c r="I115" s="99"/>
      <c r="J115" s="99"/>
      <c r="K115" s="99"/>
      <c r="L115" s="99"/>
      <c r="M115" s="99"/>
      <c r="N115" s="99"/>
      <c r="O115" s="99"/>
      <c r="P115" s="99"/>
      <c r="Q115" s="99"/>
      <c r="R115" s="99"/>
      <c r="S115" s="99"/>
      <c r="T115" s="99"/>
      <c r="U115" s="99"/>
      <c r="V115" s="99"/>
      <c r="W115" s="99"/>
      <c r="X115" s="99"/>
      <c r="Y115" s="99"/>
      <c r="Z115" s="99"/>
      <c r="AA115" s="99"/>
      <c r="AB115" s="99"/>
    </row>
    <row r="116">
      <c r="A116" s="26"/>
      <c r="B116" s="26"/>
      <c r="C116" s="26"/>
      <c r="D116" s="26"/>
      <c r="E116" s="113"/>
      <c r="F116" s="114" t="s">
        <v>398</v>
      </c>
      <c r="G116" s="26"/>
      <c r="H116" s="26"/>
      <c r="I116" s="99"/>
      <c r="J116" s="99"/>
      <c r="K116" s="99"/>
      <c r="L116" s="99"/>
      <c r="M116" s="99"/>
      <c r="N116" s="99"/>
      <c r="O116" s="99"/>
      <c r="P116" s="99"/>
      <c r="Q116" s="99"/>
      <c r="R116" s="99"/>
      <c r="S116" s="99"/>
      <c r="T116" s="99"/>
      <c r="U116" s="99"/>
      <c r="V116" s="99"/>
      <c r="W116" s="99"/>
      <c r="X116" s="99"/>
      <c r="Y116" s="99"/>
      <c r="Z116" s="99"/>
      <c r="AA116" s="99"/>
      <c r="AB116" s="99"/>
    </row>
    <row r="117">
      <c r="A117" s="26"/>
      <c r="B117" s="26"/>
      <c r="C117" s="26"/>
      <c r="D117" s="27"/>
      <c r="E117" s="113"/>
      <c r="F117" s="114" t="s">
        <v>399</v>
      </c>
      <c r="G117" s="27"/>
      <c r="H117" s="27"/>
      <c r="I117" s="99"/>
      <c r="J117" s="99"/>
      <c r="K117" s="99"/>
      <c r="L117" s="99"/>
      <c r="M117" s="99"/>
      <c r="N117" s="99"/>
      <c r="O117" s="99"/>
      <c r="P117" s="99"/>
      <c r="Q117" s="99"/>
      <c r="R117" s="99"/>
      <c r="S117" s="99"/>
      <c r="T117" s="99"/>
      <c r="U117" s="99"/>
      <c r="V117" s="99"/>
      <c r="W117" s="99"/>
      <c r="X117" s="99"/>
      <c r="Y117" s="99"/>
      <c r="Z117" s="99"/>
      <c r="AA117" s="99"/>
      <c r="AB117" s="99"/>
    </row>
    <row r="118">
      <c r="A118" s="26"/>
      <c r="B118" s="26"/>
      <c r="C118" s="26"/>
      <c r="D118" s="109" t="s">
        <v>307</v>
      </c>
      <c r="E118" s="110" t="s">
        <v>400</v>
      </c>
      <c r="F118" s="111" t="s">
        <v>401</v>
      </c>
      <c r="G118" s="116" t="s">
        <v>402</v>
      </c>
      <c r="H118" s="112" t="s">
        <v>403</v>
      </c>
      <c r="I118" s="99"/>
      <c r="J118" s="99"/>
      <c r="K118" s="99"/>
      <c r="L118" s="99"/>
      <c r="M118" s="99"/>
      <c r="N118" s="99"/>
      <c r="O118" s="99"/>
      <c r="P118" s="99"/>
      <c r="Q118" s="99"/>
      <c r="R118" s="99"/>
      <c r="S118" s="99"/>
      <c r="T118" s="99"/>
      <c r="U118" s="99"/>
      <c r="V118" s="99"/>
      <c r="W118" s="99"/>
      <c r="X118" s="99"/>
      <c r="Y118" s="99"/>
      <c r="Z118" s="99"/>
      <c r="AA118" s="99"/>
      <c r="AB118" s="99"/>
    </row>
    <row r="119">
      <c r="A119" s="26"/>
      <c r="B119" s="26"/>
      <c r="C119" s="26"/>
      <c r="D119" s="26"/>
      <c r="E119" s="110" t="s">
        <v>404</v>
      </c>
      <c r="F119" s="111" t="s">
        <v>405</v>
      </c>
      <c r="G119" s="26"/>
      <c r="H119" s="26"/>
      <c r="I119" s="99"/>
      <c r="J119" s="99"/>
      <c r="K119" s="99"/>
      <c r="L119" s="99"/>
      <c r="M119" s="99"/>
      <c r="N119" s="99"/>
      <c r="O119" s="99"/>
      <c r="P119" s="99"/>
      <c r="Q119" s="99"/>
      <c r="R119" s="99"/>
      <c r="S119" s="99"/>
      <c r="T119" s="99"/>
      <c r="U119" s="99"/>
      <c r="V119" s="99"/>
      <c r="W119" s="99"/>
      <c r="X119" s="99"/>
      <c r="Y119" s="99"/>
      <c r="Z119" s="99"/>
      <c r="AA119" s="99"/>
      <c r="AB119" s="99"/>
    </row>
    <row r="120">
      <c r="A120" s="26"/>
      <c r="B120" s="26"/>
      <c r="C120" s="26"/>
      <c r="D120" s="26"/>
      <c r="E120" s="113"/>
      <c r="F120" s="111" t="s">
        <v>406</v>
      </c>
      <c r="G120" s="26"/>
      <c r="H120" s="26"/>
      <c r="I120" s="99"/>
      <c r="J120" s="99"/>
      <c r="K120" s="99"/>
      <c r="L120" s="99"/>
      <c r="M120" s="99"/>
      <c r="N120" s="99"/>
      <c r="O120" s="99"/>
      <c r="P120" s="99"/>
      <c r="Q120" s="99"/>
      <c r="R120" s="99"/>
      <c r="S120" s="99"/>
      <c r="T120" s="99"/>
      <c r="U120" s="99"/>
      <c r="V120" s="99"/>
      <c r="W120" s="99"/>
      <c r="X120" s="99"/>
      <c r="Y120" s="99"/>
      <c r="Z120" s="99"/>
      <c r="AA120" s="99"/>
      <c r="AB120" s="99"/>
    </row>
    <row r="121">
      <c r="A121" s="26"/>
      <c r="B121" s="26"/>
      <c r="C121" s="26"/>
      <c r="D121" s="26"/>
      <c r="E121" s="113"/>
      <c r="F121" s="111" t="s">
        <v>326</v>
      </c>
      <c r="G121" s="26"/>
      <c r="H121" s="26"/>
      <c r="I121" s="99"/>
      <c r="J121" s="99"/>
      <c r="K121" s="99"/>
      <c r="L121" s="99"/>
      <c r="M121" s="99"/>
      <c r="N121" s="99"/>
      <c r="O121" s="99"/>
      <c r="P121" s="99"/>
      <c r="Q121" s="99"/>
      <c r="R121" s="99"/>
      <c r="S121" s="99"/>
      <c r="T121" s="99"/>
      <c r="U121" s="99"/>
      <c r="V121" s="99"/>
      <c r="W121" s="99"/>
      <c r="X121" s="99"/>
      <c r="Y121" s="99"/>
      <c r="Z121" s="99"/>
      <c r="AA121" s="99"/>
      <c r="AB121" s="99"/>
    </row>
    <row r="122">
      <c r="A122" s="26"/>
      <c r="B122" s="26"/>
      <c r="C122" s="26"/>
      <c r="D122" s="26"/>
      <c r="E122" s="113"/>
      <c r="F122" s="111" t="s">
        <v>407</v>
      </c>
      <c r="G122" s="26"/>
      <c r="H122" s="26"/>
      <c r="I122" s="99"/>
      <c r="J122" s="99"/>
      <c r="K122" s="99"/>
      <c r="L122" s="99"/>
      <c r="M122" s="99"/>
      <c r="N122" s="99"/>
      <c r="O122" s="99"/>
      <c r="P122" s="99"/>
      <c r="Q122" s="99"/>
      <c r="R122" s="99"/>
      <c r="S122" s="99"/>
      <c r="T122" s="99"/>
      <c r="U122" s="99"/>
      <c r="V122" s="99"/>
      <c r="W122" s="99"/>
      <c r="X122" s="99"/>
      <c r="Y122" s="99"/>
      <c r="Z122" s="99"/>
      <c r="AA122" s="99"/>
      <c r="AB122" s="99"/>
    </row>
    <row r="123">
      <c r="A123" s="26"/>
      <c r="B123" s="26"/>
      <c r="C123" s="26"/>
      <c r="D123" s="26"/>
      <c r="E123" s="110" t="s">
        <v>408</v>
      </c>
      <c r="F123" s="111" t="s">
        <v>409</v>
      </c>
      <c r="G123" s="26"/>
      <c r="H123" s="26"/>
      <c r="I123" s="99"/>
      <c r="J123" s="99"/>
      <c r="K123" s="99"/>
      <c r="L123" s="99"/>
      <c r="M123" s="99"/>
      <c r="N123" s="99"/>
      <c r="O123" s="99"/>
      <c r="P123" s="99"/>
      <c r="Q123" s="99"/>
      <c r="R123" s="99"/>
      <c r="S123" s="99"/>
      <c r="T123" s="99"/>
      <c r="U123" s="99"/>
      <c r="V123" s="99"/>
      <c r="W123" s="99"/>
      <c r="X123" s="99"/>
      <c r="Y123" s="99"/>
      <c r="Z123" s="99"/>
      <c r="AA123" s="99"/>
      <c r="AB123" s="99"/>
    </row>
    <row r="124">
      <c r="A124" s="26"/>
      <c r="B124" s="26"/>
      <c r="C124" s="26"/>
      <c r="D124" s="26"/>
      <c r="E124" s="113"/>
      <c r="F124" s="111" t="s">
        <v>366</v>
      </c>
      <c r="G124" s="26"/>
      <c r="H124" s="26"/>
      <c r="I124" s="99"/>
      <c r="J124" s="99"/>
      <c r="K124" s="99"/>
      <c r="L124" s="99"/>
      <c r="M124" s="99"/>
      <c r="N124" s="99"/>
      <c r="O124" s="99"/>
      <c r="P124" s="99"/>
      <c r="Q124" s="99"/>
      <c r="R124" s="99"/>
      <c r="S124" s="99"/>
      <c r="T124" s="99"/>
      <c r="U124" s="99"/>
      <c r="V124" s="99"/>
      <c r="W124" s="99"/>
      <c r="X124" s="99"/>
      <c r="Y124" s="99"/>
      <c r="Z124" s="99"/>
      <c r="AA124" s="99"/>
      <c r="AB124" s="99"/>
    </row>
    <row r="125">
      <c r="A125" s="26"/>
      <c r="B125" s="26"/>
      <c r="C125" s="26"/>
      <c r="D125" s="26"/>
      <c r="E125" s="110" t="s">
        <v>410</v>
      </c>
      <c r="F125" s="111" t="s">
        <v>409</v>
      </c>
      <c r="G125" s="26"/>
      <c r="H125" s="26"/>
      <c r="I125" s="99"/>
      <c r="J125" s="99"/>
      <c r="K125" s="99"/>
      <c r="L125" s="99"/>
      <c r="M125" s="99"/>
      <c r="N125" s="99"/>
      <c r="O125" s="99"/>
      <c r="P125" s="99"/>
      <c r="Q125" s="99"/>
      <c r="R125" s="99"/>
      <c r="S125" s="99"/>
      <c r="T125" s="99"/>
      <c r="U125" s="99"/>
      <c r="V125" s="99"/>
      <c r="W125" s="99"/>
      <c r="X125" s="99"/>
      <c r="Y125" s="99"/>
      <c r="Z125" s="99"/>
      <c r="AA125" s="99"/>
      <c r="AB125" s="99"/>
    </row>
    <row r="126">
      <c r="A126" s="26"/>
      <c r="B126" s="26"/>
      <c r="C126" s="26"/>
      <c r="D126" s="27"/>
      <c r="E126" s="110" t="s">
        <v>411</v>
      </c>
      <c r="F126" s="111" t="s">
        <v>412</v>
      </c>
      <c r="G126" s="26"/>
      <c r="H126" s="26"/>
      <c r="I126" s="99"/>
      <c r="J126" s="99"/>
      <c r="K126" s="99"/>
      <c r="L126" s="99"/>
      <c r="M126" s="99"/>
      <c r="N126" s="99"/>
      <c r="O126" s="99"/>
      <c r="P126" s="99"/>
      <c r="Q126" s="99"/>
      <c r="R126" s="99"/>
      <c r="S126" s="99"/>
      <c r="T126" s="99"/>
      <c r="U126" s="99"/>
      <c r="V126" s="99"/>
      <c r="W126" s="99"/>
      <c r="X126" s="99"/>
      <c r="Y126" s="99"/>
      <c r="Z126" s="99"/>
      <c r="AA126" s="99"/>
      <c r="AB126" s="99"/>
    </row>
    <row r="127">
      <c r="A127" s="26"/>
      <c r="B127" s="26"/>
      <c r="C127" s="26"/>
      <c r="D127" s="117" t="s">
        <v>413</v>
      </c>
      <c r="E127" s="118" t="s">
        <v>414</v>
      </c>
      <c r="F127" s="111" t="s">
        <v>415</v>
      </c>
      <c r="G127" s="120" t="s">
        <v>415</v>
      </c>
      <c r="H127" s="26"/>
      <c r="I127" s="99"/>
      <c r="J127" s="99"/>
      <c r="K127" s="99"/>
      <c r="L127" s="99"/>
      <c r="M127" s="99"/>
      <c r="N127" s="99"/>
      <c r="O127" s="99"/>
      <c r="P127" s="99"/>
      <c r="Q127" s="99"/>
      <c r="R127" s="99"/>
      <c r="S127" s="99"/>
      <c r="T127" s="99"/>
      <c r="U127" s="99"/>
      <c r="V127" s="99"/>
      <c r="W127" s="99"/>
      <c r="X127" s="99"/>
      <c r="Y127" s="99"/>
      <c r="Z127" s="99"/>
      <c r="AA127" s="99"/>
      <c r="AB127" s="99"/>
    </row>
    <row r="128">
      <c r="A128" s="26"/>
      <c r="B128" s="26"/>
      <c r="C128" s="26"/>
      <c r="D128" s="26"/>
      <c r="E128" s="119"/>
      <c r="F128" s="111" t="s">
        <v>363</v>
      </c>
      <c r="G128" s="26"/>
      <c r="H128" s="26"/>
      <c r="I128" s="99"/>
      <c r="J128" s="99"/>
      <c r="K128" s="99"/>
      <c r="L128" s="99"/>
      <c r="M128" s="99"/>
      <c r="N128" s="99"/>
      <c r="O128" s="99"/>
      <c r="P128" s="99"/>
      <c r="Q128" s="99"/>
      <c r="R128" s="99"/>
      <c r="S128" s="99"/>
      <c r="T128" s="99"/>
      <c r="U128" s="99"/>
      <c r="V128" s="99"/>
      <c r="W128" s="99"/>
      <c r="X128" s="99"/>
      <c r="Y128" s="99"/>
      <c r="Z128" s="99"/>
      <c r="AA128" s="99"/>
      <c r="AB128" s="99"/>
    </row>
    <row r="129">
      <c r="A129" s="26"/>
      <c r="B129" s="26"/>
      <c r="C129" s="26"/>
      <c r="D129" s="26"/>
      <c r="E129" s="119"/>
      <c r="F129" s="111" t="s">
        <v>329</v>
      </c>
      <c r="G129" s="26"/>
      <c r="H129" s="26"/>
      <c r="I129" s="99"/>
      <c r="J129" s="99"/>
      <c r="K129" s="99"/>
      <c r="L129" s="99"/>
      <c r="M129" s="99"/>
      <c r="N129" s="99"/>
      <c r="O129" s="99"/>
      <c r="P129" s="99"/>
      <c r="Q129" s="99"/>
      <c r="R129" s="99"/>
      <c r="S129" s="99"/>
      <c r="T129" s="99"/>
      <c r="U129" s="99"/>
      <c r="V129" s="99"/>
      <c r="W129" s="99"/>
      <c r="X129" s="99"/>
      <c r="Y129" s="99"/>
      <c r="Z129" s="99"/>
      <c r="AA129" s="99"/>
      <c r="AB129" s="99"/>
    </row>
    <row r="130">
      <c r="A130" s="26"/>
      <c r="B130" s="26"/>
      <c r="C130" s="26"/>
      <c r="D130" s="26"/>
      <c r="E130" s="113"/>
      <c r="F130" s="111" t="s">
        <v>406</v>
      </c>
      <c r="G130" s="26"/>
      <c r="H130" s="26"/>
      <c r="I130" s="99"/>
      <c r="J130" s="99"/>
      <c r="K130" s="99"/>
      <c r="L130" s="99"/>
      <c r="M130" s="99"/>
      <c r="N130" s="99"/>
      <c r="O130" s="99"/>
      <c r="P130" s="99"/>
      <c r="Q130" s="99"/>
      <c r="R130" s="99"/>
      <c r="S130" s="99"/>
      <c r="T130" s="99"/>
      <c r="U130" s="99"/>
      <c r="V130" s="99"/>
      <c r="W130" s="99"/>
      <c r="X130" s="99"/>
      <c r="Y130" s="99"/>
      <c r="Z130" s="99"/>
      <c r="AA130" s="99"/>
      <c r="AB130" s="99"/>
    </row>
    <row r="131">
      <c r="A131" s="26"/>
      <c r="B131" s="26"/>
      <c r="C131" s="26"/>
      <c r="D131" s="26"/>
      <c r="E131" s="110" t="s">
        <v>416</v>
      </c>
      <c r="F131" s="111" t="s">
        <v>417</v>
      </c>
      <c r="G131" s="26"/>
      <c r="H131" s="26"/>
      <c r="I131" s="99"/>
      <c r="J131" s="99"/>
      <c r="K131" s="99"/>
      <c r="L131" s="99"/>
      <c r="M131" s="99"/>
      <c r="N131" s="99"/>
      <c r="O131" s="99"/>
      <c r="P131" s="99"/>
      <c r="Q131" s="99"/>
      <c r="R131" s="99"/>
      <c r="S131" s="99"/>
      <c r="T131" s="99"/>
      <c r="U131" s="99"/>
      <c r="V131" s="99"/>
      <c r="W131" s="99"/>
      <c r="X131" s="99"/>
      <c r="Y131" s="99"/>
      <c r="Z131" s="99"/>
      <c r="AA131" s="99"/>
      <c r="AB131" s="99"/>
    </row>
    <row r="132">
      <c r="A132" s="26"/>
      <c r="B132" s="26"/>
      <c r="C132" s="26"/>
      <c r="D132" s="26"/>
      <c r="E132" s="113"/>
      <c r="F132" s="111" t="s">
        <v>418</v>
      </c>
      <c r="G132" s="26"/>
      <c r="H132" s="26"/>
      <c r="I132" s="99"/>
      <c r="J132" s="99"/>
      <c r="K132" s="99"/>
      <c r="L132" s="99"/>
      <c r="M132" s="99"/>
      <c r="N132" s="99"/>
      <c r="O132" s="99"/>
      <c r="P132" s="99"/>
      <c r="Q132" s="99"/>
      <c r="R132" s="99"/>
      <c r="S132" s="99"/>
      <c r="T132" s="99"/>
      <c r="U132" s="99"/>
      <c r="V132" s="99"/>
      <c r="W132" s="99"/>
      <c r="X132" s="99"/>
      <c r="Y132" s="99"/>
      <c r="Z132" s="99"/>
      <c r="AA132" s="99"/>
      <c r="AB132" s="99"/>
    </row>
    <row r="133">
      <c r="A133" s="26"/>
      <c r="B133" s="26"/>
      <c r="C133" s="26"/>
      <c r="D133" s="26"/>
      <c r="E133" s="113"/>
      <c r="F133" s="111" t="s">
        <v>419</v>
      </c>
      <c r="G133" s="26"/>
      <c r="H133" s="26"/>
      <c r="I133" s="99"/>
      <c r="J133" s="99"/>
      <c r="K133" s="99"/>
      <c r="L133" s="99"/>
      <c r="M133" s="99"/>
      <c r="N133" s="99"/>
      <c r="O133" s="99"/>
      <c r="P133" s="99"/>
      <c r="Q133" s="99"/>
      <c r="R133" s="99"/>
      <c r="S133" s="99"/>
      <c r="T133" s="99"/>
      <c r="U133" s="99"/>
      <c r="V133" s="99"/>
      <c r="W133" s="99"/>
      <c r="X133" s="99"/>
      <c r="Y133" s="99"/>
      <c r="Z133" s="99"/>
      <c r="AA133" s="99"/>
      <c r="AB133" s="99"/>
    </row>
    <row r="134">
      <c r="A134" s="26"/>
      <c r="B134" s="26"/>
      <c r="C134" s="26"/>
      <c r="D134" s="26"/>
      <c r="E134" s="113"/>
      <c r="F134" s="111" t="s">
        <v>420</v>
      </c>
      <c r="G134" s="26"/>
      <c r="H134" s="26"/>
      <c r="I134" s="99"/>
      <c r="J134" s="99"/>
      <c r="K134" s="99"/>
      <c r="L134" s="99"/>
      <c r="M134" s="99"/>
      <c r="N134" s="99"/>
      <c r="O134" s="99"/>
      <c r="P134" s="99"/>
      <c r="Q134" s="99"/>
      <c r="R134" s="99"/>
      <c r="S134" s="99"/>
      <c r="T134" s="99"/>
      <c r="U134" s="99"/>
      <c r="V134" s="99"/>
      <c r="W134" s="99"/>
      <c r="X134" s="99"/>
      <c r="Y134" s="99"/>
      <c r="Z134" s="99"/>
      <c r="AA134" s="99"/>
      <c r="AB134" s="99"/>
    </row>
    <row r="135">
      <c r="A135" s="26"/>
      <c r="B135" s="26"/>
      <c r="C135" s="26"/>
      <c r="D135" s="26"/>
      <c r="E135" s="113"/>
      <c r="F135" s="111" t="s">
        <v>421</v>
      </c>
      <c r="G135" s="26"/>
      <c r="H135" s="26"/>
      <c r="I135" s="99"/>
      <c r="J135" s="99"/>
      <c r="K135" s="99"/>
      <c r="L135" s="99"/>
      <c r="M135" s="99"/>
      <c r="N135" s="99"/>
      <c r="O135" s="99"/>
      <c r="P135" s="99"/>
      <c r="Q135" s="99"/>
      <c r="R135" s="99"/>
      <c r="S135" s="99"/>
      <c r="T135" s="99"/>
      <c r="U135" s="99"/>
      <c r="V135" s="99"/>
      <c r="W135" s="99"/>
      <c r="X135" s="99"/>
      <c r="Y135" s="99"/>
      <c r="Z135" s="99"/>
      <c r="AA135" s="99"/>
      <c r="AB135" s="99"/>
    </row>
    <row r="136">
      <c r="A136" s="26"/>
      <c r="B136" s="26"/>
      <c r="C136" s="26"/>
      <c r="D136" s="26"/>
      <c r="E136" s="110" t="s">
        <v>422</v>
      </c>
      <c r="F136" s="111" t="s">
        <v>423</v>
      </c>
      <c r="G136" s="26"/>
      <c r="H136" s="26"/>
      <c r="I136" s="99"/>
      <c r="J136" s="99"/>
      <c r="K136" s="99"/>
      <c r="L136" s="99"/>
      <c r="M136" s="99"/>
      <c r="N136" s="99"/>
      <c r="O136" s="99"/>
      <c r="P136" s="99"/>
      <c r="Q136" s="99"/>
      <c r="R136" s="99"/>
      <c r="S136" s="99"/>
      <c r="T136" s="99"/>
      <c r="U136" s="99"/>
      <c r="V136" s="99"/>
      <c r="W136" s="99"/>
      <c r="X136" s="99"/>
      <c r="Y136" s="99"/>
      <c r="Z136" s="99"/>
      <c r="AA136" s="99"/>
      <c r="AB136" s="99"/>
    </row>
    <row r="137">
      <c r="A137" s="26"/>
      <c r="B137" s="26"/>
      <c r="C137" s="26"/>
      <c r="D137" s="26"/>
      <c r="E137" s="113"/>
      <c r="F137" s="114" t="s">
        <v>424</v>
      </c>
      <c r="G137" s="26"/>
      <c r="H137" s="26"/>
      <c r="I137" s="99"/>
      <c r="J137" s="99"/>
      <c r="K137" s="99"/>
      <c r="L137" s="99"/>
      <c r="M137" s="99"/>
      <c r="N137" s="99"/>
      <c r="O137" s="99"/>
      <c r="P137" s="99"/>
      <c r="Q137" s="99"/>
      <c r="R137" s="99"/>
      <c r="S137" s="99"/>
      <c r="T137" s="99"/>
      <c r="U137" s="99"/>
      <c r="V137" s="99"/>
      <c r="W137" s="99"/>
      <c r="X137" s="99"/>
      <c r="Y137" s="99"/>
      <c r="Z137" s="99"/>
      <c r="AA137" s="99"/>
      <c r="AB137" s="99"/>
    </row>
    <row r="138">
      <c r="A138" s="26"/>
      <c r="B138" s="26"/>
      <c r="C138" s="26"/>
      <c r="D138" s="26"/>
      <c r="E138" s="113"/>
      <c r="F138" s="111" t="s">
        <v>425</v>
      </c>
      <c r="G138" s="26"/>
      <c r="H138" s="26"/>
      <c r="I138" s="99"/>
      <c r="J138" s="99"/>
      <c r="K138" s="99"/>
      <c r="L138" s="99"/>
      <c r="M138" s="99"/>
      <c r="N138" s="99"/>
      <c r="O138" s="99"/>
      <c r="P138" s="99"/>
      <c r="Q138" s="99"/>
      <c r="R138" s="99"/>
      <c r="S138" s="99"/>
      <c r="T138" s="99"/>
      <c r="U138" s="99"/>
      <c r="V138" s="99"/>
      <c r="W138" s="99"/>
      <c r="X138" s="99"/>
      <c r="Y138" s="99"/>
      <c r="Z138" s="99"/>
      <c r="AA138" s="99"/>
      <c r="AB138" s="99"/>
    </row>
    <row r="139">
      <c r="A139" s="26"/>
      <c r="B139" s="26"/>
      <c r="C139" s="26"/>
      <c r="D139" s="26"/>
      <c r="E139" s="110" t="s">
        <v>426</v>
      </c>
      <c r="F139" s="111" t="s">
        <v>427</v>
      </c>
      <c r="G139" s="26"/>
      <c r="H139" s="26"/>
      <c r="I139" s="99"/>
      <c r="J139" s="99"/>
      <c r="K139" s="99"/>
      <c r="L139" s="99"/>
      <c r="M139" s="99"/>
      <c r="N139" s="99"/>
      <c r="O139" s="99"/>
      <c r="P139" s="99"/>
      <c r="Q139" s="99"/>
      <c r="R139" s="99"/>
      <c r="S139" s="99"/>
      <c r="T139" s="99"/>
      <c r="U139" s="99"/>
      <c r="V139" s="99"/>
      <c r="W139" s="99"/>
      <c r="X139" s="99"/>
      <c r="Y139" s="99"/>
      <c r="Z139" s="99"/>
      <c r="AA139" s="99"/>
      <c r="AB139" s="99"/>
    </row>
    <row r="140">
      <c r="A140" s="26"/>
      <c r="B140" s="26"/>
      <c r="C140" s="26"/>
      <c r="D140" s="26"/>
      <c r="E140" s="113"/>
      <c r="F140" s="111" t="s">
        <v>326</v>
      </c>
      <c r="G140" s="26"/>
      <c r="H140" s="26"/>
      <c r="I140" s="99"/>
      <c r="J140" s="99"/>
      <c r="K140" s="99"/>
      <c r="L140" s="99"/>
      <c r="M140" s="99"/>
      <c r="N140" s="99"/>
      <c r="O140" s="99"/>
      <c r="P140" s="99"/>
      <c r="Q140" s="99"/>
      <c r="R140" s="99"/>
      <c r="S140" s="99"/>
      <c r="T140" s="99"/>
      <c r="U140" s="99"/>
      <c r="V140" s="99"/>
      <c r="W140" s="99"/>
      <c r="X140" s="99"/>
      <c r="Y140" s="99"/>
      <c r="Z140" s="99"/>
      <c r="AA140" s="99"/>
      <c r="AB140" s="99"/>
    </row>
    <row r="141">
      <c r="A141" s="26"/>
      <c r="B141" s="26"/>
      <c r="C141" s="26"/>
      <c r="D141" s="26"/>
      <c r="E141" s="113"/>
      <c r="F141" s="111" t="s">
        <v>363</v>
      </c>
      <c r="G141" s="26"/>
      <c r="H141" s="26"/>
      <c r="I141" s="99"/>
      <c r="J141" s="99"/>
      <c r="K141" s="99"/>
      <c r="L141" s="99"/>
      <c r="M141" s="99"/>
      <c r="N141" s="99"/>
      <c r="O141" s="99"/>
      <c r="P141" s="99"/>
      <c r="Q141" s="99"/>
      <c r="R141" s="99"/>
      <c r="S141" s="99"/>
      <c r="T141" s="99"/>
      <c r="U141" s="99"/>
      <c r="V141" s="99"/>
      <c r="W141" s="99"/>
      <c r="X141" s="99"/>
      <c r="Y141" s="99"/>
      <c r="Z141" s="99"/>
      <c r="AA141" s="99"/>
      <c r="AB141" s="99"/>
    </row>
    <row r="142">
      <c r="A142" s="26"/>
      <c r="B142" s="26"/>
      <c r="C142" s="26"/>
      <c r="D142" s="26"/>
      <c r="E142" s="110" t="s">
        <v>428</v>
      </c>
      <c r="F142" s="111" t="s">
        <v>429</v>
      </c>
      <c r="G142" s="26"/>
      <c r="H142" s="26"/>
      <c r="I142" s="99"/>
      <c r="J142" s="99"/>
      <c r="K142" s="99"/>
      <c r="L142" s="99"/>
      <c r="M142" s="99"/>
      <c r="N142" s="99"/>
      <c r="O142" s="99"/>
      <c r="P142" s="99"/>
      <c r="Q142" s="99"/>
      <c r="R142" s="99"/>
      <c r="S142" s="99"/>
      <c r="T142" s="99"/>
      <c r="U142" s="99"/>
      <c r="V142" s="99"/>
      <c r="W142" s="99"/>
      <c r="X142" s="99"/>
      <c r="Y142" s="99"/>
      <c r="Z142" s="99"/>
      <c r="AA142" s="99"/>
      <c r="AB142" s="99"/>
    </row>
    <row r="143">
      <c r="A143" s="26"/>
      <c r="B143" s="26"/>
      <c r="C143" s="26"/>
      <c r="D143" s="26"/>
      <c r="E143" s="113"/>
      <c r="F143" s="111" t="s">
        <v>430</v>
      </c>
      <c r="G143" s="26"/>
      <c r="H143" s="26"/>
      <c r="I143" s="99"/>
      <c r="J143" s="99"/>
      <c r="K143" s="99"/>
      <c r="L143" s="99"/>
      <c r="M143" s="99"/>
      <c r="N143" s="99"/>
      <c r="O143" s="99"/>
      <c r="P143" s="99"/>
      <c r="Q143" s="99"/>
      <c r="R143" s="99"/>
      <c r="S143" s="99"/>
      <c r="T143" s="99"/>
      <c r="U143" s="99"/>
      <c r="V143" s="99"/>
      <c r="W143" s="99"/>
      <c r="X143" s="99"/>
      <c r="Y143" s="99"/>
      <c r="Z143" s="99"/>
      <c r="AA143" s="99"/>
      <c r="AB143" s="99"/>
    </row>
    <row r="144">
      <c r="A144" s="26"/>
      <c r="B144" s="26"/>
      <c r="C144" s="26"/>
      <c r="D144" s="26"/>
      <c r="E144" s="113"/>
      <c r="F144" s="111" t="s">
        <v>431</v>
      </c>
      <c r="G144" s="27"/>
      <c r="H144" s="27"/>
      <c r="I144" s="99"/>
      <c r="J144" s="99"/>
      <c r="K144" s="99"/>
      <c r="L144" s="99"/>
      <c r="M144" s="99"/>
      <c r="N144" s="99"/>
      <c r="O144" s="99"/>
      <c r="P144" s="99"/>
      <c r="Q144" s="99"/>
      <c r="R144" s="99"/>
      <c r="S144" s="99"/>
      <c r="T144" s="99"/>
      <c r="U144" s="99"/>
      <c r="V144" s="99"/>
      <c r="W144" s="99"/>
      <c r="X144" s="99"/>
      <c r="Y144" s="99"/>
      <c r="Z144" s="99"/>
      <c r="AA144" s="99"/>
      <c r="AB144" s="99"/>
    </row>
    <row r="145">
      <c r="A145" s="26"/>
      <c r="B145" s="26"/>
      <c r="C145" s="26"/>
      <c r="D145" s="109" t="s">
        <v>307</v>
      </c>
      <c r="E145" s="110" t="s">
        <v>432</v>
      </c>
      <c r="F145" s="111" t="s">
        <v>433</v>
      </c>
      <c r="G145" s="116" t="s">
        <v>433</v>
      </c>
      <c r="H145" s="112" t="s">
        <v>434</v>
      </c>
      <c r="I145" s="99"/>
      <c r="J145" s="99"/>
      <c r="K145" s="99"/>
      <c r="L145" s="99"/>
      <c r="M145" s="99"/>
      <c r="N145" s="99"/>
      <c r="O145" s="99"/>
      <c r="P145" s="99"/>
      <c r="Q145" s="99"/>
      <c r="R145" s="99"/>
      <c r="S145" s="99"/>
      <c r="T145" s="99"/>
      <c r="U145" s="99"/>
      <c r="V145" s="99"/>
      <c r="W145" s="99"/>
      <c r="X145" s="99"/>
      <c r="Y145" s="99"/>
      <c r="Z145" s="99"/>
      <c r="AA145" s="99"/>
      <c r="AB145" s="99"/>
    </row>
    <row r="146">
      <c r="A146" s="26"/>
      <c r="B146" s="26"/>
      <c r="C146" s="26"/>
      <c r="D146" s="26"/>
      <c r="E146" s="113"/>
      <c r="F146" s="111" t="s">
        <v>363</v>
      </c>
      <c r="G146" s="26"/>
      <c r="H146" s="26"/>
      <c r="I146" s="99"/>
      <c r="J146" s="99"/>
      <c r="K146" s="99"/>
      <c r="L146" s="99"/>
      <c r="M146" s="99"/>
      <c r="N146" s="99"/>
      <c r="O146" s="99"/>
      <c r="P146" s="99"/>
      <c r="Q146" s="99"/>
      <c r="R146" s="99"/>
      <c r="S146" s="99"/>
      <c r="T146" s="99"/>
      <c r="U146" s="99"/>
      <c r="V146" s="99"/>
      <c r="W146" s="99"/>
      <c r="X146" s="99"/>
      <c r="Y146" s="99"/>
      <c r="Z146" s="99"/>
      <c r="AA146" s="99"/>
      <c r="AB146" s="99"/>
    </row>
    <row r="147">
      <c r="A147" s="26"/>
      <c r="B147" s="26"/>
      <c r="C147" s="26"/>
      <c r="D147" s="26"/>
      <c r="E147" s="113"/>
      <c r="F147" s="111" t="s">
        <v>326</v>
      </c>
      <c r="G147" s="26"/>
      <c r="H147" s="26"/>
      <c r="I147" s="99"/>
      <c r="J147" s="99"/>
      <c r="K147" s="99"/>
      <c r="L147" s="99"/>
      <c r="M147" s="99"/>
      <c r="N147" s="99"/>
      <c r="O147" s="99"/>
      <c r="P147" s="99"/>
      <c r="Q147" s="99"/>
      <c r="R147" s="99"/>
      <c r="S147" s="99"/>
      <c r="T147" s="99"/>
      <c r="U147" s="99"/>
      <c r="V147" s="99"/>
      <c r="W147" s="99"/>
      <c r="X147" s="99"/>
      <c r="Y147" s="99"/>
      <c r="Z147" s="99"/>
      <c r="AA147" s="99"/>
      <c r="AB147" s="99"/>
    </row>
    <row r="148">
      <c r="A148" s="26"/>
      <c r="B148" s="26"/>
      <c r="C148" s="26"/>
      <c r="D148" s="26"/>
      <c r="E148" s="113"/>
      <c r="F148" s="111" t="s">
        <v>435</v>
      </c>
      <c r="G148" s="26"/>
      <c r="H148" s="26"/>
      <c r="I148" s="99"/>
      <c r="J148" s="99"/>
      <c r="K148" s="99"/>
      <c r="L148" s="99"/>
      <c r="M148" s="99"/>
      <c r="N148" s="99"/>
      <c r="O148" s="99"/>
      <c r="P148" s="99"/>
      <c r="Q148" s="99"/>
      <c r="R148" s="99"/>
      <c r="S148" s="99"/>
      <c r="T148" s="99"/>
      <c r="U148" s="99"/>
      <c r="V148" s="99"/>
      <c r="W148" s="99"/>
      <c r="X148" s="99"/>
      <c r="Y148" s="99"/>
      <c r="Z148" s="99"/>
      <c r="AA148" s="99"/>
      <c r="AB148" s="99"/>
    </row>
    <row r="149">
      <c r="A149" s="26"/>
      <c r="B149" s="26"/>
      <c r="C149" s="26"/>
      <c r="D149" s="27"/>
      <c r="E149" s="113"/>
      <c r="F149" s="111" t="s">
        <v>374</v>
      </c>
      <c r="G149" s="26"/>
      <c r="H149" s="26"/>
      <c r="I149" s="99"/>
      <c r="J149" s="99"/>
      <c r="K149" s="99"/>
      <c r="L149" s="99"/>
      <c r="M149" s="99"/>
      <c r="N149" s="99"/>
      <c r="O149" s="99"/>
      <c r="P149" s="99"/>
      <c r="Q149" s="99"/>
      <c r="R149" s="99"/>
      <c r="S149" s="99"/>
      <c r="T149" s="99"/>
      <c r="U149" s="99"/>
      <c r="V149" s="99"/>
      <c r="W149" s="99"/>
      <c r="X149" s="99"/>
      <c r="Y149" s="99"/>
      <c r="Z149" s="99"/>
      <c r="AA149" s="99"/>
      <c r="AB149" s="99"/>
    </row>
    <row r="150">
      <c r="A150" s="26"/>
      <c r="B150" s="26"/>
      <c r="C150" s="26"/>
      <c r="D150" s="121" t="s">
        <v>436</v>
      </c>
      <c r="E150" s="110" t="s">
        <v>437</v>
      </c>
      <c r="F150" s="111" t="s">
        <v>438</v>
      </c>
      <c r="G150" s="120" t="s">
        <v>439</v>
      </c>
      <c r="H150" s="26"/>
      <c r="I150" s="99"/>
      <c r="J150" s="99"/>
      <c r="K150" s="99"/>
      <c r="L150" s="99"/>
      <c r="M150" s="99"/>
      <c r="N150" s="99"/>
      <c r="O150" s="99"/>
      <c r="P150" s="99"/>
      <c r="Q150" s="99"/>
      <c r="R150" s="99"/>
      <c r="S150" s="99"/>
      <c r="T150" s="99"/>
      <c r="U150" s="99"/>
      <c r="V150" s="99"/>
      <c r="W150" s="99"/>
      <c r="X150" s="99"/>
      <c r="Y150" s="99"/>
      <c r="Z150" s="99"/>
      <c r="AA150" s="99"/>
      <c r="AB150" s="99"/>
    </row>
    <row r="151">
      <c r="A151" s="26"/>
      <c r="B151" s="26"/>
      <c r="C151" s="26"/>
      <c r="D151" s="26"/>
      <c r="E151" s="110" t="s">
        <v>440</v>
      </c>
      <c r="F151" s="111" t="s">
        <v>438</v>
      </c>
      <c r="G151" s="26"/>
      <c r="H151" s="26"/>
      <c r="I151" s="99"/>
      <c r="J151" s="99"/>
      <c r="K151" s="99"/>
      <c r="L151" s="99"/>
      <c r="M151" s="99"/>
      <c r="N151" s="99"/>
      <c r="O151" s="99"/>
      <c r="P151" s="99"/>
      <c r="Q151" s="99"/>
      <c r="R151" s="99"/>
      <c r="S151" s="99"/>
      <c r="T151" s="99"/>
      <c r="U151" s="99"/>
      <c r="V151" s="99"/>
      <c r="W151" s="99"/>
      <c r="X151" s="99"/>
      <c r="Y151" s="99"/>
      <c r="Z151" s="99"/>
      <c r="AA151" s="99"/>
      <c r="AB151" s="99"/>
    </row>
    <row r="152">
      <c r="A152" s="26"/>
      <c r="B152" s="26"/>
      <c r="C152" s="26"/>
      <c r="D152" s="26"/>
      <c r="E152" s="110" t="s">
        <v>441</v>
      </c>
      <c r="F152" s="111" t="s">
        <v>442</v>
      </c>
      <c r="G152" s="26"/>
      <c r="H152" s="26"/>
      <c r="I152" s="99"/>
      <c r="J152" s="99"/>
      <c r="K152" s="99"/>
      <c r="L152" s="99"/>
      <c r="M152" s="99"/>
      <c r="N152" s="99"/>
      <c r="O152" s="99"/>
      <c r="P152" s="99"/>
      <c r="Q152" s="99"/>
      <c r="R152" s="99"/>
      <c r="S152" s="99"/>
      <c r="T152" s="99"/>
      <c r="U152" s="99"/>
      <c r="V152" s="99"/>
      <c r="W152" s="99"/>
      <c r="X152" s="99"/>
      <c r="Y152" s="99"/>
      <c r="Z152" s="99"/>
      <c r="AA152" s="99"/>
      <c r="AB152" s="99"/>
    </row>
    <row r="153">
      <c r="A153" s="26"/>
      <c r="B153" s="26"/>
      <c r="C153" s="26"/>
      <c r="D153" s="26"/>
      <c r="E153" s="110" t="s">
        <v>443</v>
      </c>
      <c r="F153" s="111" t="s">
        <v>444</v>
      </c>
      <c r="G153" s="26"/>
      <c r="H153" s="26"/>
      <c r="I153" s="99"/>
      <c r="J153" s="99"/>
      <c r="K153" s="99"/>
      <c r="L153" s="99"/>
      <c r="M153" s="99"/>
      <c r="N153" s="99"/>
      <c r="O153" s="99"/>
      <c r="P153" s="99"/>
      <c r="Q153" s="99"/>
      <c r="R153" s="99"/>
      <c r="S153" s="99"/>
      <c r="T153" s="99"/>
      <c r="U153" s="99"/>
      <c r="V153" s="99"/>
      <c r="W153" s="99"/>
      <c r="X153" s="99"/>
      <c r="Y153" s="99"/>
      <c r="Z153" s="99"/>
      <c r="AA153" s="99"/>
      <c r="AB153" s="99"/>
    </row>
    <row r="154">
      <c r="A154" s="26"/>
      <c r="B154" s="26"/>
      <c r="C154" s="26"/>
      <c r="D154" s="26"/>
      <c r="E154" s="113"/>
      <c r="F154" s="111" t="s">
        <v>363</v>
      </c>
      <c r="G154" s="26"/>
      <c r="H154" s="26"/>
      <c r="I154" s="99"/>
      <c r="J154" s="99"/>
      <c r="K154" s="99"/>
      <c r="L154" s="99"/>
      <c r="M154" s="99"/>
      <c r="N154" s="99"/>
      <c r="O154" s="99"/>
      <c r="P154" s="99"/>
      <c r="Q154" s="99"/>
      <c r="R154" s="99"/>
      <c r="S154" s="99"/>
      <c r="T154" s="99"/>
      <c r="U154" s="99"/>
      <c r="V154" s="99"/>
      <c r="W154" s="99"/>
      <c r="X154" s="99"/>
      <c r="Y154" s="99"/>
      <c r="Z154" s="99"/>
      <c r="AA154" s="99"/>
      <c r="AB154" s="99"/>
    </row>
    <row r="155">
      <c r="A155" s="26"/>
      <c r="B155" s="26"/>
      <c r="C155" s="26"/>
      <c r="D155" s="26"/>
      <c r="E155" s="110" t="s">
        <v>445</v>
      </c>
      <c r="F155" s="111" t="s">
        <v>446</v>
      </c>
      <c r="G155" s="26"/>
      <c r="H155" s="26"/>
      <c r="I155" s="99"/>
      <c r="J155" s="99"/>
      <c r="K155" s="99"/>
      <c r="L155" s="99"/>
      <c r="M155" s="99"/>
      <c r="N155" s="99"/>
      <c r="O155" s="99"/>
      <c r="P155" s="99"/>
      <c r="Q155" s="99"/>
      <c r="R155" s="99"/>
      <c r="S155" s="99"/>
      <c r="T155" s="99"/>
      <c r="U155" s="99"/>
      <c r="V155" s="99"/>
      <c r="W155" s="99"/>
      <c r="X155" s="99"/>
      <c r="Y155" s="99"/>
      <c r="Z155" s="99"/>
      <c r="AA155" s="99"/>
      <c r="AB155" s="99"/>
    </row>
    <row r="156">
      <c r="A156" s="26"/>
      <c r="B156" s="26"/>
      <c r="C156" s="26"/>
      <c r="D156" s="26"/>
      <c r="E156" s="119"/>
      <c r="F156" s="111" t="s">
        <v>363</v>
      </c>
      <c r="G156" s="26"/>
      <c r="H156" s="26"/>
      <c r="I156" s="99"/>
      <c r="J156" s="99"/>
      <c r="K156" s="99"/>
      <c r="L156" s="99"/>
      <c r="M156" s="99"/>
      <c r="N156" s="99"/>
      <c r="O156" s="99"/>
      <c r="P156" s="99"/>
      <c r="Q156" s="99"/>
      <c r="R156" s="99"/>
      <c r="S156" s="99"/>
      <c r="T156" s="99"/>
      <c r="U156" s="99"/>
      <c r="V156" s="99"/>
      <c r="W156" s="99"/>
      <c r="X156" s="99"/>
      <c r="Y156" s="99"/>
      <c r="Z156" s="99"/>
      <c r="AA156" s="99"/>
      <c r="AB156" s="99"/>
    </row>
    <row r="157">
      <c r="A157" s="26"/>
      <c r="B157" s="26"/>
      <c r="C157" s="26"/>
      <c r="D157" s="26"/>
      <c r="E157" s="118" t="s">
        <v>447</v>
      </c>
      <c r="F157" s="111" t="s">
        <v>448</v>
      </c>
      <c r="G157" s="27"/>
      <c r="H157" s="27"/>
      <c r="I157" s="99"/>
      <c r="J157" s="99"/>
      <c r="K157" s="99"/>
      <c r="L157" s="99"/>
      <c r="M157" s="99"/>
      <c r="N157" s="99"/>
      <c r="O157" s="99"/>
      <c r="P157" s="99"/>
      <c r="Q157" s="99"/>
      <c r="R157" s="99"/>
      <c r="S157" s="99"/>
      <c r="T157" s="99"/>
      <c r="U157" s="99"/>
      <c r="V157" s="99"/>
      <c r="W157" s="99"/>
      <c r="X157" s="99"/>
      <c r="Y157" s="99"/>
      <c r="Z157" s="99"/>
      <c r="AA157" s="99"/>
      <c r="AB157" s="99"/>
    </row>
    <row r="158">
      <c r="A158" s="26"/>
      <c r="B158" s="26"/>
      <c r="C158" s="26"/>
      <c r="D158" s="109" t="s">
        <v>449</v>
      </c>
      <c r="E158" s="110" t="s">
        <v>450</v>
      </c>
      <c r="F158" s="111" t="s">
        <v>451</v>
      </c>
      <c r="G158" s="116" t="s">
        <v>451</v>
      </c>
      <c r="H158" s="112" t="s">
        <v>452</v>
      </c>
      <c r="I158" s="99"/>
      <c r="J158" s="99"/>
      <c r="K158" s="99"/>
      <c r="L158" s="99"/>
      <c r="M158" s="99"/>
      <c r="N158" s="99"/>
      <c r="O158" s="99"/>
      <c r="P158" s="99"/>
      <c r="Q158" s="99"/>
      <c r="R158" s="99"/>
      <c r="S158" s="99"/>
      <c r="T158" s="99"/>
      <c r="U158" s="99"/>
      <c r="V158" s="99"/>
      <c r="W158" s="99"/>
      <c r="X158" s="99"/>
      <c r="Y158" s="99"/>
      <c r="Z158" s="99"/>
      <c r="AA158" s="99"/>
      <c r="AB158" s="99"/>
    </row>
    <row r="159">
      <c r="A159" s="26"/>
      <c r="B159" s="26"/>
      <c r="C159" s="26"/>
      <c r="D159" s="26"/>
      <c r="E159" s="113"/>
      <c r="F159" s="111" t="s">
        <v>323</v>
      </c>
      <c r="G159" s="26"/>
      <c r="H159" s="26"/>
      <c r="I159" s="99"/>
      <c r="J159" s="99"/>
      <c r="K159" s="99"/>
      <c r="L159" s="99"/>
      <c r="M159" s="99"/>
      <c r="N159" s="99"/>
      <c r="O159" s="99"/>
      <c r="P159" s="99"/>
      <c r="Q159" s="99"/>
      <c r="R159" s="99"/>
      <c r="S159" s="99"/>
      <c r="T159" s="99"/>
      <c r="U159" s="99"/>
      <c r="V159" s="99"/>
      <c r="W159" s="99"/>
      <c r="X159" s="99"/>
      <c r="Y159" s="99"/>
      <c r="Z159" s="99"/>
      <c r="AA159" s="99"/>
      <c r="AB159" s="99"/>
    </row>
    <row r="160">
      <c r="A160" s="26"/>
      <c r="B160" s="26"/>
      <c r="C160" s="26"/>
      <c r="D160" s="26"/>
      <c r="E160" s="113"/>
      <c r="F160" s="111" t="s">
        <v>453</v>
      </c>
      <c r="G160" s="26"/>
      <c r="H160" s="26"/>
      <c r="I160" s="99"/>
      <c r="J160" s="99"/>
      <c r="K160" s="99"/>
      <c r="L160" s="99"/>
      <c r="M160" s="99"/>
      <c r="N160" s="99"/>
      <c r="O160" s="99"/>
      <c r="P160" s="99"/>
      <c r="Q160" s="99"/>
      <c r="R160" s="99"/>
      <c r="S160" s="99"/>
      <c r="T160" s="99"/>
      <c r="U160" s="99"/>
      <c r="V160" s="99"/>
      <c r="W160" s="99"/>
      <c r="X160" s="99"/>
      <c r="Y160" s="99"/>
      <c r="Z160" s="99"/>
      <c r="AA160" s="99"/>
      <c r="AB160" s="99"/>
    </row>
    <row r="161">
      <c r="A161" s="26"/>
      <c r="B161" s="26"/>
      <c r="C161" s="26"/>
      <c r="D161" s="26"/>
      <c r="E161" s="113"/>
      <c r="F161" s="111" t="s">
        <v>454</v>
      </c>
      <c r="G161" s="26"/>
      <c r="H161" s="26"/>
      <c r="I161" s="99"/>
      <c r="J161" s="99"/>
      <c r="K161" s="99"/>
      <c r="L161" s="99"/>
      <c r="M161" s="99"/>
      <c r="N161" s="99"/>
      <c r="O161" s="99"/>
      <c r="P161" s="99"/>
      <c r="Q161" s="99"/>
      <c r="R161" s="99"/>
      <c r="S161" s="99"/>
      <c r="T161" s="99"/>
      <c r="U161" s="99"/>
      <c r="V161" s="99"/>
      <c r="W161" s="99"/>
      <c r="X161" s="99"/>
      <c r="Y161" s="99"/>
      <c r="Z161" s="99"/>
      <c r="AA161" s="99"/>
      <c r="AB161" s="99"/>
    </row>
    <row r="162">
      <c r="A162" s="26"/>
      <c r="B162" s="26"/>
      <c r="C162" s="26"/>
      <c r="D162" s="27"/>
      <c r="E162" s="110" t="s">
        <v>455</v>
      </c>
      <c r="F162" s="111" t="s">
        <v>456</v>
      </c>
      <c r="G162" s="26"/>
      <c r="H162" s="26"/>
      <c r="I162" s="99"/>
      <c r="J162" s="99"/>
      <c r="K162" s="99"/>
      <c r="L162" s="99"/>
      <c r="M162" s="99"/>
      <c r="N162" s="99"/>
      <c r="O162" s="99"/>
      <c r="P162" s="99"/>
      <c r="Q162" s="99"/>
      <c r="R162" s="99"/>
      <c r="S162" s="99"/>
      <c r="T162" s="99"/>
      <c r="U162" s="99"/>
      <c r="V162" s="99"/>
      <c r="W162" s="99"/>
      <c r="X162" s="99"/>
      <c r="Y162" s="99"/>
      <c r="Z162" s="99"/>
      <c r="AA162" s="99"/>
      <c r="AB162" s="99"/>
    </row>
    <row r="163">
      <c r="A163" s="26"/>
      <c r="B163" s="26"/>
      <c r="C163" s="26"/>
      <c r="D163" s="109" t="s">
        <v>457</v>
      </c>
      <c r="E163" s="118" t="s">
        <v>458</v>
      </c>
      <c r="F163" s="111" t="s">
        <v>459</v>
      </c>
      <c r="G163" s="120" t="s">
        <v>460</v>
      </c>
      <c r="H163" s="26"/>
      <c r="I163" s="99"/>
      <c r="J163" s="99"/>
      <c r="K163" s="99"/>
      <c r="L163" s="99"/>
      <c r="M163" s="99"/>
      <c r="N163" s="99"/>
      <c r="O163" s="99"/>
      <c r="P163" s="99"/>
      <c r="Q163" s="99"/>
      <c r="R163" s="99"/>
      <c r="S163" s="99"/>
      <c r="T163" s="99"/>
      <c r="U163" s="99"/>
      <c r="V163" s="99"/>
      <c r="W163" s="99"/>
      <c r="X163" s="99"/>
      <c r="Y163" s="99"/>
      <c r="Z163" s="99"/>
      <c r="AA163" s="99"/>
      <c r="AB163" s="99"/>
    </row>
    <row r="164">
      <c r="A164" s="26"/>
      <c r="B164" s="26"/>
      <c r="C164" s="26"/>
      <c r="D164" s="26"/>
      <c r="E164" s="118" t="s">
        <v>461</v>
      </c>
      <c r="F164" s="111" t="s">
        <v>459</v>
      </c>
      <c r="G164" s="26"/>
      <c r="H164" s="26"/>
      <c r="I164" s="99"/>
      <c r="J164" s="99"/>
      <c r="K164" s="99"/>
      <c r="L164" s="99"/>
      <c r="M164" s="99"/>
      <c r="N164" s="99"/>
      <c r="O164" s="99"/>
      <c r="P164" s="99"/>
      <c r="Q164" s="99"/>
      <c r="R164" s="99"/>
      <c r="S164" s="99"/>
      <c r="T164" s="99"/>
      <c r="U164" s="99"/>
      <c r="V164" s="99"/>
      <c r="W164" s="99"/>
      <c r="X164" s="99"/>
      <c r="Y164" s="99"/>
      <c r="Z164" s="99"/>
      <c r="AA164" s="99"/>
      <c r="AB164" s="99"/>
    </row>
    <row r="165">
      <c r="A165" s="26"/>
      <c r="B165" s="26"/>
      <c r="C165" s="26"/>
      <c r="D165" s="26"/>
      <c r="E165" s="118" t="s">
        <v>462</v>
      </c>
      <c r="F165" s="111" t="s">
        <v>463</v>
      </c>
      <c r="G165" s="26"/>
      <c r="H165" s="26"/>
      <c r="I165" s="99"/>
      <c r="J165" s="99"/>
      <c r="K165" s="99"/>
      <c r="L165" s="99"/>
      <c r="M165" s="99"/>
      <c r="N165" s="99"/>
      <c r="O165" s="99"/>
      <c r="P165" s="99"/>
      <c r="Q165" s="99"/>
      <c r="R165" s="99"/>
      <c r="S165" s="99"/>
      <c r="T165" s="99"/>
      <c r="U165" s="99"/>
      <c r="V165" s="99"/>
      <c r="W165" s="99"/>
      <c r="X165" s="99"/>
      <c r="Y165" s="99"/>
      <c r="Z165" s="99"/>
      <c r="AA165" s="99"/>
      <c r="AB165" s="99"/>
    </row>
    <row r="166">
      <c r="A166" s="26"/>
      <c r="B166" s="26"/>
      <c r="C166" s="26"/>
      <c r="D166" s="26"/>
      <c r="E166" s="118" t="s">
        <v>464</v>
      </c>
      <c r="F166" s="111" t="s">
        <v>459</v>
      </c>
      <c r="G166" s="26"/>
      <c r="H166" s="26"/>
      <c r="I166" s="99"/>
      <c r="J166" s="99"/>
      <c r="K166" s="99"/>
      <c r="L166" s="99"/>
      <c r="M166" s="99"/>
      <c r="N166" s="99"/>
      <c r="O166" s="99"/>
      <c r="P166" s="99"/>
      <c r="Q166" s="99"/>
      <c r="R166" s="99"/>
      <c r="S166" s="99"/>
      <c r="T166" s="99"/>
      <c r="U166" s="99"/>
      <c r="V166" s="99"/>
      <c r="W166" s="99"/>
      <c r="X166" s="99"/>
      <c r="Y166" s="99"/>
      <c r="Z166" s="99"/>
      <c r="AA166" s="99"/>
      <c r="AB166" s="99"/>
    </row>
    <row r="167">
      <c r="A167" s="26"/>
      <c r="B167" s="26"/>
      <c r="C167" s="26"/>
      <c r="D167" s="26"/>
      <c r="E167" s="118" t="s">
        <v>465</v>
      </c>
      <c r="F167" s="111" t="s">
        <v>459</v>
      </c>
      <c r="G167" s="26"/>
      <c r="H167" s="26"/>
      <c r="I167" s="99"/>
      <c r="J167" s="99"/>
      <c r="K167" s="99"/>
      <c r="L167" s="99"/>
      <c r="M167" s="99"/>
      <c r="N167" s="99"/>
      <c r="O167" s="99"/>
      <c r="P167" s="99"/>
      <c r="Q167" s="99"/>
      <c r="R167" s="99"/>
      <c r="S167" s="99"/>
      <c r="T167" s="99"/>
      <c r="U167" s="99"/>
      <c r="V167" s="99"/>
      <c r="W167" s="99"/>
      <c r="X167" s="99"/>
      <c r="Y167" s="99"/>
      <c r="Z167" s="99"/>
      <c r="AA167" s="99"/>
      <c r="AB167" s="99"/>
    </row>
    <row r="168">
      <c r="A168" s="26"/>
      <c r="B168" s="26"/>
      <c r="C168" s="26"/>
      <c r="D168" s="27"/>
      <c r="E168" s="118" t="s">
        <v>466</v>
      </c>
      <c r="F168" s="111" t="s">
        <v>467</v>
      </c>
      <c r="G168" s="27"/>
      <c r="H168" s="27"/>
      <c r="I168" s="99"/>
      <c r="J168" s="99"/>
      <c r="K168" s="99"/>
      <c r="L168" s="99"/>
      <c r="M168" s="99"/>
      <c r="N168" s="99"/>
      <c r="O168" s="99"/>
      <c r="P168" s="99"/>
      <c r="Q168" s="99"/>
      <c r="R168" s="99"/>
      <c r="S168" s="99"/>
      <c r="T168" s="99"/>
      <c r="U168" s="99"/>
      <c r="V168" s="99"/>
      <c r="W168" s="99"/>
      <c r="X168" s="99"/>
      <c r="Y168" s="99"/>
      <c r="Z168" s="99"/>
      <c r="AA168" s="99"/>
      <c r="AB168" s="99"/>
    </row>
    <row r="169">
      <c r="A169" s="26"/>
      <c r="B169" s="26"/>
      <c r="C169" s="26"/>
      <c r="D169" s="109" t="s">
        <v>307</v>
      </c>
      <c r="E169" s="110" t="s">
        <v>468</v>
      </c>
      <c r="F169" s="111" t="s">
        <v>469</v>
      </c>
      <c r="G169" s="116" t="s">
        <v>469</v>
      </c>
      <c r="H169" s="112" t="s">
        <v>470</v>
      </c>
      <c r="I169" s="99"/>
      <c r="J169" s="99"/>
      <c r="K169" s="99"/>
      <c r="L169" s="99"/>
      <c r="M169" s="99"/>
      <c r="N169" s="99"/>
      <c r="O169" s="99"/>
      <c r="P169" s="99"/>
      <c r="Q169" s="99"/>
      <c r="R169" s="99"/>
      <c r="S169" s="99"/>
      <c r="T169" s="99"/>
      <c r="U169" s="99"/>
      <c r="V169" s="99"/>
      <c r="W169" s="99"/>
      <c r="X169" s="99"/>
      <c r="Y169" s="99"/>
      <c r="Z169" s="99"/>
      <c r="AA169" s="99"/>
      <c r="AB169" s="99"/>
    </row>
    <row r="170">
      <c r="A170" s="26"/>
      <c r="B170" s="26"/>
      <c r="C170" s="26"/>
      <c r="D170" s="26"/>
      <c r="E170" s="113"/>
      <c r="F170" s="111" t="s">
        <v>329</v>
      </c>
      <c r="G170" s="26"/>
      <c r="H170" s="26"/>
      <c r="I170" s="99"/>
      <c r="J170" s="99"/>
      <c r="K170" s="99"/>
      <c r="L170" s="99"/>
      <c r="M170" s="99"/>
      <c r="N170" s="99"/>
      <c r="O170" s="99"/>
      <c r="P170" s="99"/>
      <c r="Q170" s="99"/>
      <c r="R170" s="99"/>
      <c r="S170" s="99"/>
      <c r="T170" s="99"/>
      <c r="U170" s="99"/>
      <c r="V170" s="99"/>
      <c r="W170" s="99"/>
      <c r="X170" s="99"/>
      <c r="Y170" s="99"/>
      <c r="Z170" s="99"/>
      <c r="AA170" s="99"/>
      <c r="AB170" s="99"/>
    </row>
    <row r="171">
      <c r="A171" s="26"/>
      <c r="B171" s="26"/>
      <c r="C171" s="26"/>
      <c r="D171" s="26"/>
      <c r="E171" s="113"/>
      <c r="F171" s="111" t="s">
        <v>363</v>
      </c>
      <c r="G171" s="26"/>
      <c r="H171" s="26"/>
      <c r="I171" s="99"/>
      <c r="J171" s="99"/>
      <c r="K171" s="99"/>
      <c r="L171" s="99"/>
      <c r="M171" s="99"/>
      <c r="N171" s="99"/>
      <c r="O171" s="99"/>
      <c r="P171" s="99"/>
      <c r="Q171" s="99"/>
      <c r="R171" s="99"/>
      <c r="S171" s="99"/>
      <c r="T171" s="99"/>
      <c r="U171" s="99"/>
      <c r="V171" s="99"/>
      <c r="W171" s="99"/>
      <c r="X171" s="99"/>
      <c r="Y171" s="99"/>
      <c r="Z171" s="99"/>
      <c r="AA171" s="99"/>
      <c r="AB171" s="99"/>
    </row>
    <row r="172">
      <c r="A172" s="26"/>
      <c r="B172" s="26"/>
      <c r="C172" s="26"/>
      <c r="D172" s="26"/>
      <c r="E172" s="110" t="s">
        <v>471</v>
      </c>
      <c r="F172" s="111" t="s">
        <v>472</v>
      </c>
      <c r="G172" s="26"/>
      <c r="H172" s="26"/>
      <c r="I172" s="99"/>
      <c r="J172" s="99"/>
      <c r="K172" s="99"/>
      <c r="L172" s="99"/>
      <c r="M172" s="99"/>
      <c r="N172" s="99"/>
      <c r="O172" s="99"/>
      <c r="P172" s="99"/>
      <c r="Q172" s="99"/>
      <c r="R172" s="99"/>
      <c r="S172" s="99"/>
      <c r="T172" s="99"/>
      <c r="U172" s="99"/>
      <c r="V172" s="99"/>
      <c r="W172" s="99"/>
      <c r="X172" s="99"/>
      <c r="Y172" s="99"/>
      <c r="Z172" s="99"/>
      <c r="AA172" s="99"/>
      <c r="AB172" s="99"/>
    </row>
    <row r="173">
      <c r="A173" s="26"/>
      <c r="B173" s="26"/>
      <c r="C173" s="26"/>
      <c r="D173" s="26"/>
      <c r="E173" s="113"/>
      <c r="F173" s="111" t="s">
        <v>473</v>
      </c>
      <c r="G173" s="26"/>
      <c r="H173" s="26"/>
      <c r="I173" s="99"/>
      <c r="J173" s="99"/>
      <c r="K173" s="99"/>
      <c r="L173" s="99"/>
      <c r="M173" s="99"/>
      <c r="N173" s="99"/>
      <c r="O173" s="99"/>
      <c r="P173" s="99"/>
      <c r="Q173" s="99"/>
      <c r="R173" s="99"/>
      <c r="S173" s="99"/>
      <c r="T173" s="99"/>
      <c r="U173" s="99"/>
      <c r="V173" s="99"/>
      <c r="W173" s="99"/>
      <c r="X173" s="99"/>
      <c r="Y173" s="99"/>
      <c r="Z173" s="99"/>
      <c r="AA173" s="99"/>
      <c r="AB173" s="99"/>
    </row>
    <row r="174">
      <c r="A174" s="26"/>
      <c r="B174" s="26"/>
      <c r="C174" s="26"/>
      <c r="D174" s="26"/>
      <c r="E174" s="113"/>
      <c r="F174" s="111" t="s">
        <v>474</v>
      </c>
      <c r="G174" s="26"/>
      <c r="H174" s="26"/>
      <c r="I174" s="99"/>
      <c r="J174" s="99"/>
      <c r="K174" s="99"/>
      <c r="L174" s="99"/>
      <c r="M174" s="99"/>
      <c r="N174" s="99"/>
      <c r="O174" s="99"/>
      <c r="P174" s="99"/>
      <c r="Q174" s="99"/>
      <c r="R174" s="99"/>
      <c r="S174" s="99"/>
      <c r="T174" s="99"/>
      <c r="U174" s="99"/>
      <c r="V174" s="99"/>
      <c r="W174" s="99"/>
      <c r="X174" s="99"/>
      <c r="Y174" s="99"/>
      <c r="Z174" s="99"/>
      <c r="AA174" s="99"/>
      <c r="AB174" s="99"/>
    </row>
    <row r="175">
      <c r="A175" s="26"/>
      <c r="B175" s="26"/>
      <c r="C175" s="26"/>
      <c r="D175" s="27"/>
      <c r="E175" s="113"/>
      <c r="F175" s="114" t="s">
        <v>475</v>
      </c>
      <c r="G175" s="27"/>
      <c r="H175" s="26"/>
      <c r="I175" s="99"/>
      <c r="J175" s="99"/>
      <c r="K175" s="99"/>
      <c r="L175" s="99"/>
      <c r="M175" s="99"/>
      <c r="N175" s="99"/>
      <c r="O175" s="99"/>
      <c r="P175" s="99"/>
      <c r="Q175" s="99"/>
      <c r="R175" s="99"/>
      <c r="S175" s="99"/>
      <c r="T175" s="99"/>
      <c r="U175" s="99"/>
      <c r="V175" s="99"/>
      <c r="W175" s="99"/>
      <c r="X175" s="99"/>
      <c r="Y175" s="99"/>
      <c r="Z175" s="99"/>
      <c r="AA175" s="99"/>
      <c r="AB175" s="99"/>
    </row>
    <row r="176">
      <c r="A176" s="26"/>
      <c r="B176" s="26"/>
      <c r="C176" s="26"/>
      <c r="D176" s="109" t="s">
        <v>476</v>
      </c>
      <c r="E176" s="118" t="s">
        <v>477</v>
      </c>
      <c r="F176" s="111" t="s">
        <v>478</v>
      </c>
      <c r="G176" s="116" t="s">
        <v>478</v>
      </c>
      <c r="H176" s="26"/>
      <c r="I176" s="99"/>
      <c r="J176" s="99"/>
      <c r="K176" s="99"/>
      <c r="L176" s="99"/>
      <c r="M176" s="99"/>
      <c r="N176" s="99"/>
      <c r="O176" s="99"/>
      <c r="P176" s="99"/>
      <c r="Q176" s="99"/>
      <c r="R176" s="99"/>
      <c r="S176" s="99"/>
      <c r="T176" s="99"/>
      <c r="U176" s="99"/>
      <c r="V176" s="99"/>
      <c r="W176" s="99"/>
      <c r="X176" s="99"/>
      <c r="Y176" s="99"/>
      <c r="Z176" s="99"/>
      <c r="AA176" s="99"/>
      <c r="AB176" s="99"/>
    </row>
    <row r="177">
      <c r="A177" s="26"/>
      <c r="B177" s="26"/>
      <c r="C177" s="26"/>
      <c r="D177" s="26"/>
      <c r="E177" s="119"/>
      <c r="F177" s="111" t="s">
        <v>479</v>
      </c>
      <c r="G177" s="26"/>
      <c r="H177" s="26"/>
      <c r="I177" s="99"/>
      <c r="J177" s="99"/>
      <c r="K177" s="99"/>
      <c r="L177" s="99"/>
      <c r="M177" s="99"/>
      <c r="N177" s="99"/>
      <c r="O177" s="99"/>
      <c r="P177" s="99"/>
      <c r="Q177" s="99"/>
      <c r="R177" s="99"/>
      <c r="S177" s="99"/>
      <c r="T177" s="99"/>
      <c r="U177" s="99"/>
      <c r="V177" s="99"/>
      <c r="W177" s="99"/>
      <c r="X177" s="99"/>
      <c r="Y177" s="99"/>
      <c r="Z177" s="99"/>
      <c r="AA177" s="99"/>
      <c r="AB177" s="99"/>
    </row>
    <row r="178">
      <c r="A178" s="26"/>
      <c r="B178" s="26"/>
      <c r="C178" s="26"/>
      <c r="D178" s="26"/>
      <c r="E178" s="119"/>
      <c r="F178" s="111" t="s">
        <v>480</v>
      </c>
      <c r="G178" s="26"/>
      <c r="H178" s="26"/>
      <c r="I178" s="99"/>
      <c r="J178" s="99"/>
      <c r="K178" s="99"/>
      <c r="L178" s="99"/>
      <c r="M178" s="99"/>
      <c r="N178" s="99"/>
      <c r="O178" s="99"/>
      <c r="P178" s="99"/>
      <c r="Q178" s="99"/>
      <c r="R178" s="99"/>
      <c r="S178" s="99"/>
      <c r="T178" s="99"/>
      <c r="U178" s="99"/>
      <c r="V178" s="99"/>
      <c r="W178" s="99"/>
      <c r="X178" s="99"/>
      <c r="Y178" s="99"/>
      <c r="Z178" s="99"/>
      <c r="AA178" s="99"/>
      <c r="AB178" s="99"/>
    </row>
    <row r="179">
      <c r="A179" s="26"/>
      <c r="B179" s="26"/>
      <c r="C179" s="26"/>
      <c r="D179" s="26"/>
      <c r="E179" s="113"/>
      <c r="F179" s="111" t="s">
        <v>481</v>
      </c>
      <c r="G179" s="26"/>
      <c r="H179" s="26"/>
      <c r="I179" s="99"/>
      <c r="J179" s="99"/>
      <c r="K179" s="99"/>
      <c r="L179" s="99"/>
      <c r="M179" s="99"/>
      <c r="N179" s="99"/>
      <c r="O179" s="99"/>
      <c r="P179" s="99"/>
      <c r="Q179" s="99"/>
      <c r="R179" s="99"/>
      <c r="S179" s="99"/>
      <c r="T179" s="99"/>
      <c r="U179" s="99"/>
      <c r="V179" s="99"/>
      <c r="W179" s="99"/>
      <c r="X179" s="99"/>
      <c r="Y179" s="99"/>
      <c r="Z179" s="99"/>
      <c r="AA179" s="99"/>
      <c r="AB179" s="99"/>
    </row>
    <row r="180">
      <c r="A180" s="26"/>
      <c r="B180" s="26"/>
      <c r="C180" s="26"/>
      <c r="D180" s="26"/>
      <c r="E180" s="113"/>
      <c r="F180" s="111" t="s">
        <v>482</v>
      </c>
      <c r="G180" s="26"/>
      <c r="H180" s="26"/>
      <c r="I180" s="99"/>
      <c r="J180" s="99"/>
      <c r="K180" s="99"/>
      <c r="L180" s="99"/>
      <c r="M180" s="99"/>
      <c r="N180" s="99"/>
      <c r="O180" s="99"/>
      <c r="P180" s="99"/>
      <c r="Q180" s="99"/>
      <c r="R180" s="99"/>
      <c r="S180" s="99"/>
      <c r="T180" s="99"/>
      <c r="U180" s="99"/>
      <c r="V180" s="99"/>
      <c r="W180" s="99"/>
      <c r="X180" s="99"/>
      <c r="Y180" s="99"/>
      <c r="Z180" s="99"/>
      <c r="AA180" s="99"/>
      <c r="AB180" s="99"/>
    </row>
    <row r="181">
      <c r="A181" s="26"/>
      <c r="B181" s="26"/>
      <c r="C181" s="26"/>
      <c r="D181" s="26"/>
      <c r="E181" s="113"/>
      <c r="F181" s="114" t="s">
        <v>483</v>
      </c>
      <c r="G181" s="26"/>
      <c r="H181" s="26"/>
      <c r="I181" s="99"/>
      <c r="J181" s="99"/>
      <c r="K181" s="99"/>
      <c r="L181" s="99"/>
      <c r="M181" s="99"/>
      <c r="N181" s="99"/>
      <c r="O181" s="99"/>
      <c r="P181" s="99"/>
      <c r="Q181" s="99"/>
      <c r="R181" s="99"/>
      <c r="S181" s="99"/>
      <c r="T181" s="99"/>
      <c r="U181" s="99"/>
      <c r="V181" s="99"/>
      <c r="W181" s="99"/>
      <c r="X181" s="99"/>
      <c r="Y181" s="99"/>
      <c r="Z181" s="99"/>
      <c r="AA181" s="99"/>
      <c r="AB181" s="99"/>
    </row>
    <row r="182">
      <c r="A182" s="26"/>
      <c r="B182" s="26"/>
      <c r="C182" s="26"/>
      <c r="D182" s="26"/>
      <c r="E182" s="110" t="s">
        <v>484</v>
      </c>
      <c r="F182" s="111" t="s">
        <v>485</v>
      </c>
      <c r="G182" s="26"/>
      <c r="H182" s="26"/>
      <c r="I182" s="99"/>
      <c r="J182" s="99"/>
      <c r="K182" s="99"/>
      <c r="L182" s="99"/>
      <c r="M182" s="99"/>
      <c r="N182" s="99"/>
      <c r="O182" s="99"/>
      <c r="P182" s="99"/>
      <c r="Q182" s="99"/>
      <c r="R182" s="99"/>
      <c r="S182" s="99"/>
      <c r="T182" s="99"/>
      <c r="U182" s="99"/>
      <c r="V182" s="99"/>
      <c r="W182" s="99"/>
      <c r="X182" s="99"/>
      <c r="Y182" s="99"/>
      <c r="Z182" s="99"/>
      <c r="AA182" s="99"/>
      <c r="AB182" s="99"/>
    </row>
    <row r="183">
      <c r="A183" s="26"/>
      <c r="B183" s="26"/>
      <c r="C183" s="26"/>
      <c r="D183" s="26"/>
      <c r="E183" s="113"/>
      <c r="F183" s="111" t="s">
        <v>486</v>
      </c>
      <c r="G183" s="26"/>
      <c r="H183" s="26"/>
      <c r="I183" s="99"/>
      <c r="J183" s="99"/>
      <c r="K183" s="99"/>
      <c r="L183" s="99"/>
      <c r="M183" s="99"/>
      <c r="N183" s="99"/>
      <c r="O183" s="99"/>
      <c r="P183" s="99"/>
      <c r="Q183" s="99"/>
      <c r="R183" s="99"/>
      <c r="S183" s="99"/>
      <c r="T183" s="99"/>
      <c r="U183" s="99"/>
      <c r="V183" s="99"/>
      <c r="W183" s="99"/>
      <c r="X183" s="99"/>
      <c r="Y183" s="99"/>
      <c r="Z183" s="99"/>
      <c r="AA183" s="99"/>
      <c r="AB183" s="99"/>
    </row>
    <row r="184">
      <c r="A184" s="26"/>
      <c r="B184" s="26"/>
      <c r="C184" s="26"/>
      <c r="D184" s="26"/>
      <c r="E184" s="113"/>
      <c r="F184" s="111" t="s">
        <v>487</v>
      </c>
      <c r="G184" s="26"/>
      <c r="H184" s="26"/>
      <c r="I184" s="99"/>
      <c r="J184" s="99"/>
      <c r="K184" s="99"/>
      <c r="L184" s="99"/>
      <c r="M184" s="99"/>
      <c r="N184" s="99"/>
      <c r="O184" s="99"/>
      <c r="P184" s="99"/>
      <c r="Q184" s="99"/>
      <c r="R184" s="99"/>
      <c r="S184" s="99"/>
      <c r="T184" s="99"/>
      <c r="U184" s="99"/>
      <c r="V184" s="99"/>
      <c r="W184" s="99"/>
      <c r="X184" s="99"/>
      <c r="Y184" s="99"/>
      <c r="Z184" s="99"/>
      <c r="AA184" s="99"/>
      <c r="AB184" s="99"/>
    </row>
    <row r="185">
      <c r="A185" s="27"/>
      <c r="B185" s="27"/>
      <c r="C185" s="27"/>
      <c r="D185" s="27"/>
      <c r="E185" s="113"/>
      <c r="F185" s="111" t="s">
        <v>488</v>
      </c>
      <c r="G185" s="27"/>
      <c r="H185" s="27"/>
      <c r="I185" s="99"/>
      <c r="J185" s="99"/>
      <c r="K185" s="99"/>
      <c r="L185" s="99"/>
      <c r="M185" s="99"/>
      <c r="N185" s="99"/>
      <c r="O185" s="99"/>
      <c r="P185" s="99"/>
      <c r="Q185" s="99"/>
      <c r="R185" s="99"/>
      <c r="S185" s="99"/>
      <c r="T185" s="99"/>
      <c r="U185" s="99"/>
      <c r="V185" s="99"/>
      <c r="W185" s="99"/>
      <c r="X185" s="99"/>
      <c r="Y185" s="99"/>
      <c r="Z185" s="99"/>
      <c r="AA185" s="99"/>
      <c r="AB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c r="AA186" s="99"/>
      <c r="AB186" s="99"/>
    </row>
    <row r="187">
      <c r="A187" s="122" t="s">
        <v>101</v>
      </c>
      <c r="B187" s="122" t="s">
        <v>228</v>
      </c>
      <c r="C187" s="122" t="s">
        <v>229</v>
      </c>
      <c r="D187" s="122" t="s">
        <v>99</v>
      </c>
      <c r="E187" s="122" t="s">
        <v>100</v>
      </c>
      <c r="F187" s="122" t="s">
        <v>230</v>
      </c>
      <c r="G187" s="122" t="s">
        <v>231</v>
      </c>
      <c r="H187" s="122" t="s">
        <v>234</v>
      </c>
      <c r="I187" s="99"/>
      <c r="J187" s="99"/>
      <c r="K187" s="99"/>
      <c r="L187" s="99"/>
      <c r="M187" s="99"/>
      <c r="N187" s="99"/>
      <c r="O187" s="99"/>
      <c r="P187" s="99"/>
      <c r="Q187" s="99"/>
      <c r="R187" s="99"/>
      <c r="S187" s="99"/>
      <c r="T187" s="99"/>
      <c r="U187" s="99"/>
      <c r="V187" s="99"/>
      <c r="W187" s="99"/>
      <c r="X187" s="99"/>
      <c r="Y187" s="99"/>
      <c r="Z187" s="99"/>
      <c r="AA187" s="99"/>
      <c r="AB187" s="99"/>
    </row>
    <row r="188">
      <c r="A188" s="123" t="s">
        <v>235</v>
      </c>
      <c r="B188" s="123" t="s">
        <v>489</v>
      </c>
      <c r="C188" s="123" t="s">
        <v>490</v>
      </c>
      <c r="D188" s="123" t="s">
        <v>491</v>
      </c>
      <c r="E188" s="124" t="s">
        <v>492</v>
      </c>
      <c r="F188" s="123" t="s">
        <v>493</v>
      </c>
      <c r="G188" s="125" t="s">
        <v>494</v>
      </c>
      <c r="H188" s="123" t="s">
        <v>495</v>
      </c>
      <c r="I188" s="99"/>
      <c r="J188" s="99"/>
      <c r="K188" s="99"/>
      <c r="L188" s="99"/>
      <c r="M188" s="99"/>
      <c r="N188" s="99"/>
      <c r="O188" s="99"/>
      <c r="P188" s="99"/>
      <c r="Q188" s="99"/>
      <c r="R188" s="99"/>
      <c r="S188" s="99"/>
      <c r="T188" s="99"/>
      <c r="U188" s="99"/>
      <c r="V188" s="99"/>
      <c r="W188" s="99"/>
      <c r="X188" s="99"/>
      <c r="Y188" s="99"/>
      <c r="Z188" s="99"/>
      <c r="AA188" s="99"/>
      <c r="AB188" s="99"/>
    </row>
    <row r="189">
      <c r="A189" s="26"/>
      <c r="B189" s="26"/>
      <c r="C189" s="26"/>
      <c r="D189" s="26"/>
      <c r="E189" s="124" t="s">
        <v>496</v>
      </c>
      <c r="F189" s="26"/>
      <c r="G189" s="125" t="s">
        <v>497</v>
      </c>
      <c r="H189" s="26"/>
      <c r="I189" s="99"/>
      <c r="J189" s="99"/>
      <c r="K189" s="99"/>
      <c r="L189" s="99"/>
      <c r="M189" s="99"/>
      <c r="N189" s="99"/>
      <c r="O189" s="99"/>
      <c r="P189" s="99"/>
      <c r="Q189" s="99"/>
      <c r="R189" s="99"/>
      <c r="S189" s="99"/>
      <c r="T189" s="99"/>
      <c r="U189" s="99"/>
      <c r="V189" s="99"/>
      <c r="W189" s="99"/>
      <c r="X189" s="99"/>
      <c r="Y189" s="99"/>
      <c r="Z189" s="99"/>
      <c r="AA189" s="99"/>
      <c r="AB189" s="99"/>
    </row>
    <row r="190">
      <c r="A190" s="26"/>
      <c r="B190" s="26"/>
      <c r="C190" s="26"/>
      <c r="D190" s="26"/>
      <c r="E190" s="124" t="s">
        <v>498</v>
      </c>
      <c r="F190" s="26"/>
      <c r="G190" s="125" t="s">
        <v>499</v>
      </c>
      <c r="H190" s="26"/>
      <c r="I190" s="99"/>
      <c r="J190" s="99"/>
      <c r="K190" s="99"/>
      <c r="L190" s="99"/>
      <c r="M190" s="99"/>
      <c r="N190" s="99"/>
      <c r="O190" s="99"/>
      <c r="P190" s="99"/>
      <c r="Q190" s="99"/>
      <c r="R190" s="99"/>
      <c r="S190" s="99"/>
      <c r="T190" s="99"/>
      <c r="U190" s="99"/>
      <c r="V190" s="99"/>
      <c r="W190" s="99"/>
      <c r="X190" s="99"/>
      <c r="Y190" s="99"/>
      <c r="Z190" s="99"/>
      <c r="AA190" s="99"/>
      <c r="AB190" s="99"/>
    </row>
    <row r="191">
      <c r="A191" s="26"/>
      <c r="B191" s="26"/>
      <c r="C191" s="26"/>
      <c r="D191" s="26"/>
      <c r="E191" s="124" t="s">
        <v>500</v>
      </c>
      <c r="F191" s="26"/>
      <c r="G191" s="125" t="s">
        <v>501</v>
      </c>
      <c r="H191" s="26"/>
      <c r="I191" s="99"/>
      <c r="J191" s="99"/>
      <c r="K191" s="99"/>
      <c r="L191" s="99"/>
      <c r="M191" s="99"/>
      <c r="N191" s="99"/>
      <c r="O191" s="99"/>
      <c r="P191" s="99"/>
      <c r="Q191" s="99"/>
      <c r="R191" s="99"/>
      <c r="S191" s="99"/>
      <c r="T191" s="99"/>
      <c r="U191" s="99"/>
      <c r="V191" s="99"/>
      <c r="W191" s="99"/>
      <c r="X191" s="99"/>
      <c r="Y191" s="99"/>
      <c r="Z191" s="99"/>
      <c r="AA191" s="99"/>
      <c r="AB191" s="99"/>
    </row>
    <row r="192">
      <c r="A192" s="26"/>
      <c r="B192" s="26"/>
      <c r="C192" s="26"/>
      <c r="D192" s="26"/>
      <c r="E192" s="124" t="s">
        <v>502</v>
      </c>
      <c r="F192" s="26"/>
      <c r="G192" s="125" t="s">
        <v>503</v>
      </c>
      <c r="H192" s="26"/>
      <c r="I192" s="99"/>
      <c r="J192" s="99"/>
      <c r="K192" s="99"/>
      <c r="L192" s="99"/>
      <c r="M192" s="99"/>
      <c r="N192" s="99"/>
      <c r="O192" s="99"/>
      <c r="P192" s="99"/>
      <c r="Q192" s="99"/>
      <c r="R192" s="99"/>
      <c r="S192" s="99"/>
      <c r="T192" s="99"/>
      <c r="U192" s="99"/>
      <c r="V192" s="99"/>
      <c r="W192" s="99"/>
      <c r="X192" s="99"/>
      <c r="Y192" s="99"/>
      <c r="Z192" s="99"/>
      <c r="AA192" s="99"/>
      <c r="AB192" s="99"/>
    </row>
    <row r="193">
      <c r="A193" s="26"/>
      <c r="B193" s="26"/>
      <c r="C193" s="26"/>
      <c r="D193" s="26"/>
      <c r="E193" s="124" t="s">
        <v>504</v>
      </c>
      <c r="F193" s="26"/>
      <c r="G193" s="125" t="s">
        <v>505</v>
      </c>
      <c r="H193" s="26"/>
      <c r="I193" s="99"/>
      <c r="J193" s="99"/>
      <c r="K193" s="99"/>
      <c r="L193" s="99"/>
      <c r="M193" s="99"/>
      <c r="N193" s="99"/>
      <c r="O193" s="99"/>
      <c r="P193" s="99"/>
      <c r="Q193" s="99"/>
      <c r="R193" s="99"/>
      <c r="S193" s="99"/>
      <c r="T193" s="99"/>
      <c r="U193" s="99"/>
      <c r="V193" s="99"/>
      <c r="W193" s="99"/>
      <c r="X193" s="99"/>
      <c r="Y193" s="99"/>
      <c r="Z193" s="99"/>
      <c r="AA193" s="99"/>
      <c r="AB193" s="99"/>
    </row>
    <row r="194">
      <c r="A194" s="26"/>
      <c r="B194" s="26"/>
      <c r="C194" s="26"/>
      <c r="D194" s="26"/>
      <c r="E194" s="126"/>
      <c r="F194" s="26"/>
      <c r="G194" s="125" t="s">
        <v>506</v>
      </c>
      <c r="H194" s="26"/>
      <c r="I194" s="99"/>
      <c r="J194" s="99"/>
      <c r="K194" s="99"/>
      <c r="L194" s="99"/>
      <c r="M194" s="99"/>
      <c r="N194" s="99"/>
      <c r="O194" s="99"/>
      <c r="P194" s="99"/>
      <c r="Q194" s="99"/>
      <c r="R194" s="99"/>
      <c r="S194" s="99"/>
      <c r="T194" s="99"/>
      <c r="U194" s="99"/>
      <c r="V194" s="99"/>
      <c r="W194" s="99"/>
      <c r="X194" s="99"/>
      <c r="Y194" s="99"/>
      <c r="Z194" s="99"/>
      <c r="AA194" s="99"/>
      <c r="AB194" s="99"/>
    </row>
    <row r="195">
      <c r="A195" s="26"/>
      <c r="B195" s="26"/>
      <c r="C195" s="26"/>
      <c r="D195" s="26"/>
      <c r="E195" s="126"/>
      <c r="F195" s="26"/>
      <c r="G195" s="125" t="s">
        <v>507</v>
      </c>
      <c r="H195" s="26"/>
      <c r="I195" s="99"/>
      <c r="J195" s="99"/>
      <c r="K195" s="99"/>
      <c r="L195" s="99"/>
      <c r="M195" s="99"/>
      <c r="N195" s="99"/>
      <c r="O195" s="99"/>
      <c r="P195" s="99"/>
      <c r="Q195" s="99"/>
      <c r="R195" s="99"/>
      <c r="S195" s="99"/>
      <c r="T195" s="99"/>
      <c r="U195" s="99"/>
      <c r="V195" s="99"/>
      <c r="W195" s="99"/>
      <c r="X195" s="99"/>
      <c r="Y195" s="99"/>
      <c r="Z195" s="99"/>
      <c r="AA195" s="99"/>
      <c r="AB195" s="99"/>
    </row>
    <row r="196">
      <c r="A196" s="26"/>
      <c r="B196" s="26"/>
      <c r="C196" s="26"/>
      <c r="D196" s="26"/>
      <c r="E196" s="126"/>
      <c r="F196" s="26"/>
      <c r="G196" s="125" t="s">
        <v>508</v>
      </c>
      <c r="H196" s="26"/>
      <c r="I196" s="99"/>
      <c r="J196" s="99"/>
      <c r="K196" s="99"/>
      <c r="L196" s="99"/>
      <c r="M196" s="99"/>
      <c r="N196" s="99"/>
      <c r="O196" s="99"/>
      <c r="P196" s="99"/>
      <c r="Q196" s="99"/>
      <c r="R196" s="99"/>
      <c r="S196" s="99"/>
      <c r="T196" s="99"/>
      <c r="U196" s="99"/>
      <c r="V196" s="99"/>
      <c r="W196" s="99"/>
      <c r="X196" s="99"/>
      <c r="Y196" s="99"/>
      <c r="Z196" s="99"/>
      <c r="AA196" s="99"/>
      <c r="AB196" s="99"/>
    </row>
    <row r="197">
      <c r="A197" s="26"/>
      <c r="B197" s="26"/>
      <c r="C197" s="26"/>
      <c r="D197" s="26"/>
      <c r="E197" s="126"/>
      <c r="F197" s="26"/>
      <c r="G197" s="125" t="s">
        <v>504</v>
      </c>
      <c r="H197" s="26"/>
      <c r="I197" s="99"/>
      <c r="J197" s="99"/>
      <c r="K197" s="99"/>
      <c r="L197" s="99"/>
      <c r="M197" s="99"/>
      <c r="N197" s="99"/>
      <c r="O197" s="99"/>
      <c r="P197" s="99"/>
      <c r="Q197" s="99"/>
      <c r="R197" s="99"/>
      <c r="S197" s="99"/>
      <c r="T197" s="99"/>
      <c r="U197" s="99"/>
      <c r="V197" s="99"/>
      <c r="W197" s="99"/>
      <c r="X197" s="99"/>
      <c r="Y197" s="99"/>
      <c r="Z197" s="99"/>
      <c r="AA197" s="99"/>
      <c r="AB197" s="99"/>
    </row>
    <row r="198">
      <c r="A198" s="26"/>
      <c r="B198" s="26"/>
      <c r="C198" s="26"/>
      <c r="D198" s="26"/>
      <c r="E198" s="126"/>
      <c r="F198" s="26"/>
      <c r="G198" s="125" t="s">
        <v>509</v>
      </c>
      <c r="H198" s="26"/>
      <c r="I198" s="99"/>
      <c r="J198" s="99"/>
      <c r="K198" s="99"/>
      <c r="L198" s="99"/>
      <c r="M198" s="99"/>
      <c r="N198" s="99"/>
      <c r="O198" s="99"/>
      <c r="P198" s="99"/>
      <c r="Q198" s="99"/>
      <c r="R198" s="99"/>
      <c r="S198" s="99"/>
      <c r="T198" s="99"/>
      <c r="U198" s="99"/>
      <c r="V198" s="99"/>
      <c r="W198" s="99"/>
      <c r="X198" s="99"/>
      <c r="Y198" s="99"/>
      <c r="Z198" s="99"/>
      <c r="AA198" s="99"/>
      <c r="AB198" s="99"/>
    </row>
    <row r="199">
      <c r="A199" s="26"/>
      <c r="B199" s="26"/>
      <c r="C199" s="26"/>
      <c r="D199" s="26"/>
      <c r="E199" s="126"/>
      <c r="F199" s="26"/>
      <c r="G199" s="125" t="s">
        <v>500</v>
      </c>
      <c r="H199" s="26"/>
      <c r="I199" s="99"/>
      <c r="J199" s="99"/>
      <c r="K199" s="99"/>
      <c r="L199" s="99"/>
      <c r="M199" s="99"/>
      <c r="N199" s="99"/>
      <c r="O199" s="99"/>
      <c r="P199" s="99"/>
      <c r="Q199" s="99"/>
      <c r="R199" s="99"/>
      <c r="S199" s="99"/>
      <c r="T199" s="99"/>
      <c r="U199" s="99"/>
      <c r="V199" s="99"/>
      <c r="W199" s="99"/>
      <c r="X199" s="99"/>
      <c r="Y199" s="99"/>
      <c r="Z199" s="99"/>
      <c r="AA199" s="99"/>
      <c r="AB199" s="99"/>
    </row>
    <row r="200">
      <c r="A200" s="26"/>
      <c r="B200" s="26"/>
      <c r="C200" s="26"/>
      <c r="D200" s="26"/>
      <c r="E200" s="126"/>
      <c r="F200" s="26"/>
      <c r="G200" s="125" t="s">
        <v>510</v>
      </c>
      <c r="H200" s="26"/>
      <c r="I200" s="99"/>
      <c r="J200" s="99"/>
      <c r="K200" s="99"/>
      <c r="L200" s="99"/>
      <c r="M200" s="99"/>
      <c r="N200" s="99"/>
      <c r="O200" s="99"/>
      <c r="P200" s="99"/>
      <c r="Q200" s="99"/>
      <c r="R200" s="99"/>
      <c r="S200" s="99"/>
      <c r="T200" s="99"/>
      <c r="U200" s="99"/>
      <c r="V200" s="99"/>
      <c r="W200" s="99"/>
      <c r="X200" s="99"/>
      <c r="Y200" s="99"/>
      <c r="Z200" s="99"/>
      <c r="AA200" s="99"/>
      <c r="AB200" s="99"/>
    </row>
    <row r="201">
      <c r="A201" s="26"/>
      <c r="B201" s="26"/>
      <c r="C201" s="26"/>
      <c r="D201" s="26"/>
      <c r="E201" s="126"/>
      <c r="F201" s="26"/>
      <c r="G201" s="125" t="s">
        <v>511</v>
      </c>
      <c r="H201" s="26"/>
      <c r="I201" s="99"/>
      <c r="J201" s="99"/>
      <c r="K201" s="99"/>
      <c r="L201" s="99"/>
      <c r="M201" s="99"/>
      <c r="N201" s="99"/>
      <c r="O201" s="99"/>
      <c r="P201" s="99"/>
      <c r="Q201" s="99"/>
      <c r="R201" s="99"/>
      <c r="S201" s="99"/>
      <c r="T201" s="99"/>
      <c r="U201" s="99"/>
      <c r="V201" s="99"/>
      <c r="W201" s="99"/>
      <c r="X201" s="99"/>
      <c r="Y201" s="99"/>
      <c r="Z201" s="99"/>
      <c r="AA201" s="99"/>
      <c r="AB201" s="99"/>
    </row>
    <row r="202">
      <c r="A202" s="26"/>
      <c r="B202" s="26"/>
      <c r="C202" s="26"/>
      <c r="D202" s="26"/>
      <c r="E202" s="126"/>
      <c r="F202" s="26"/>
      <c r="G202" s="125" t="s">
        <v>512</v>
      </c>
      <c r="H202" s="26"/>
      <c r="I202" s="99"/>
      <c r="J202" s="99"/>
      <c r="K202" s="99"/>
      <c r="L202" s="99"/>
      <c r="M202" s="99"/>
      <c r="N202" s="99"/>
      <c r="O202" s="99"/>
      <c r="P202" s="99"/>
      <c r="Q202" s="99"/>
      <c r="R202" s="99"/>
      <c r="S202" s="99"/>
      <c r="T202" s="99"/>
      <c r="U202" s="99"/>
      <c r="V202" s="99"/>
      <c r="W202" s="99"/>
      <c r="X202" s="99"/>
      <c r="Y202" s="99"/>
      <c r="Z202" s="99"/>
      <c r="AA202" s="99"/>
      <c r="AB202" s="99"/>
    </row>
    <row r="203">
      <c r="A203" s="26"/>
      <c r="B203" s="26"/>
      <c r="C203" s="26"/>
      <c r="D203" s="26"/>
      <c r="E203" s="126"/>
      <c r="F203" s="26"/>
      <c r="G203" s="125" t="s">
        <v>513</v>
      </c>
      <c r="H203" s="26"/>
      <c r="I203" s="99"/>
      <c r="J203" s="99"/>
      <c r="K203" s="99"/>
      <c r="L203" s="99"/>
      <c r="M203" s="99"/>
      <c r="N203" s="99"/>
      <c r="O203" s="99"/>
      <c r="P203" s="99"/>
      <c r="Q203" s="99"/>
      <c r="R203" s="99"/>
      <c r="S203" s="99"/>
      <c r="T203" s="99"/>
      <c r="U203" s="99"/>
      <c r="V203" s="99"/>
      <c r="W203" s="99"/>
      <c r="X203" s="99"/>
      <c r="Y203" s="99"/>
      <c r="Z203" s="99"/>
      <c r="AA203" s="99"/>
      <c r="AB203" s="99"/>
    </row>
    <row r="204">
      <c r="A204" s="26"/>
      <c r="B204" s="26"/>
      <c r="C204" s="26"/>
      <c r="D204" s="26"/>
      <c r="E204" s="126"/>
      <c r="F204" s="26"/>
      <c r="G204" s="125" t="s">
        <v>502</v>
      </c>
      <c r="H204" s="26"/>
      <c r="I204" s="99"/>
      <c r="J204" s="99"/>
      <c r="K204" s="99"/>
      <c r="L204" s="99"/>
      <c r="M204" s="99"/>
      <c r="N204" s="99"/>
      <c r="O204" s="99"/>
      <c r="P204" s="99"/>
      <c r="Q204" s="99"/>
      <c r="R204" s="99"/>
      <c r="S204" s="99"/>
      <c r="T204" s="99"/>
      <c r="U204" s="99"/>
      <c r="V204" s="99"/>
      <c r="W204" s="99"/>
      <c r="X204" s="99"/>
      <c r="Y204" s="99"/>
      <c r="Z204" s="99"/>
      <c r="AA204" s="99"/>
      <c r="AB204" s="99"/>
    </row>
    <row r="205">
      <c r="A205" s="26"/>
      <c r="B205" s="26"/>
      <c r="C205" s="26"/>
      <c r="D205" s="26"/>
      <c r="E205" s="126"/>
      <c r="F205" s="26"/>
      <c r="G205" s="125" t="s">
        <v>496</v>
      </c>
      <c r="H205" s="26"/>
      <c r="I205" s="99"/>
      <c r="J205" s="99"/>
      <c r="K205" s="99"/>
      <c r="L205" s="99"/>
      <c r="M205" s="99"/>
      <c r="N205" s="99"/>
      <c r="O205" s="99"/>
      <c r="P205" s="99"/>
      <c r="Q205" s="99"/>
      <c r="R205" s="99"/>
      <c r="S205" s="99"/>
      <c r="T205" s="99"/>
      <c r="U205" s="99"/>
      <c r="V205" s="99"/>
      <c r="W205" s="99"/>
      <c r="X205" s="99"/>
      <c r="Y205" s="99"/>
      <c r="Z205" s="99"/>
      <c r="AA205" s="99"/>
      <c r="AB205" s="99"/>
    </row>
    <row r="206">
      <c r="A206" s="26"/>
      <c r="B206" s="26"/>
      <c r="C206" s="26"/>
      <c r="D206" s="27"/>
      <c r="E206" s="126"/>
      <c r="F206" s="27"/>
      <c r="G206" s="125" t="s">
        <v>514</v>
      </c>
      <c r="H206" s="27"/>
      <c r="I206" s="99"/>
      <c r="J206" s="99"/>
      <c r="K206" s="99"/>
      <c r="L206" s="99"/>
      <c r="M206" s="99"/>
      <c r="N206" s="99"/>
      <c r="O206" s="99"/>
      <c r="P206" s="99"/>
      <c r="Q206" s="99"/>
      <c r="R206" s="99"/>
      <c r="S206" s="99"/>
      <c r="T206" s="99"/>
      <c r="U206" s="99"/>
      <c r="V206" s="99"/>
      <c r="W206" s="99"/>
      <c r="X206" s="99"/>
      <c r="Y206" s="99"/>
      <c r="Z206" s="99"/>
      <c r="AA206" s="99"/>
      <c r="AB206" s="99"/>
    </row>
    <row r="207">
      <c r="A207" s="26"/>
      <c r="B207" s="26"/>
      <c r="C207" s="26"/>
      <c r="D207" s="127" t="s">
        <v>515</v>
      </c>
      <c r="E207" s="124" t="s">
        <v>516</v>
      </c>
      <c r="F207" s="123" t="s">
        <v>517</v>
      </c>
      <c r="G207" s="128" t="s">
        <v>518</v>
      </c>
      <c r="H207" s="123" t="s">
        <v>519</v>
      </c>
      <c r="I207" s="99"/>
      <c r="J207" s="99"/>
      <c r="K207" s="99"/>
      <c r="L207" s="99"/>
      <c r="M207" s="99"/>
      <c r="N207" s="99"/>
      <c r="O207" s="99"/>
      <c r="P207" s="99"/>
      <c r="Q207" s="99"/>
      <c r="R207" s="99"/>
      <c r="S207" s="99"/>
      <c r="T207" s="99"/>
      <c r="U207" s="99"/>
      <c r="V207" s="99"/>
      <c r="W207" s="99"/>
      <c r="X207" s="99"/>
      <c r="Y207" s="99"/>
      <c r="Z207" s="99"/>
      <c r="AA207" s="99"/>
      <c r="AB207" s="99"/>
    </row>
    <row r="208">
      <c r="A208" s="26"/>
      <c r="B208" s="26"/>
      <c r="C208" s="26"/>
      <c r="D208" s="26"/>
      <c r="E208" s="124" t="s">
        <v>520</v>
      </c>
      <c r="F208" s="26"/>
      <c r="G208" s="128" t="s">
        <v>521</v>
      </c>
      <c r="H208" s="26"/>
      <c r="I208" s="99"/>
      <c r="J208" s="99"/>
      <c r="K208" s="99"/>
      <c r="L208" s="99"/>
      <c r="M208" s="99"/>
      <c r="N208" s="99"/>
      <c r="O208" s="99"/>
      <c r="P208" s="99"/>
      <c r="Q208" s="99"/>
      <c r="R208" s="99"/>
      <c r="S208" s="99"/>
      <c r="T208" s="99"/>
      <c r="U208" s="99"/>
      <c r="V208" s="99"/>
      <c r="W208" s="99"/>
      <c r="X208" s="99"/>
      <c r="Y208" s="99"/>
      <c r="Z208" s="99"/>
      <c r="AA208" s="99"/>
      <c r="AB208" s="99"/>
    </row>
    <row r="209">
      <c r="A209" s="26"/>
      <c r="B209" s="26"/>
      <c r="C209" s="26"/>
      <c r="D209" s="26"/>
      <c r="E209" s="124" t="s">
        <v>522</v>
      </c>
      <c r="F209" s="26"/>
      <c r="G209" s="128" t="s">
        <v>523</v>
      </c>
      <c r="H209" s="26"/>
      <c r="I209" s="99"/>
      <c r="J209" s="99"/>
      <c r="K209" s="99"/>
      <c r="L209" s="99"/>
      <c r="M209" s="99"/>
      <c r="N209" s="99"/>
      <c r="O209" s="99"/>
      <c r="P209" s="99"/>
      <c r="Q209" s="99"/>
      <c r="R209" s="99"/>
      <c r="S209" s="99"/>
      <c r="T209" s="99"/>
      <c r="U209" s="99"/>
      <c r="V209" s="99"/>
      <c r="W209" s="99"/>
      <c r="X209" s="99"/>
      <c r="Y209" s="99"/>
      <c r="Z209" s="99"/>
      <c r="AA209" s="99"/>
      <c r="AB209" s="99"/>
    </row>
    <row r="210">
      <c r="A210" s="26"/>
      <c r="B210" s="26"/>
      <c r="C210" s="26"/>
      <c r="D210" s="26"/>
      <c r="E210" s="124" t="s">
        <v>524</v>
      </c>
      <c r="F210" s="26"/>
      <c r="G210" s="128" t="s">
        <v>525</v>
      </c>
      <c r="H210" s="26"/>
      <c r="I210" s="99"/>
      <c r="J210" s="99"/>
      <c r="K210" s="99"/>
      <c r="L210" s="99"/>
      <c r="M210" s="99"/>
      <c r="N210" s="99"/>
      <c r="O210" s="99"/>
      <c r="P210" s="99"/>
      <c r="Q210" s="99"/>
      <c r="R210" s="99"/>
      <c r="S210" s="99"/>
      <c r="T210" s="99"/>
      <c r="U210" s="99"/>
      <c r="V210" s="99"/>
      <c r="W210" s="99"/>
      <c r="X210" s="99"/>
      <c r="Y210" s="99"/>
      <c r="Z210" s="99"/>
      <c r="AA210" s="99"/>
      <c r="AB210" s="99"/>
    </row>
    <row r="211">
      <c r="A211" s="26"/>
      <c r="B211" s="26"/>
      <c r="C211" s="26"/>
      <c r="D211" s="26"/>
      <c r="E211" s="124" t="s">
        <v>526</v>
      </c>
      <c r="F211" s="26"/>
      <c r="G211" s="128" t="s">
        <v>527</v>
      </c>
      <c r="H211" s="26"/>
      <c r="I211" s="99"/>
      <c r="J211" s="99"/>
      <c r="K211" s="99"/>
      <c r="L211" s="99"/>
      <c r="M211" s="99"/>
      <c r="N211" s="99"/>
      <c r="O211" s="99"/>
      <c r="P211" s="99"/>
      <c r="Q211" s="99"/>
      <c r="R211" s="99"/>
      <c r="S211" s="99"/>
      <c r="T211" s="99"/>
      <c r="U211" s="99"/>
      <c r="V211" s="99"/>
      <c r="W211" s="99"/>
      <c r="X211" s="99"/>
      <c r="Y211" s="99"/>
      <c r="Z211" s="99"/>
      <c r="AA211" s="99"/>
      <c r="AB211" s="99"/>
    </row>
    <row r="212">
      <c r="A212" s="26"/>
      <c r="B212" s="26"/>
      <c r="C212" s="26"/>
      <c r="D212" s="26"/>
      <c r="E212" s="124" t="s">
        <v>508</v>
      </c>
      <c r="F212" s="26"/>
      <c r="G212" s="128" t="s">
        <v>528</v>
      </c>
      <c r="H212" s="26"/>
      <c r="I212" s="99"/>
      <c r="J212" s="99"/>
      <c r="K212" s="99"/>
      <c r="L212" s="99"/>
      <c r="M212" s="99"/>
      <c r="N212" s="99"/>
      <c r="O212" s="99"/>
      <c r="P212" s="99"/>
      <c r="Q212" s="99"/>
      <c r="R212" s="99"/>
      <c r="S212" s="99"/>
      <c r="T212" s="99"/>
      <c r="U212" s="99"/>
      <c r="V212" s="99"/>
      <c r="W212" s="99"/>
      <c r="X212" s="99"/>
      <c r="Y212" s="99"/>
      <c r="Z212" s="99"/>
      <c r="AA212" s="99"/>
      <c r="AB212" s="99"/>
    </row>
    <row r="213">
      <c r="A213" s="26"/>
      <c r="B213" s="26"/>
      <c r="C213" s="26"/>
      <c r="D213" s="26"/>
      <c r="E213" s="126"/>
      <c r="F213" s="26"/>
      <c r="G213" s="128" t="s">
        <v>529</v>
      </c>
      <c r="H213" s="26"/>
      <c r="I213" s="99"/>
      <c r="J213" s="99"/>
      <c r="K213" s="99"/>
      <c r="L213" s="99"/>
      <c r="M213" s="99"/>
      <c r="N213" s="99"/>
      <c r="O213" s="99"/>
      <c r="P213" s="99"/>
      <c r="Q213" s="99"/>
      <c r="R213" s="99"/>
      <c r="S213" s="99"/>
      <c r="T213" s="99"/>
      <c r="U213" s="99"/>
      <c r="V213" s="99"/>
      <c r="W213" s="99"/>
      <c r="X213" s="99"/>
      <c r="Y213" s="99"/>
      <c r="Z213" s="99"/>
      <c r="AA213" s="99"/>
      <c r="AB213" s="99"/>
    </row>
    <row r="214">
      <c r="A214" s="26"/>
      <c r="B214" s="26"/>
      <c r="C214" s="26"/>
      <c r="D214" s="26"/>
      <c r="E214" s="126"/>
      <c r="F214" s="26"/>
      <c r="G214" s="128" t="s">
        <v>530</v>
      </c>
      <c r="H214" s="26"/>
      <c r="I214" s="99"/>
      <c r="J214" s="99"/>
      <c r="K214" s="99"/>
      <c r="L214" s="99"/>
      <c r="M214" s="99"/>
      <c r="N214" s="99"/>
      <c r="O214" s="99"/>
      <c r="P214" s="99"/>
      <c r="Q214" s="99"/>
      <c r="R214" s="99"/>
      <c r="S214" s="99"/>
      <c r="T214" s="99"/>
      <c r="U214" s="99"/>
      <c r="V214" s="99"/>
      <c r="W214" s="99"/>
      <c r="X214" s="99"/>
      <c r="Y214" s="99"/>
      <c r="Z214" s="99"/>
      <c r="AA214" s="99"/>
      <c r="AB214" s="99"/>
    </row>
    <row r="215">
      <c r="A215" s="26"/>
      <c r="B215" s="26"/>
      <c r="C215" s="26"/>
      <c r="D215" s="26"/>
      <c r="E215" s="126"/>
      <c r="F215" s="26"/>
      <c r="G215" s="128" t="s">
        <v>531</v>
      </c>
      <c r="H215" s="26"/>
      <c r="I215" s="99"/>
      <c r="J215" s="99"/>
      <c r="K215" s="99"/>
      <c r="L215" s="99"/>
      <c r="M215" s="99"/>
      <c r="N215" s="99"/>
      <c r="O215" s="99"/>
      <c r="P215" s="99"/>
      <c r="Q215" s="99"/>
      <c r="R215" s="99"/>
      <c r="S215" s="99"/>
      <c r="T215" s="99"/>
      <c r="U215" s="99"/>
      <c r="V215" s="99"/>
      <c r="W215" s="99"/>
      <c r="X215" s="99"/>
      <c r="Y215" s="99"/>
      <c r="Z215" s="99"/>
      <c r="AA215" s="99"/>
      <c r="AB215" s="99"/>
    </row>
    <row r="216">
      <c r="A216" s="26"/>
      <c r="B216" s="26"/>
      <c r="C216" s="26"/>
      <c r="D216" s="26"/>
      <c r="E216" s="126"/>
      <c r="F216" s="26"/>
      <c r="G216" s="128" t="s">
        <v>532</v>
      </c>
      <c r="H216" s="26"/>
      <c r="I216" s="99"/>
      <c r="J216" s="99"/>
      <c r="K216" s="99"/>
      <c r="L216" s="99"/>
      <c r="M216" s="99"/>
      <c r="N216" s="99"/>
      <c r="O216" s="99"/>
      <c r="P216" s="99"/>
      <c r="Q216" s="99"/>
      <c r="R216" s="99"/>
      <c r="S216" s="99"/>
      <c r="T216" s="99"/>
      <c r="U216" s="99"/>
      <c r="V216" s="99"/>
      <c r="W216" s="99"/>
      <c r="X216" s="99"/>
      <c r="Y216" s="99"/>
      <c r="Z216" s="99"/>
      <c r="AA216" s="99"/>
      <c r="AB216" s="99"/>
    </row>
    <row r="217">
      <c r="A217" s="26"/>
      <c r="B217" s="26"/>
      <c r="C217" s="26"/>
      <c r="D217" s="26"/>
      <c r="E217" s="126"/>
      <c r="F217" s="26"/>
      <c r="G217" s="128" t="s">
        <v>533</v>
      </c>
      <c r="H217" s="26"/>
      <c r="I217" s="99"/>
      <c r="J217" s="99"/>
      <c r="K217" s="99"/>
      <c r="L217" s="99"/>
      <c r="M217" s="99"/>
      <c r="N217" s="99"/>
      <c r="O217" s="99"/>
      <c r="P217" s="99"/>
      <c r="Q217" s="99"/>
      <c r="R217" s="99"/>
      <c r="S217" s="99"/>
      <c r="T217" s="99"/>
      <c r="U217" s="99"/>
      <c r="V217" s="99"/>
      <c r="W217" s="99"/>
      <c r="X217" s="99"/>
      <c r="Y217" s="99"/>
      <c r="Z217" s="99"/>
      <c r="AA217" s="99"/>
      <c r="AB217" s="99"/>
    </row>
    <row r="218">
      <c r="A218" s="26"/>
      <c r="B218" s="26"/>
      <c r="C218" s="26"/>
      <c r="D218" s="26"/>
      <c r="E218" s="126"/>
      <c r="F218" s="26"/>
      <c r="G218" s="128" t="s">
        <v>534</v>
      </c>
      <c r="H218" s="26"/>
      <c r="I218" s="99"/>
      <c r="J218" s="99"/>
      <c r="K218" s="99"/>
      <c r="L218" s="99"/>
      <c r="M218" s="99"/>
      <c r="N218" s="99"/>
      <c r="O218" s="99"/>
      <c r="P218" s="99"/>
      <c r="Q218" s="99"/>
      <c r="R218" s="99"/>
      <c r="S218" s="99"/>
      <c r="T218" s="99"/>
      <c r="U218" s="99"/>
      <c r="V218" s="99"/>
      <c r="W218" s="99"/>
      <c r="X218" s="99"/>
      <c r="Y218" s="99"/>
      <c r="Z218" s="99"/>
      <c r="AA218" s="99"/>
      <c r="AB218" s="99"/>
    </row>
    <row r="219">
      <c r="A219" s="26"/>
      <c r="B219" s="26"/>
      <c r="C219" s="26"/>
      <c r="D219" s="26"/>
      <c r="E219" s="126"/>
      <c r="F219" s="26"/>
      <c r="G219" s="128" t="s">
        <v>508</v>
      </c>
      <c r="H219" s="26"/>
      <c r="I219" s="99"/>
      <c r="J219" s="99"/>
      <c r="K219" s="99"/>
      <c r="L219" s="99"/>
      <c r="M219" s="99"/>
      <c r="N219" s="99"/>
      <c r="O219" s="99"/>
      <c r="P219" s="99"/>
      <c r="Q219" s="99"/>
      <c r="R219" s="99"/>
      <c r="S219" s="99"/>
      <c r="T219" s="99"/>
      <c r="U219" s="99"/>
      <c r="V219" s="99"/>
      <c r="W219" s="99"/>
      <c r="X219" s="99"/>
      <c r="Y219" s="99"/>
      <c r="Z219" s="99"/>
      <c r="AA219" s="99"/>
      <c r="AB219" s="99"/>
    </row>
    <row r="220">
      <c r="A220" s="26"/>
      <c r="B220" s="26"/>
      <c r="C220" s="26"/>
      <c r="D220" s="26"/>
      <c r="E220" s="126"/>
      <c r="F220" s="26"/>
      <c r="G220" s="128" t="s">
        <v>535</v>
      </c>
      <c r="H220" s="26"/>
      <c r="I220" s="99"/>
      <c r="J220" s="99"/>
      <c r="K220" s="99"/>
      <c r="L220" s="99"/>
      <c r="M220" s="99"/>
      <c r="N220" s="99"/>
      <c r="O220" s="99"/>
      <c r="P220" s="99"/>
      <c r="Q220" s="99"/>
      <c r="R220" s="99"/>
      <c r="S220" s="99"/>
      <c r="T220" s="99"/>
      <c r="U220" s="99"/>
      <c r="V220" s="99"/>
      <c r="W220" s="99"/>
      <c r="X220" s="99"/>
      <c r="Y220" s="99"/>
      <c r="Z220" s="99"/>
      <c r="AA220" s="99"/>
      <c r="AB220" s="99"/>
    </row>
    <row r="221">
      <c r="A221" s="26"/>
      <c r="B221" s="26"/>
      <c r="C221" s="26"/>
      <c r="D221" s="26"/>
      <c r="E221" s="126"/>
      <c r="F221" s="26"/>
      <c r="G221" s="128" t="s">
        <v>536</v>
      </c>
      <c r="H221" s="26"/>
      <c r="I221" s="99"/>
      <c r="J221" s="99"/>
      <c r="K221" s="99"/>
      <c r="L221" s="99"/>
      <c r="M221" s="99"/>
      <c r="N221" s="99"/>
      <c r="O221" s="99"/>
      <c r="P221" s="99"/>
      <c r="Q221" s="99"/>
      <c r="R221" s="99"/>
      <c r="S221" s="99"/>
      <c r="T221" s="99"/>
      <c r="U221" s="99"/>
      <c r="V221" s="99"/>
      <c r="W221" s="99"/>
      <c r="X221" s="99"/>
      <c r="Y221" s="99"/>
      <c r="Z221" s="99"/>
      <c r="AA221" s="99"/>
      <c r="AB221" s="99"/>
    </row>
    <row r="222">
      <c r="A222" s="26"/>
      <c r="B222" s="26"/>
      <c r="C222" s="26"/>
      <c r="D222" s="26"/>
      <c r="E222" s="126"/>
      <c r="F222" s="26"/>
      <c r="G222" s="128" t="s">
        <v>537</v>
      </c>
      <c r="H222" s="26"/>
      <c r="I222" s="99"/>
      <c r="J222" s="99"/>
      <c r="K222" s="99"/>
      <c r="L222" s="99"/>
      <c r="M222" s="99"/>
      <c r="N222" s="99"/>
      <c r="O222" s="99"/>
      <c r="P222" s="99"/>
      <c r="Q222" s="99"/>
      <c r="R222" s="99"/>
      <c r="S222" s="99"/>
      <c r="T222" s="99"/>
      <c r="U222" s="99"/>
      <c r="V222" s="99"/>
      <c r="W222" s="99"/>
      <c r="X222" s="99"/>
      <c r="Y222" s="99"/>
      <c r="Z222" s="99"/>
      <c r="AA222" s="99"/>
      <c r="AB222" s="99"/>
    </row>
    <row r="223">
      <c r="A223" s="26"/>
      <c r="B223" s="26"/>
      <c r="C223" s="26"/>
      <c r="D223" s="26"/>
      <c r="E223" s="126"/>
      <c r="F223" s="26"/>
      <c r="G223" s="128" t="s">
        <v>538</v>
      </c>
      <c r="H223" s="26"/>
      <c r="I223" s="99"/>
      <c r="J223" s="99"/>
      <c r="K223" s="99"/>
      <c r="L223" s="99"/>
      <c r="M223" s="99"/>
      <c r="N223" s="99"/>
      <c r="O223" s="99"/>
      <c r="P223" s="99"/>
      <c r="Q223" s="99"/>
      <c r="R223" s="99"/>
      <c r="S223" s="99"/>
      <c r="T223" s="99"/>
      <c r="U223" s="99"/>
      <c r="V223" s="99"/>
      <c r="W223" s="99"/>
      <c r="X223" s="99"/>
      <c r="Y223" s="99"/>
      <c r="Z223" s="99"/>
      <c r="AA223" s="99"/>
      <c r="AB223" s="99"/>
    </row>
    <row r="224">
      <c r="A224" s="26"/>
      <c r="B224" s="26"/>
      <c r="C224" s="26"/>
      <c r="D224" s="26"/>
      <c r="E224" s="126"/>
      <c r="F224" s="26"/>
      <c r="G224" s="128" t="s">
        <v>539</v>
      </c>
      <c r="H224" s="26"/>
      <c r="I224" s="99"/>
      <c r="J224" s="99"/>
      <c r="K224" s="99"/>
      <c r="L224" s="99"/>
      <c r="M224" s="99"/>
      <c r="N224" s="99"/>
      <c r="O224" s="99"/>
      <c r="P224" s="99"/>
      <c r="Q224" s="99"/>
      <c r="R224" s="99"/>
      <c r="S224" s="99"/>
      <c r="T224" s="99"/>
      <c r="U224" s="99"/>
      <c r="V224" s="99"/>
      <c r="W224" s="99"/>
      <c r="X224" s="99"/>
      <c r="Y224" s="99"/>
      <c r="Z224" s="99"/>
      <c r="AA224" s="99"/>
      <c r="AB224" s="99"/>
    </row>
    <row r="225">
      <c r="A225" s="26"/>
      <c r="B225" s="26"/>
      <c r="C225" s="26"/>
      <c r="D225" s="26"/>
      <c r="E225" s="126"/>
      <c r="F225" s="26"/>
      <c r="G225" s="128" t="s">
        <v>540</v>
      </c>
      <c r="H225" s="26"/>
      <c r="I225" s="99"/>
      <c r="J225" s="99"/>
      <c r="K225" s="99"/>
      <c r="L225" s="99"/>
      <c r="M225" s="99"/>
      <c r="N225" s="99"/>
      <c r="O225" s="99"/>
      <c r="P225" s="99"/>
      <c r="Q225" s="99"/>
      <c r="R225" s="99"/>
      <c r="S225" s="99"/>
      <c r="T225" s="99"/>
      <c r="U225" s="99"/>
      <c r="V225" s="99"/>
      <c r="W225" s="99"/>
      <c r="X225" s="99"/>
      <c r="Y225" s="99"/>
      <c r="Z225" s="99"/>
      <c r="AA225" s="99"/>
      <c r="AB225" s="99"/>
    </row>
    <row r="226">
      <c r="A226" s="26"/>
      <c r="B226" s="26"/>
      <c r="C226" s="26"/>
      <c r="D226" s="27"/>
      <c r="E226" s="126"/>
      <c r="F226" s="27"/>
      <c r="G226" s="128" t="s">
        <v>541</v>
      </c>
      <c r="H226" s="27"/>
      <c r="I226" s="99"/>
      <c r="J226" s="99"/>
      <c r="K226" s="99"/>
      <c r="L226" s="99"/>
      <c r="M226" s="99"/>
      <c r="N226" s="99"/>
      <c r="O226" s="99"/>
      <c r="P226" s="99"/>
      <c r="Q226" s="99"/>
      <c r="R226" s="99"/>
      <c r="S226" s="99"/>
      <c r="T226" s="99"/>
      <c r="U226" s="99"/>
      <c r="V226" s="99"/>
      <c r="W226" s="99"/>
      <c r="X226" s="99"/>
      <c r="Y226" s="99"/>
      <c r="Z226" s="99"/>
      <c r="AA226" s="99"/>
      <c r="AB226" s="99"/>
    </row>
    <row r="227">
      <c r="A227" s="26"/>
      <c r="B227" s="26"/>
      <c r="C227" s="26"/>
      <c r="D227" s="129" t="s">
        <v>542</v>
      </c>
      <c r="E227" s="130" t="s">
        <v>542</v>
      </c>
      <c r="F227" s="123" t="s">
        <v>543</v>
      </c>
      <c r="G227" s="128" t="s">
        <v>544</v>
      </c>
      <c r="H227" s="123" t="s">
        <v>545</v>
      </c>
      <c r="I227" s="99"/>
      <c r="J227" s="99"/>
      <c r="K227" s="99"/>
      <c r="L227" s="99"/>
      <c r="M227" s="99"/>
      <c r="N227" s="99"/>
      <c r="O227" s="99"/>
      <c r="P227" s="99"/>
      <c r="Q227" s="99"/>
      <c r="R227" s="99"/>
      <c r="S227" s="99"/>
      <c r="T227" s="99"/>
      <c r="U227" s="99"/>
      <c r="V227" s="99"/>
      <c r="W227" s="99"/>
      <c r="X227" s="99"/>
      <c r="Y227" s="99"/>
      <c r="Z227" s="99"/>
      <c r="AA227" s="99"/>
      <c r="AB227" s="99"/>
    </row>
    <row r="228">
      <c r="A228" s="26"/>
      <c r="B228" s="26"/>
      <c r="C228" s="26"/>
      <c r="D228" s="26"/>
      <c r="E228" s="124" t="s">
        <v>546</v>
      </c>
      <c r="F228" s="26"/>
      <c r="G228" s="128" t="s">
        <v>547</v>
      </c>
      <c r="H228" s="26"/>
      <c r="I228" s="99"/>
      <c r="J228" s="99"/>
      <c r="K228" s="99"/>
      <c r="L228" s="99"/>
      <c r="M228" s="99"/>
      <c r="N228" s="99"/>
      <c r="O228" s="99"/>
      <c r="P228" s="99"/>
      <c r="Q228" s="99"/>
      <c r="R228" s="99"/>
      <c r="S228" s="99"/>
      <c r="T228" s="99"/>
      <c r="U228" s="99"/>
      <c r="V228" s="99"/>
      <c r="W228" s="99"/>
      <c r="X228" s="99"/>
      <c r="Y228" s="99"/>
      <c r="Z228" s="99"/>
      <c r="AA228" s="99"/>
      <c r="AB228" s="99"/>
    </row>
    <row r="229">
      <c r="A229" s="26"/>
      <c r="B229" s="26"/>
      <c r="C229" s="26"/>
      <c r="D229" s="26"/>
      <c r="E229" s="124" t="s">
        <v>548</v>
      </c>
      <c r="F229" s="26"/>
      <c r="G229" s="128" t="s">
        <v>549</v>
      </c>
      <c r="H229" s="26"/>
      <c r="I229" s="99"/>
      <c r="J229" s="99"/>
      <c r="K229" s="99"/>
      <c r="L229" s="99"/>
      <c r="M229" s="99"/>
      <c r="N229" s="99"/>
      <c r="O229" s="99"/>
      <c r="P229" s="99"/>
      <c r="Q229" s="99"/>
      <c r="R229" s="99"/>
      <c r="S229" s="99"/>
      <c r="T229" s="99"/>
      <c r="U229" s="99"/>
      <c r="V229" s="99"/>
      <c r="W229" s="99"/>
      <c r="X229" s="99"/>
      <c r="Y229" s="99"/>
      <c r="Z229" s="99"/>
      <c r="AA229" s="99"/>
      <c r="AB229" s="99"/>
    </row>
    <row r="230">
      <c r="A230" s="26"/>
      <c r="B230" s="26"/>
      <c r="C230" s="26"/>
      <c r="D230" s="26"/>
      <c r="E230" s="124" t="s">
        <v>550</v>
      </c>
      <c r="F230" s="26"/>
      <c r="G230" s="128" t="s">
        <v>551</v>
      </c>
      <c r="H230" s="26"/>
      <c r="I230" s="99"/>
      <c r="J230" s="99"/>
      <c r="K230" s="99"/>
      <c r="L230" s="99"/>
      <c r="M230" s="99"/>
      <c r="N230" s="99"/>
      <c r="O230" s="99"/>
      <c r="P230" s="99"/>
      <c r="Q230" s="99"/>
      <c r="R230" s="99"/>
      <c r="S230" s="99"/>
      <c r="T230" s="99"/>
      <c r="U230" s="99"/>
      <c r="V230" s="99"/>
      <c r="W230" s="99"/>
      <c r="X230" s="99"/>
      <c r="Y230" s="99"/>
      <c r="Z230" s="99"/>
      <c r="AA230" s="99"/>
      <c r="AB230" s="99"/>
    </row>
    <row r="231">
      <c r="A231" s="26"/>
      <c r="B231" s="26"/>
      <c r="C231" s="26"/>
      <c r="D231" s="26"/>
      <c r="E231" s="124" t="s">
        <v>552</v>
      </c>
      <c r="F231" s="26"/>
      <c r="G231" s="128" t="s">
        <v>553</v>
      </c>
      <c r="H231" s="26"/>
      <c r="I231" s="99"/>
      <c r="J231" s="99"/>
      <c r="K231" s="99"/>
      <c r="L231" s="99"/>
      <c r="M231" s="99"/>
      <c r="N231" s="99"/>
      <c r="O231" s="99"/>
      <c r="P231" s="99"/>
      <c r="Q231" s="99"/>
      <c r="R231" s="99"/>
      <c r="S231" s="99"/>
      <c r="T231" s="99"/>
      <c r="U231" s="99"/>
      <c r="V231" s="99"/>
      <c r="W231" s="99"/>
      <c r="X231" s="99"/>
      <c r="Y231" s="99"/>
      <c r="Z231" s="99"/>
      <c r="AA231" s="99"/>
      <c r="AB231" s="99"/>
    </row>
    <row r="232">
      <c r="A232" s="26"/>
      <c r="B232" s="26"/>
      <c r="C232" s="26"/>
      <c r="D232" s="26"/>
      <c r="E232" s="124" t="s">
        <v>554</v>
      </c>
      <c r="F232" s="26"/>
      <c r="G232" s="128" t="s">
        <v>555</v>
      </c>
      <c r="H232" s="26"/>
      <c r="I232" s="99"/>
      <c r="J232" s="99"/>
      <c r="K232" s="99"/>
      <c r="L232" s="99"/>
      <c r="M232" s="99"/>
      <c r="N232" s="99"/>
      <c r="O232" s="99"/>
      <c r="P232" s="99"/>
      <c r="Q232" s="99"/>
      <c r="R232" s="99"/>
      <c r="S232" s="99"/>
      <c r="T232" s="99"/>
      <c r="U232" s="99"/>
      <c r="V232" s="99"/>
      <c r="W232" s="99"/>
      <c r="X232" s="99"/>
      <c r="Y232" s="99"/>
      <c r="Z232" s="99"/>
      <c r="AA232" s="99"/>
      <c r="AB232" s="99"/>
    </row>
    <row r="233">
      <c r="A233" s="26"/>
      <c r="B233" s="26"/>
      <c r="C233" s="26"/>
      <c r="D233" s="26"/>
      <c r="E233" s="126"/>
      <c r="F233" s="26"/>
      <c r="G233" s="128" t="s">
        <v>556</v>
      </c>
      <c r="H233" s="26"/>
      <c r="I233" s="99"/>
      <c r="J233" s="99"/>
      <c r="K233" s="99"/>
      <c r="L233" s="99"/>
      <c r="M233" s="99"/>
      <c r="N233" s="99"/>
      <c r="O233" s="99"/>
      <c r="P233" s="99"/>
      <c r="Q233" s="99"/>
      <c r="R233" s="99"/>
      <c r="S233" s="99"/>
      <c r="T233" s="99"/>
      <c r="U233" s="99"/>
      <c r="V233" s="99"/>
      <c r="W233" s="99"/>
      <c r="X233" s="99"/>
      <c r="Y233" s="99"/>
      <c r="Z233" s="99"/>
      <c r="AA233" s="99"/>
      <c r="AB233" s="99"/>
    </row>
    <row r="234">
      <c r="A234" s="26"/>
      <c r="B234" s="26"/>
      <c r="C234" s="26"/>
      <c r="D234" s="26"/>
      <c r="E234" s="126"/>
      <c r="F234" s="26"/>
      <c r="G234" s="128" t="s">
        <v>557</v>
      </c>
      <c r="H234" s="26"/>
      <c r="I234" s="99"/>
      <c r="J234" s="99"/>
      <c r="K234" s="99"/>
      <c r="L234" s="99"/>
      <c r="M234" s="99"/>
      <c r="N234" s="99"/>
      <c r="O234" s="99"/>
      <c r="P234" s="99"/>
      <c r="Q234" s="99"/>
      <c r="R234" s="99"/>
      <c r="S234" s="99"/>
      <c r="T234" s="99"/>
      <c r="U234" s="99"/>
      <c r="V234" s="99"/>
      <c r="W234" s="99"/>
      <c r="X234" s="99"/>
      <c r="Y234" s="99"/>
      <c r="Z234" s="99"/>
      <c r="AA234" s="99"/>
      <c r="AB234" s="99"/>
    </row>
    <row r="235">
      <c r="A235" s="26"/>
      <c r="B235" s="26"/>
      <c r="C235" s="26"/>
      <c r="D235" s="26"/>
      <c r="E235" s="126"/>
      <c r="F235" s="26"/>
      <c r="G235" s="128" t="s">
        <v>558</v>
      </c>
      <c r="H235" s="26"/>
      <c r="I235" s="99"/>
      <c r="J235" s="99"/>
      <c r="K235" s="99"/>
      <c r="L235" s="99"/>
      <c r="M235" s="99"/>
      <c r="N235" s="99"/>
      <c r="O235" s="99"/>
      <c r="P235" s="99"/>
      <c r="Q235" s="99"/>
      <c r="R235" s="99"/>
      <c r="S235" s="99"/>
      <c r="T235" s="99"/>
      <c r="U235" s="99"/>
      <c r="V235" s="99"/>
      <c r="W235" s="99"/>
      <c r="X235" s="99"/>
      <c r="Y235" s="99"/>
      <c r="Z235" s="99"/>
      <c r="AA235" s="99"/>
      <c r="AB235" s="99"/>
    </row>
    <row r="236">
      <c r="A236" s="26"/>
      <c r="B236" s="26"/>
      <c r="C236" s="26"/>
      <c r="D236" s="26"/>
      <c r="E236" s="126"/>
      <c r="F236" s="26"/>
      <c r="G236" s="128" t="s">
        <v>559</v>
      </c>
      <c r="H236" s="26"/>
      <c r="I236" s="99"/>
      <c r="J236" s="99"/>
      <c r="K236" s="99"/>
      <c r="L236" s="99"/>
      <c r="M236" s="99"/>
      <c r="N236" s="99"/>
      <c r="O236" s="99"/>
      <c r="P236" s="99"/>
      <c r="Q236" s="99"/>
      <c r="R236" s="99"/>
      <c r="S236" s="99"/>
      <c r="T236" s="99"/>
      <c r="U236" s="99"/>
      <c r="V236" s="99"/>
      <c r="W236" s="99"/>
      <c r="X236" s="99"/>
      <c r="Y236" s="99"/>
      <c r="Z236" s="99"/>
      <c r="AA236" s="99"/>
      <c r="AB236" s="99"/>
    </row>
    <row r="237">
      <c r="A237" s="26"/>
      <c r="B237" s="26"/>
      <c r="C237" s="26"/>
      <c r="D237" s="26"/>
      <c r="E237" s="126"/>
      <c r="F237" s="26"/>
      <c r="G237" s="128" t="s">
        <v>560</v>
      </c>
      <c r="H237" s="26"/>
      <c r="I237" s="99"/>
      <c r="J237" s="99"/>
      <c r="K237" s="99"/>
      <c r="L237" s="99"/>
      <c r="M237" s="99"/>
      <c r="N237" s="99"/>
      <c r="O237" s="99"/>
      <c r="P237" s="99"/>
      <c r="Q237" s="99"/>
      <c r="R237" s="99"/>
      <c r="S237" s="99"/>
      <c r="T237" s="99"/>
      <c r="U237" s="99"/>
      <c r="V237" s="99"/>
      <c r="W237" s="99"/>
      <c r="X237" s="99"/>
      <c r="Y237" s="99"/>
      <c r="Z237" s="99"/>
      <c r="AA237" s="99"/>
      <c r="AB237" s="99"/>
    </row>
    <row r="238">
      <c r="A238" s="26"/>
      <c r="B238" s="26"/>
      <c r="C238" s="26"/>
      <c r="D238" s="26"/>
      <c r="E238" s="126"/>
      <c r="F238" s="26"/>
      <c r="G238" s="128" t="s">
        <v>561</v>
      </c>
      <c r="H238" s="26"/>
      <c r="I238" s="99"/>
      <c r="J238" s="99"/>
      <c r="K238" s="99"/>
      <c r="L238" s="99"/>
      <c r="M238" s="99"/>
      <c r="N238" s="99"/>
      <c r="O238" s="99"/>
      <c r="P238" s="99"/>
      <c r="Q238" s="99"/>
      <c r="R238" s="99"/>
      <c r="S238" s="99"/>
      <c r="T238" s="99"/>
      <c r="U238" s="99"/>
      <c r="V238" s="99"/>
      <c r="W238" s="99"/>
      <c r="X238" s="99"/>
      <c r="Y238" s="99"/>
      <c r="Z238" s="99"/>
      <c r="AA238" s="99"/>
      <c r="AB238" s="99"/>
    </row>
    <row r="239">
      <c r="A239" s="26"/>
      <c r="B239" s="26"/>
      <c r="C239" s="26"/>
      <c r="D239" s="26"/>
      <c r="E239" s="126"/>
      <c r="F239" s="26"/>
      <c r="G239" s="128" t="s">
        <v>562</v>
      </c>
      <c r="H239" s="26"/>
      <c r="I239" s="99"/>
      <c r="J239" s="99"/>
      <c r="K239" s="99"/>
      <c r="L239" s="99"/>
      <c r="M239" s="99"/>
      <c r="N239" s="99"/>
      <c r="O239" s="99"/>
      <c r="P239" s="99"/>
      <c r="Q239" s="99"/>
      <c r="R239" s="99"/>
      <c r="S239" s="99"/>
      <c r="T239" s="99"/>
      <c r="U239" s="99"/>
      <c r="V239" s="99"/>
      <c r="W239" s="99"/>
      <c r="X239" s="99"/>
      <c r="Y239" s="99"/>
      <c r="Z239" s="99"/>
      <c r="AA239" s="99"/>
      <c r="AB239" s="99"/>
    </row>
    <row r="240">
      <c r="A240" s="26"/>
      <c r="B240" s="26"/>
      <c r="C240" s="26"/>
      <c r="D240" s="26"/>
      <c r="E240" s="126"/>
      <c r="F240" s="26"/>
      <c r="G240" s="128" t="s">
        <v>563</v>
      </c>
      <c r="H240" s="26"/>
      <c r="I240" s="99"/>
      <c r="J240" s="99"/>
      <c r="K240" s="99"/>
      <c r="L240" s="99"/>
      <c r="M240" s="99"/>
      <c r="N240" s="99"/>
      <c r="O240" s="99"/>
      <c r="P240" s="99"/>
      <c r="Q240" s="99"/>
      <c r="R240" s="99"/>
      <c r="S240" s="99"/>
      <c r="T240" s="99"/>
      <c r="U240" s="99"/>
      <c r="V240" s="99"/>
      <c r="W240" s="99"/>
      <c r="X240" s="99"/>
      <c r="Y240" s="99"/>
      <c r="Z240" s="99"/>
      <c r="AA240" s="99"/>
      <c r="AB240" s="99"/>
    </row>
    <row r="241">
      <c r="A241" s="26"/>
      <c r="B241" s="26"/>
      <c r="C241" s="26"/>
      <c r="D241" s="26"/>
      <c r="E241" s="126"/>
      <c r="F241" s="26"/>
      <c r="G241" s="128" t="s">
        <v>564</v>
      </c>
      <c r="H241" s="26"/>
      <c r="I241" s="99"/>
      <c r="J241" s="99"/>
      <c r="K241" s="99"/>
      <c r="L241" s="99"/>
      <c r="M241" s="99"/>
      <c r="N241" s="99"/>
      <c r="O241" s="99"/>
      <c r="P241" s="99"/>
      <c r="Q241" s="99"/>
      <c r="R241" s="99"/>
      <c r="S241" s="99"/>
      <c r="T241" s="99"/>
      <c r="U241" s="99"/>
      <c r="V241" s="99"/>
      <c r="W241" s="99"/>
      <c r="X241" s="99"/>
      <c r="Y241" s="99"/>
      <c r="Z241" s="99"/>
      <c r="AA241" s="99"/>
      <c r="AB241" s="99"/>
    </row>
    <row r="242">
      <c r="A242" s="26"/>
      <c r="B242" s="26"/>
      <c r="C242" s="26"/>
      <c r="D242" s="26"/>
      <c r="E242" s="126"/>
      <c r="F242" s="26"/>
      <c r="G242" s="128" t="s">
        <v>565</v>
      </c>
      <c r="H242" s="26"/>
      <c r="I242" s="99"/>
      <c r="J242" s="99"/>
      <c r="K242" s="99"/>
      <c r="L242" s="99"/>
      <c r="M242" s="99"/>
      <c r="N242" s="99"/>
      <c r="O242" s="99"/>
      <c r="P242" s="99"/>
      <c r="Q242" s="99"/>
      <c r="R242" s="99"/>
      <c r="S242" s="99"/>
      <c r="T242" s="99"/>
      <c r="U242" s="99"/>
      <c r="V242" s="99"/>
      <c r="W242" s="99"/>
      <c r="X242" s="99"/>
      <c r="Y242" s="99"/>
      <c r="Z242" s="99"/>
      <c r="AA242" s="99"/>
      <c r="AB242" s="99"/>
    </row>
    <row r="243">
      <c r="A243" s="26"/>
      <c r="B243" s="26"/>
      <c r="C243" s="26"/>
      <c r="D243" s="26"/>
      <c r="E243" s="126"/>
      <c r="F243" s="26"/>
      <c r="G243" s="128" t="s">
        <v>566</v>
      </c>
      <c r="H243" s="26"/>
      <c r="I243" s="99"/>
      <c r="J243" s="99"/>
      <c r="K243" s="99"/>
      <c r="L243" s="99"/>
      <c r="M243" s="99"/>
      <c r="N243" s="99"/>
      <c r="O243" s="99"/>
      <c r="P243" s="99"/>
      <c r="Q243" s="99"/>
      <c r="R243" s="99"/>
      <c r="S243" s="99"/>
      <c r="T243" s="99"/>
      <c r="U243" s="99"/>
      <c r="V243" s="99"/>
      <c r="W243" s="99"/>
      <c r="X243" s="99"/>
      <c r="Y243" s="99"/>
      <c r="Z243" s="99"/>
      <c r="AA243" s="99"/>
      <c r="AB243" s="99"/>
    </row>
    <row r="244">
      <c r="A244" s="26"/>
      <c r="B244" s="26"/>
      <c r="C244" s="26"/>
      <c r="D244" s="26"/>
      <c r="E244" s="126"/>
      <c r="F244" s="26"/>
      <c r="G244" s="128" t="s">
        <v>567</v>
      </c>
      <c r="H244" s="26"/>
      <c r="I244" s="99"/>
      <c r="J244" s="99"/>
      <c r="K244" s="99"/>
      <c r="L244" s="99"/>
      <c r="M244" s="99"/>
      <c r="N244" s="99"/>
      <c r="O244" s="99"/>
      <c r="P244" s="99"/>
      <c r="Q244" s="99"/>
      <c r="R244" s="99"/>
      <c r="S244" s="99"/>
      <c r="T244" s="99"/>
      <c r="U244" s="99"/>
      <c r="V244" s="99"/>
      <c r="W244" s="99"/>
      <c r="X244" s="99"/>
      <c r="Y244" s="99"/>
      <c r="Z244" s="99"/>
      <c r="AA244" s="99"/>
      <c r="AB244" s="99"/>
    </row>
    <row r="245">
      <c r="A245" s="26"/>
      <c r="B245" s="26"/>
      <c r="C245" s="26"/>
      <c r="D245" s="26"/>
      <c r="E245" s="126"/>
      <c r="F245" s="26"/>
      <c r="G245" s="128" t="s">
        <v>568</v>
      </c>
      <c r="H245" s="26"/>
      <c r="I245" s="99"/>
      <c r="J245" s="99"/>
      <c r="K245" s="99"/>
      <c r="L245" s="99"/>
      <c r="M245" s="99"/>
      <c r="N245" s="99"/>
      <c r="O245" s="99"/>
      <c r="P245" s="99"/>
      <c r="Q245" s="99"/>
      <c r="R245" s="99"/>
      <c r="S245" s="99"/>
      <c r="T245" s="99"/>
      <c r="U245" s="99"/>
      <c r="V245" s="99"/>
      <c r="W245" s="99"/>
      <c r="X245" s="99"/>
      <c r="Y245" s="99"/>
      <c r="Z245" s="99"/>
      <c r="AA245" s="99"/>
      <c r="AB245" s="99"/>
    </row>
    <row r="246">
      <c r="A246" s="26"/>
      <c r="B246" s="26"/>
      <c r="C246" s="26"/>
      <c r="D246" s="26"/>
      <c r="E246" s="126"/>
      <c r="F246" s="26"/>
      <c r="G246" s="128" t="s">
        <v>569</v>
      </c>
      <c r="H246" s="26"/>
      <c r="I246" s="99"/>
      <c r="J246" s="99"/>
      <c r="K246" s="99"/>
      <c r="L246" s="99"/>
      <c r="M246" s="99"/>
      <c r="N246" s="99"/>
      <c r="O246" s="99"/>
      <c r="P246" s="99"/>
      <c r="Q246" s="99"/>
      <c r="R246" s="99"/>
      <c r="S246" s="99"/>
      <c r="T246" s="99"/>
      <c r="U246" s="99"/>
      <c r="V246" s="99"/>
      <c r="W246" s="99"/>
      <c r="X246" s="99"/>
      <c r="Y246" s="99"/>
      <c r="Z246" s="99"/>
      <c r="AA246" s="99"/>
      <c r="AB246" s="99"/>
    </row>
    <row r="247">
      <c r="A247" s="26"/>
      <c r="B247" s="26"/>
      <c r="C247" s="26"/>
      <c r="D247" s="26"/>
      <c r="E247" s="126"/>
      <c r="F247" s="26"/>
      <c r="G247" s="128" t="s">
        <v>570</v>
      </c>
      <c r="H247" s="26"/>
      <c r="I247" s="99"/>
      <c r="J247" s="99"/>
      <c r="K247" s="99"/>
      <c r="L247" s="99"/>
      <c r="M247" s="99"/>
      <c r="N247" s="99"/>
      <c r="O247" s="99"/>
      <c r="P247" s="99"/>
      <c r="Q247" s="99"/>
      <c r="R247" s="99"/>
      <c r="S247" s="99"/>
      <c r="T247" s="99"/>
      <c r="U247" s="99"/>
      <c r="V247" s="99"/>
      <c r="W247" s="99"/>
      <c r="X247" s="99"/>
      <c r="Y247" s="99"/>
      <c r="Z247" s="99"/>
      <c r="AA247" s="99"/>
      <c r="AB247" s="99"/>
    </row>
    <row r="248">
      <c r="A248" s="26"/>
      <c r="B248" s="26"/>
      <c r="C248" s="26"/>
      <c r="D248" s="26"/>
      <c r="E248" s="126"/>
      <c r="F248" s="26"/>
      <c r="G248" s="128" t="s">
        <v>571</v>
      </c>
      <c r="H248" s="26"/>
      <c r="I248" s="99"/>
      <c r="J248" s="99"/>
      <c r="K248" s="99"/>
      <c r="L248" s="99"/>
      <c r="M248" s="99"/>
      <c r="N248" s="99"/>
      <c r="O248" s="99"/>
      <c r="P248" s="99"/>
      <c r="Q248" s="99"/>
      <c r="R248" s="99"/>
      <c r="S248" s="99"/>
      <c r="T248" s="99"/>
      <c r="U248" s="99"/>
      <c r="V248" s="99"/>
      <c r="W248" s="99"/>
      <c r="X248" s="99"/>
      <c r="Y248" s="99"/>
      <c r="Z248" s="99"/>
      <c r="AA248" s="99"/>
      <c r="AB248" s="99"/>
    </row>
    <row r="249">
      <c r="A249" s="26"/>
      <c r="B249" s="26"/>
      <c r="C249" s="26"/>
      <c r="D249" s="26"/>
      <c r="E249" s="126"/>
      <c r="F249" s="26"/>
      <c r="G249" s="128" t="s">
        <v>572</v>
      </c>
      <c r="H249" s="26"/>
      <c r="I249" s="99"/>
      <c r="J249" s="99"/>
      <c r="K249" s="99"/>
      <c r="L249" s="99"/>
      <c r="M249" s="99"/>
      <c r="N249" s="99"/>
      <c r="O249" s="99"/>
      <c r="P249" s="99"/>
      <c r="Q249" s="99"/>
      <c r="R249" s="99"/>
      <c r="S249" s="99"/>
      <c r="T249" s="99"/>
      <c r="U249" s="99"/>
      <c r="V249" s="99"/>
      <c r="W249" s="99"/>
      <c r="X249" s="99"/>
      <c r="Y249" s="99"/>
      <c r="Z249" s="99"/>
      <c r="AA249" s="99"/>
      <c r="AB249" s="99"/>
    </row>
    <row r="250">
      <c r="A250" s="26"/>
      <c r="B250" s="26"/>
      <c r="C250" s="26"/>
      <c r="D250" s="26"/>
      <c r="E250" s="126"/>
      <c r="F250" s="26"/>
      <c r="G250" s="128" t="s">
        <v>573</v>
      </c>
      <c r="H250" s="26"/>
      <c r="I250" s="99"/>
      <c r="J250" s="99"/>
      <c r="K250" s="99"/>
      <c r="L250" s="99"/>
      <c r="M250" s="99"/>
      <c r="N250" s="99"/>
      <c r="O250" s="99"/>
      <c r="P250" s="99"/>
      <c r="Q250" s="99"/>
      <c r="R250" s="99"/>
      <c r="S250" s="99"/>
      <c r="T250" s="99"/>
      <c r="U250" s="99"/>
      <c r="V250" s="99"/>
      <c r="W250" s="99"/>
      <c r="X250" s="99"/>
      <c r="Y250" s="99"/>
      <c r="Z250" s="99"/>
      <c r="AA250" s="99"/>
      <c r="AB250" s="99"/>
    </row>
    <row r="251">
      <c r="A251" s="26"/>
      <c r="B251" s="26"/>
      <c r="C251" s="26"/>
      <c r="D251" s="26"/>
      <c r="E251" s="126"/>
      <c r="F251" s="26"/>
      <c r="G251" s="128" t="s">
        <v>574</v>
      </c>
      <c r="H251" s="26"/>
      <c r="I251" s="99"/>
      <c r="J251" s="99"/>
      <c r="K251" s="99"/>
      <c r="L251" s="99"/>
      <c r="M251" s="99"/>
      <c r="N251" s="99"/>
      <c r="O251" s="99"/>
      <c r="P251" s="99"/>
      <c r="Q251" s="99"/>
      <c r="R251" s="99"/>
      <c r="S251" s="99"/>
      <c r="T251" s="99"/>
      <c r="U251" s="99"/>
      <c r="V251" s="99"/>
      <c r="W251" s="99"/>
      <c r="X251" s="99"/>
      <c r="Y251" s="99"/>
      <c r="Z251" s="99"/>
      <c r="AA251" s="99"/>
      <c r="AB251" s="99"/>
    </row>
    <row r="252">
      <c r="A252" s="26"/>
      <c r="B252" s="26"/>
      <c r="C252" s="26"/>
      <c r="D252" s="26"/>
      <c r="E252" s="126"/>
      <c r="F252" s="26"/>
      <c r="G252" s="128" t="s">
        <v>575</v>
      </c>
      <c r="H252" s="26"/>
      <c r="I252" s="99"/>
      <c r="J252" s="99"/>
      <c r="K252" s="99"/>
      <c r="L252" s="99"/>
      <c r="M252" s="99"/>
      <c r="N252" s="99"/>
      <c r="O252" s="99"/>
      <c r="P252" s="99"/>
      <c r="Q252" s="99"/>
      <c r="R252" s="99"/>
      <c r="S252" s="99"/>
      <c r="T252" s="99"/>
      <c r="U252" s="99"/>
      <c r="V252" s="99"/>
      <c r="W252" s="99"/>
      <c r="X252" s="99"/>
      <c r="Y252" s="99"/>
      <c r="Z252" s="99"/>
      <c r="AA252" s="99"/>
      <c r="AB252" s="99"/>
    </row>
    <row r="253">
      <c r="A253" s="26"/>
      <c r="B253" s="26"/>
      <c r="C253" s="26"/>
      <c r="D253" s="26"/>
      <c r="E253" s="126"/>
      <c r="F253" s="26"/>
      <c r="G253" s="128" t="s">
        <v>576</v>
      </c>
      <c r="H253" s="26"/>
      <c r="I253" s="99"/>
      <c r="J253" s="99"/>
      <c r="K253" s="99"/>
      <c r="L253" s="99"/>
      <c r="M253" s="99"/>
      <c r="N253" s="99"/>
      <c r="O253" s="99"/>
      <c r="P253" s="99"/>
      <c r="Q253" s="99"/>
      <c r="R253" s="99"/>
      <c r="S253" s="99"/>
      <c r="T253" s="99"/>
      <c r="U253" s="99"/>
      <c r="V253" s="99"/>
      <c r="W253" s="99"/>
      <c r="X253" s="99"/>
      <c r="Y253" s="99"/>
      <c r="Z253" s="99"/>
      <c r="AA253" s="99"/>
      <c r="AB253" s="99"/>
    </row>
    <row r="254">
      <c r="A254" s="26"/>
      <c r="B254" s="26"/>
      <c r="C254" s="26"/>
      <c r="D254" s="26"/>
      <c r="E254" s="126"/>
      <c r="F254" s="26"/>
      <c r="G254" s="128" t="s">
        <v>577</v>
      </c>
      <c r="H254" s="26"/>
      <c r="I254" s="99"/>
      <c r="J254" s="99"/>
      <c r="K254" s="99"/>
      <c r="L254" s="99"/>
      <c r="M254" s="99"/>
      <c r="N254" s="99"/>
      <c r="O254" s="99"/>
      <c r="P254" s="99"/>
      <c r="Q254" s="99"/>
      <c r="R254" s="99"/>
      <c r="S254" s="99"/>
      <c r="T254" s="99"/>
      <c r="U254" s="99"/>
      <c r="V254" s="99"/>
      <c r="W254" s="99"/>
      <c r="X254" s="99"/>
      <c r="Y254" s="99"/>
      <c r="Z254" s="99"/>
      <c r="AA254" s="99"/>
      <c r="AB254" s="99"/>
    </row>
    <row r="255">
      <c r="A255" s="26"/>
      <c r="B255" s="26"/>
      <c r="C255" s="26"/>
      <c r="D255" s="26"/>
      <c r="E255" s="126"/>
      <c r="F255" s="26"/>
      <c r="G255" s="128" t="s">
        <v>578</v>
      </c>
      <c r="H255" s="26"/>
      <c r="I255" s="99"/>
      <c r="J255" s="99"/>
      <c r="K255" s="99"/>
      <c r="L255" s="99"/>
      <c r="M255" s="99"/>
      <c r="N255" s="99"/>
      <c r="O255" s="99"/>
      <c r="P255" s="99"/>
      <c r="Q255" s="99"/>
      <c r="R255" s="99"/>
      <c r="S255" s="99"/>
      <c r="T255" s="99"/>
      <c r="U255" s="99"/>
      <c r="V255" s="99"/>
      <c r="W255" s="99"/>
      <c r="X255" s="99"/>
      <c r="Y255" s="99"/>
      <c r="Z255" s="99"/>
      <c r="AA255" s="99"/>
      <c r="AB255" s="99"/>
    </row>
    <row r="256">
      <c r="A256" s="26"/>
      <c r="B256" s="26"/>
      <c r="C256" s="26"/>
      <c r="D256" s="26"/>
      <c r="E256" s="126"/>
      <c r="F256" s="26"/>
      <c r="G256" s="128" t="s">
        <v>579</v>
      </c>
      <c r="H256" s="26"/>
      <c r="I256" s="99"/>
      <c r="J256" s="99"/>
      <c r="K256" s="99"/>
      <c r="L256" s="99"/>
      <c r="M256" s="99"/>
      <c r="N256" s="99"/>
      <c r="O256" s="99"/>
      <c r="P256" s="99"/>
      <c r="Q256" s="99"/>
      <c r="R256" s="99"/>
      <c r="S256" s="99"/>
      <c r="T256" s="99"/>
      <c r="U256" s="99"/>
      <c r="V256" s="99"/>
      <c r="W256" s="99"/>
      <c r="X256" s="99"/>
      <c r="Y256" s="99"/>
      <c r="Z256" s="99"/>
      <c r="AA256" s="99"/>
      <c r="AB256" s="99"/>
    </row>
    <row r="257">
      <c r="A257" s="26"/>
      <c r="B257" s="26"/>
      <c r="C257" s="26"/>
      <c r="D257" s="26"/>
      <c r="E257" s="126"/>
      <c r="F257" s="26"/>
      <c r="G257" s="128" t="s">
        <v>580</v>
      </c>
      <c r="H257" s="26"/>
      <c r="I257" s="99"/>
      <c r="J257" s="99"/>
      <c r="K257" s="99"/>
      <c r="L257" s="99"/>
      <c r="M257" s="99"/>
      <c r="N257" s="99"/>
      <c r="O257" s="99"/>
      <c r="P257" s="99"/>
      <c r="Q257" s="99"/>
      <c r="R257" s="99"/>
      <c r="S257" s="99"/>
      <c r="T257" s="99"/>
      <c r="U257" s="99"/>
      <c r="V257" s="99"/>
      <c r="W257" s="99"/>
      <c r="X257" s="99"/>
      <c r="Y257" s="99"/>
      <c r="Z257" s="99"/>
      <c r="AA257" s="99"/>
      <c r="AB257" s="99"/>
    </row>
    <row r="258">
      <c r="A258" s="26"/>
      <c r="B258" s="26"/>
      <c r="C258" s="26"/>
      <c r="D258" s="26"/>
      <c r="E258" s="126"/>
      <c r="F258" s="26"/>
      <c r="G258" s="128" t="s">
        <v>581</v>
      </c>
      <c r="H258" s="26"/>
      <c r="I258" s="99"/>
      <c r="J258" s="99"/>
      <c r="K258" s="99"/>
      <c r="L258" s="99"/>
      <c r="M258" s="99"/>
      <c r="N258" s="99"/>
      <c r="O258" s="99"/>
      <c r="P258" s="99"/>
      <c r="Q258" s="99"/>
      <c r="R258" s="99"/>
      <c r="S258" s="99"/>
      <c r="T258" s="99"/>
      <c r="U258" s="99"/>
      <c r="V258" s="99"/>
      <c r="W258" s="99"/>
      <c r="X258" s="99"/>
      <c r="Y258" s="99"/>
      <c r="Z258" s="99"/>
      <c r="AA258" s="99"/>
      <c r="AB258" s="99"/>
    </row>
    <row r="259">
      <c r="A259" s="26"/>
      <c r="B259" s="26"/>
      <c r="C259" s="26"/>
      <c r="D259" s="26"/>
      <c r="E259" s="126"/>
      <c r="F259" s="26"/>
      <c r="G259" s="128" t="s">
        <v>582</v>
      </c>
      <c r="H259" s="26"/>
      <c r="I259" s="99"/>
      <c r="J259" s="99"/>
      <c r="K259" s="99"/>
      <c r="L259" s="99"/>
      <c r="M259" s="99"/>
      <c r="N259" s="99"/>
      <c r="O259" s="99"/>
      <c r="P259" s="99"/>
      <c r="Q259" s="99"/>
      <c r="R259" s="99"/>
      <c r="S259" s="99"/>
      <c r="T259" s="99"/>
      <c r="U259" s="99"/>
      <c r="V259" s="99"/>
      <c r="W259" s="99"/>
      <c r="X259" s="99"/>
      <c r="Y259" s="99"/>
      <c r="Z259" s="99"/>
      <c r="AA259" s="99"/>
      <c r="AB259" s="99"/>
    </row>
    <row r="260">
      <c r="A260" s="26"/>
      <c r="B260" s="26"/>
      <c r="C260" s="26"/>
      <c r="D260" s="26"/>
      <c r="E260" s="126"/>
      <c r="F260" s="26"/>
      <c r="G260" s="128" t="s">
        <v>583</v>
      </c>
      <c r="H260" s="26"/>
      <c r="I260" s="99"/>
      <c r="J260" s="99"/>
      <c r="K260" s="99"/>
      <c r="L260" s="99"/>
      <c r="M260" s="99"/>
      <c r="N260" s="99"/>
      <c r="O260" s="99"/>
      <c r="P260" s="99"/>
      <c r="Q260" s="99"/>
      <c r="R260" s="99"/>
      <c r="S260" s="99"/>
      <c r="T260" s="99"/>
      <c r="U260" s="99"/>
      <c r="V260" s="99"/>
      <c r="W260" s="99"/>
      <c r="X260" s="99"/>
      <c r="Y260" s="99"/>
      <c r="Z260" s="99"/>
      <c r="AA260" s="99"/>
      <c r="AB260" s="99"/>
    </row>
    <row r="261">
      <c r="A261" s="26"/>
      <c r="B261" s="26"/>
      <c r="C261" s="26"/>
      <c r="D261" s="26"/>
      <c r="E261" s="126"/>
      <c r="F261" s="26"/>
      <c r="G261" s="128" t="s">
        <v>584</v>
      </c>
      <c r="H261" s="26"/>
      <c r="I261" s="99"/>
      <c r="J261" s="99"/>
      <c r="K261" s="99"/>
      <c r="L261" s="99"/>
      <c r="M261" s="99"/>
      <c r="N261" s="99"/>
      <c r="O261" s="99"/>
      <c r="P261" s="99"/>
      <c r="Q261" s="99"/>
      <c r="R261" s="99"/>
      <c r="S261" s="99"/>
      <c r="T261" s="99"/>
      <c r="U261" s="99"/>
      <c r="V261" s="99"/>
      <c r="W261" s="99"/>
      <c r="X261" s="99"/>
      <c r="Y261" s="99"/>
      <c r="Z261" s="99"/>
      <c r="AA261" s="99"/>
      <c r="AB261" s="99"/>
    </row>
    <row r="262">
      <c r="A262" s="26"/>
      <c r="B262" s="26"/>
      <c r="C262" s="26"/>
      <c r="D262" s="26"/>
      <c r="E262" s="126"/>
      <c r="F262" s="26"/>
      <c r="G262" s="128" t="s">
        <v>585</v>
      </c>
      <c r="H262" s="26"/>
      <c r="I262" s="99"/>
      <c r="J262" s="99"/>
      <c r="K262" s="99"/>
      <c r="L262" s="99"/>
      <c r="M262" s="99"/>
      <c r="N262" s="99"/>
      <c r="O262" s="99"/>
      <c r="P262" s="99"/>
      <c r="Q262" s="99"/>
      <c r="R262" s="99"/>
      <c r="S262" s="99"/>
      <c r="T262" s="99"/>
      <c r="U262" s="99"/>
      <c r="V262" s="99"/>
      <c r="W262" s="99"/>
      <c r="X262" s="99"/>
      <c r="Y262" s="99"/>
      <c r="Z262" s="99"/>
      <c r="AA262" s="99"/>
      <c r="AB262" s="99"/>
    </row>
    <row r="263">
      <c r="A263" s="26"/>
      <c r="B263" s="26"/>
      <c r="C263" s="26"/>
      <c r="D263" s="26"/>
      <c r="E263" s="126"/>
      <c r="F263" s="26"/>
      <c r="G263" s="128" t="s">
        <v>586</v>
      </c>
      <c r="H263" s="26"/>
      <c r="I263" s="99"/>
      <c r="J263" s="99"/>
      <c r="K263" s="99"/>
      <c r="L263" s="99"/>
      <c r="M263" s="99"/>
      <c r="N263" s="99"/>
      <c r="O263" s="99"/>
      <c r="P263" s="99"/>
      <c r="Q263" s="99"/>
      <c r="R263" s="99"/>
      <c r="S263" s="99"/>
      <c r="T263" s="99"/>
      <c r="U263" s="99"/>
      <c r="V263" s="99"/>
      <c r="W263" s="99"/>
      <c r="X263" s="99"/>
      <c r="Y263" s="99"/>
      <c r="Z263" s="99"/>
      <c r="AA263" s="99"/>
      <c r="AB263" s="99"/>
    </row>
    <row r="264">
      <c r="A264" s="26"/>
      <c r="B264" s="26"/>
      <c r="C264" s="26"/>
      <c r="D264" s="26"/>
      <c r="E264" s="126"/>
      <c r="F264" s="26"/>
      <c r="G264" s="128" t="s">
        <v>587</v>
      </c>
      <c r="H264" s="26"/>
      <c r="I264" s="99"/>
      <c r="J264" s="99"/>
      <c r="K264" s="99"/>
      <c r="L264" s="99"/>
      <c r="M264" s="99"/>
      <c r="N264" s="99"/>
      <c r="O264" s="99"/>
      <c r="P264" s="99"/>
      <c r="Q264" s="99"/>
      <c r="R264" s="99"/>
      <c r="S264" s="99"/>
      <c r="T264" s="99"/>
      <c r="U264" s="99"/>
      <c r="V264" s="99"/>
      <c r="W264" s="99"/>
      <c r="X264" s="99"/>
      <c r="Y264" s="99"/>
      <c r="Z264" s="99"/>
      <c r="AA264" s="99"/>
      <c r="AB264" s="99"/>
    </row>
    <row r="265">
      <c r="A265" s="26"/>
      <c r="B265" s="26"/>
      <c r="C265" s="26"/>
      <c r="D265" s="26"/>
      <c r="E265" s="126"/>
      <c r="F265" s="26"/>
      <c r="G265" s="128" t="s">
        <v>588</v>
      </c>
      <c r="H265" s="26"/>
      <c r="I265" s="99"/>
      <c r="J265" s="99"/>
      <c r="K265" s="99"/>
      <c r="L265" s="99"/>
      <c r="M265" s="99"/>
      <c r="N265" s="99"/>
      <c r="O265" s="99"/>
      <c r="P265" s="99"/>
      <c r="Q265" s="99"/>
      <c r="R265" s="99"/>
      <c r="S265" s="99"/>
      <c r="T265" s="99"/>
      <c r="U265" s="99"/>
      <c r="V265" s="99"/>
      <c r="W265" s="99"/>
      <c r="X265" s="99"/>
      <c r="Y265" s="99"/>
      <c r="Z265" s="99"/>
      <c r="AA265" s="99"/>
      <c r="AB265" s="99"/>
    </row>
    <row r="266">
      <c r="A266" s="26"/>
      <c r="B266" s="26"/>
      <c r="C266" s="26"/>
      <c r="D266" s="26"/>
      <c r="E266" s="126"/>
      <c r="F266" s="26"/>
      <c r="G266" s="128" t="s">
        <v>589</v>
      </c>
      <c r="H266" s="26"/>
      <c r="I266" s="99"/>
      <c r="J266" s="99"/>
      <c r="K266" s="99"/>
      <c r="L266" s="99"/>
      <c r="M266" s="99"/>
      <c r="N266" s="99"/>
      <c r="O266" s="99"/>
      <c r="P266" s="99"/>
      <c r="Q266" s="99"/>
      <c r="R266" s="99"/>
      <c r="S266" s="99"/>
      <c r="T266" s="99"/>
      <c r="U266" s="99"/>
      <c r="V266" s="99"/>
      <c r="W266" s="99"/>
      <c r="X266" s="99"/>
      <c r="Y266" s="99"/>
      <c r="Z266" s="99"/>
      <c r="AA266" s="99"/>
      <c r="AB266" s="99"/>
    </row>
    <row r="267">
      <c r="A267" s="26"/>
      <c r="B267" s="26"/>
      <c r="C267" s="26"/>
      <c r="D267" s="26"/>
      <c r="E267" s="126"/>
      <c r="F267" s="26"/>
      <c r="G267" s="128" t="s">
        <v>590</v>
      </c>
      <c r="H267" s="26"/>
      <c r="I267" s="99"/>
      <c r="J267" s="99"/>
      <c r="K267" s="99"/>
      <c r="L267" s="99"/>
      <c r="M267" s="99"/>
      <c r="N267" s="99"/>
      <c r="O267" s="99"/>
      <c r="P267" s="99"/>
      <c r="Q267" s="99"/>
      <c r="R267" s="99"/>
      <c r="S267" s="99"/>
      <c r="T267" s="99"/>
      <c r="U267" s="99"/>
      <c r="V267" s="99"/>
      <c r="W267" s="99"/>
      <c r="X267" s="99"/>
      <c r="Y267" s="99"/>
      <c r="Z267" s="99"/>
      <c r="AA267" s="99"/>
      <c r="AB267" s="99"/>
    </row>
    <row r="268">
      <c r="A268" s="26"/>
      <c r="B268" s="26"/>
      <c r="C268" s="26"/>
      <c r="D268" s="26"/>
      <c r="E268" s="126"/>
      <c r="F268" s="26"/>
      <c r="G268" s="128" t="s">
        <v>591</v>
      </c>
      <c r="H268" s="26"/>
      <c r="I268" s="99"/>
      <c r="J268" s="99"/>
      <c r="K268" s="99"/>
      <c r="L268" s="99"/>
      <c r="M268" s="99"/>
      <c r="N268" s="99"/>
      <c r="O268" s="99"/>
      <c r="P268" s="99"/>
      <c r="Q268" s="99"/>
      <c r="R268" s="99"/>
      <c r="S268" s="99"/>
      <c r="T268" s="99"/>
      <c r="U268" s="99"/>
      <c r="V268" s="99"/>
      <c r="W268" s="99"/>
      <c r="X268" s="99"/>
      <c r="Y268" s="99"/>
      <c r="Z268" s="99"/>
      <c r="AA268" s="99"/>
      <c r="AB268" s="99"/>
    </row>
    <row r="269">
      <c r="A269" s="26"/>
      <c r="B269" s="26"/>
      <c r="C269" s="26"/>
      <c r="D269" s="26"/>
      <c r="E269" s="126"/>
      <c r="F269" s="26"/>
      <c r="G269" s="128" t="s">
        <v>592</v>
      </c>
      <c r="H269" s="26"/>
      <c r="I269" s="99"/>
      <c r="J269" s="99"/>
      <c r="K269" s="99"/>
      <c r="L269" s="99"/>
      <c r="M269" s="99"/>
      <c r="N269" s="99"/>
      <c r="O269" s="99"/>
      <c r="P269" s="99"/>
      <c r="Q269" s="99"/>
      <c r="R269" s="99"/>
      <c r="S269" s="99"/>
      <c r="T269" s="99"/>
      <c r="U269" s="99"/>
      <c r="V269" s="99"/>
      <c r="W269" s="99"/>
      <c r="X269" s="99"/>
      <c r="Y269" s="99"/>
      <c r="Z269" s="99"/>
      <c r="AA269" s="99"/>
      <c r="AB269" s="99"/>
    </row>
    <row r="270">
      <c r="A270" s="26"/>
      <c r="B270" s="26"/>
      <c r="C270" s="26"/>
      <c r="D270" s="26"/>
      <c r="E270" s="126"/>
      <c r="F270" s="26"/>
      <c r="G270" s="128" t="s">
        <v>593</v>
      </c>
      <c r="H270" s="26"/>
      <c r="I270" s="99"/>
      <c r="J270" s="99"/>
      <c r="K270" s="99"/>
      <c r="L270" s="99"/>
      <c r="M270" s="99"/>
      <c r="N270" s="99"/>
      <c r="O270" s="99"/>
      <c r="P270" s="99"/>
      <c r="Q270" s="99"/>
      <c r="R270" s="99"/>
      <c r="S270" s="99"/>
      <c r="T270" s="99"/>
      <c r="U270" s="99"/>
      <c r="V270" s="99"/>
      <c r="W270" s="99"/>
      <c r="X270" s="99"/>
      <c r="Y270" s="99"/>
      <c r="Z270" s="99"/>
      <c r="AA270" s="99"/>
      <c r="AB270" s="99"/>
    </row>
    <row r="271">
      <c r="A271" s="26"/>
      <c r="B271" s="26"/>
      <c r="C271" s="26"/>
      <c r="D271" s="26"/>
      <c r="E271" s="126"/>
      <c r="F271" s="26"/>
      <c r="G271" s="128" t="s">
        <v>594</v>
      </c>
      <c r="H271" s="26"/>
      <c r="I271" s="99"/>
      <c r="J271" s="99"/>
      <c r="K271" s="99"/>
      <c r="L271" s="99"/>
      <c r="M271" s="99"/>
      <c r="N271" s="99"/>
      <c r="O271" s="99"/>
      <c r="P271" s="99"/>
      <c r="Q271" s="99"/>
      <c r="R271" s="99"/>
      <c r="S271" s="99"/>
      <c r="T271" s="99"/>
      <c r="U271" s="99"/>
      <c r="V271" s="99"/>
      <c r="W271" s="99"/>
      <c r="X271" s="99"/>
      <c r="Y271" s="99"/>
      <c r="Z271" s="99"/>
      <c r="AA271" s="99"/>
      <c r="AB271" s="99"/>
    </row>
    <row r="272">
      <c r="A272" s="26"/>
      <c r="B272" s="26"/>
      <c r="C272" s="26"/>
      <c r="D272" s="27"/>
      <c r="E272" s="126"/>
      <c r="F272" s="27"/>
      <c r="G272" s="128" t="s">
        <v>595</v>
      </c>
      <c r="H272" s="27"/>
      <c r="I272" s="99"/>
      <c r="J272" s="99"/>
      <c r="K272" s="99"/>
      <c r="L272" s="99"/>
      <c r="M272" s="99"/>
      <c r="N272" s="99"/>
      <c r="O272" s="99"/>
      <c r="P272" s="99"/>
      <c r="Q272" s="99"/>
      <c r="R272" s="99"/>
      <c r="S272" s="99"/>
      <c r="T272" s="99"/>
      <c r="U272" s="99"/>
      <c r="V272" s="99"/>
      <c r="W272" s="99"/>
      <c r="X272" s="99"/>
      <c r="Y272" s="99"/>
      <c r="Z272" s="99"/>
      <c r="AA272" s="99"/>
      <c r="AB272" s="99"/>
    </row>
    <row r="273">
      <c r="A273" s="26"/>
      <c r="B273" s="26"/>
      <c r="C273" s="26"/>
      <c r="D273" s="123" t="s">
        <v>596</v>
      </c>
      <c r="E273" s="130" t="s">
        <v>596</v>
      </c>
      <c r="F273" s="123" t="s">
        <v>597</v>
      </c>
      <c r="G273" s="128" t="s">
        <v>598</v>
      </c>
      <c r="H273" s="123" t="s">
        <v>599</v>
      </c>
      <c r="I273" s="99"/>
      <c r="J273" s="99"/>
      <c r="K273" s="99"/>
      <c r="L273" s="99"/>
      <c r="M273" s="99"/>
      <c r="N273" s="99"/>
      <c r="O273" s="99"/>
      <c r="P273" s="99"/>
      <c r="Q273" s="99"/>
      <c r="R273" s="99"/>
      <c r="S273" s="99"/>
      <c r="T273" s="99"/>
      <c r="U273" s="99"/>
      <c r="V273" s="99"/>
      <c r="W273" s="99"/>
      <c r="X273" s="99"/>
      <c r="Y273" s="99"/>
      <c r="Z273" s="99"/>
      <c r="AA273" s="99"/>
      <c r="AB273" s="99"/>
    </row>
    <row r="274">
      <c r="A274" s="26"/>
      <c r="B274" s="26"/>
      <c r="C274" s="26"/>
      <c r="D274" s="26"/>
      <c r="E274" s="124" t="s">
        <v>600</v>
      </c>
      <c r="F274" s="26"/>
      <c r="G274" s="128" t="s">
        <v>601</v>
      </c>
      <c r="H274" s="26"/>
      <c r="I274" s="99"/>
      <c r="J274" s="99"/>
      <c r="K274" s="99"/>
      <c r="L274" s="99"/>
      <c r="M274" s="99"/>
      <c r="N274" s="99"/>
      <c r="O274" s="99"/>
      <c r="P274" s="99"/>
      <c r="Q274" s="99"/>
      <c r="R274" s="99"/>
      <c r="S274" s="99"/>
      <c r="T274" s="99"/>
      <c r="U274" s="99"/>
      <c r="V274" s="99"/>
      <c r="W274" s="99"/>
      <c r="X274" s="99"/>
      <c r="Y274" s="99"/>
      <c r="Z274" s="99"/>
      <c r="AA274" s="99"/>
      <c r="AB274" s="99"/>
    </row>
    <row r="275">
      <c r="A275" s="26"/>
      <c r="B275" s="26"/>
      <c r="C275" s="26"/>
      <c r="D275" s="26"/>
      <c r="E275" s="124" t="s">
        <v>602</v>
      </c>
      <c r="F275" s="26"/>
      <c r="G275" s="128" t="s">
        <v>603</v>
      </c>
      <c r="H275" s="26"/>
      <c r="I275" s="99"/>
      <c r="J275" s="99"/>
      <c r="K275" s="99"/>
      <c r="L275" s="99"/>
      <c r="M275" s="99"/>
      <c r="N275" s="99"/>
      <c r="O275" s="99"/>
      <c r="P275" s="99"/>
      <c r="Q275" s="99"/>
      <c r="R275" s="99"/>
      <c r="S275" s="99"/>
      <c r="T275" s="99"/>
      <c r="U275" s="99"/>
      <c r="V275" s="99"/>
      <c r="W275" s="99"/>
      <c r="X275" s="99"/>
      <c r="Y275" s="99"/>
      <c r="Z275" s="99"/>
      <c r="AA275" s="99"/>
      <c r="AB275" s="99"/>
    </row>
    <row r="276">
      <c r="A276" s="26"/>
      <c r="B276" s="26"/>
      <c r="C276" s="26"/>
      <c r="D276" s="26"/>
      <c r="E276" s="124" t="s">
        <v>604</v>
      </c>
      <c r="F276" s="26"/>
      <c r="G276" s="128" t="s">
        <v>605</v>
      </c>
      <c r="H276" s="26"/>
      <c r="I276" s="99"/>
      <c r="J276" s="99"/>
      <c r="K276" s="99"/>
      <c r="L276" s="99"/>
      <c r="M276" s="99"/>
      <c r="N276" s="99"/>
      <c r="O276" s="99"/>
      <c r="P276" s="99"/>
      <c r="Q276" s="99"/>
      <c r="R276" s="99"/>
      <c r="S276" s="99"/>
      <c r="T276" s="99"/>
      <c r="U276" s="99"/>
      <c r="V276" s="99"/>
      <c r="W276" s="99"/>
      <c r="X276" s="99"/>
      <c r="Y276" s="99"/>
      <c r="Z276" s="99"/>
      <c r="AA276" s="99"/>
      <c r="AB276" s="99"/>
    </row>
    <row r="277">
      <c r="A277" s="26"/>
      <c r="B277" s="26"/>
      <c r="C277" s="26"/>
      <c r="D277" s="26"/>
      <c r="E277" s="124" t="s">
        <v>606</v>
      </c>
      <c r="F277" s="26"/>
      <c r="G277" s="128" t="s">
        <v>607</v>
      </c>
      <c r="H277" s="26"/>
      <c r="I277" s="99"/>
      <c r="J277" s="99"/>
      <c r="K277" s="99"/>
      <c r="L277" s="99"/>
      <c r="M277" s="99"/>
      <c r="N277" s="99"/>
      <c r="O277" s="99"/>
      <c r="P277" s="99"/>
      <c r="Q277" s="99"/>
      <c r="R277" s="99"/>
      <c r="S277" s="99"/>
      <c r="T277" s="99"/>
      <c r="U277" s="99"/>
      <c r="V277" s="99"/>
      <c r="W277" s="99"/>
      <c r="X277" s="99"/>
      <c r="Y277" s="99"/>
      <c r="Z277" s="99"/>
      <c r="AA277" s="99"/>
      <c r="AB277" s="99"/>
    </row>
    <row r="278">
      <c r="A278" s="26"/>
      <c r="B278" s="26"/>
      <c r="C278" s="26"/>
      <c r="D278" s="26"/>
      <c r="E278" s="126"/>
      <c r="F278" s="26"/>
      <c r="G278" s="128" t="s">
        <v>608</v>
      </c>
      <c r="H278" s="26"/>
      <c r="I278" s="99"/>
      <c r="J278" s="99"/>
      <c r="K278" s="99"/>
      <c r="L278" s="99"/>
      <c r="M278" s="99"/>
      <c r="N278" s="99"/>
      <c r="O278" s="99"/>
      <c r="P278" s="99"/>
      <c r="Q278" s="99"/>
      <c r="R278" s="99"/>
      <c r="S278" s="99"/>
      <c r="T278" s="99"/>
      <c r="U278" s="99"/>
      <c r="V278" s="99"/>
      <c r="W278" s="99"/>
      <c r="X278" s="99"/>
      <c r="Y278" s="99"/>
      <c r="Z278" s="99"/>
      <c r="AA278" s="99"/>
      <c r="AB278" s="99"/>
    </row>
    <row r="279">
      <c r="A279" s="26"/>
      <c r="B279" s="26"/>
      <c r="C279" s="26"/>
      <c r="D279" s="26"/>
      <c r="E279" s="126"/>
      <c r="F279" s="26"/>
      <c r="G279" s="128" t="s">
        <v>609</v>
      </c>
      <c r="H279" s="26"/>
      <c r="I279" s="99"/>
      <c r="J279" s="99"/>
      <c r="K279" s="99"/>
      <c r="L279" s="99"/>
      <c r="M279" s="99"/>
      <c r="N279" s="99"/>
      <c r="O279" s="99"/>
      <c r="P279" s="99"/>
      <c r="Q279" s="99"/>
      <c r="R279" s="99"/>
      <c r="S279" s="99"/>
      <c r="T279" s="99"/>
      <c r="U279" s="99"/>
      <c r="V279" s="99"/>
      <c r="W279" s="99"/>
      <c r="X279" s="99"/>
      <c r="Y279" s="99"/>
      <c r="Z279" s="99"/>
      <c r="AA279" s="99"/>
      <c r="AB279" s="99"/>
    </row>
    <row r="280">
      <c r="A280" s="26"/>
      <c r="B280" s="26"/>
      <c r="C280" s="26"/>
      <c r="D280" s="26"/>
      <c r="E280" s="126"/>
      <c r="F280" s="26"/>
      <c r="G280" s="128" t="s">
        <v>610</v>
      </c>
      <c r="H280" s="26"/>
      <c r="I280" s="99"/>
      <c r="J280" s="99"/>
      <c r="K280" s="99"/>
      <c r="L280" s="99"/>
      <c r="M280" s="99"/>
      <c r="N280" s="99"/>
      <c r="O280" s="99"/>
      <c r="P280" s="99"/>
      <c r="Q280" s="99"/>
      <c r="R280" s="99"/>
      <c r="S280" s="99"/>
      <c r="T280" s="99"/>
      <c r="U280" s="99"/>
      <c r="V280" s="99"/>
      <c r="W280" s="99"/>
      <c r="X280" s="99"/>
      <c r="Y280" s="99"/>
      <c r="Z280" s="99"/>
      <c r="AA280" s="99"/>
      <c r="AB280" s="99"/>
    </row>
    <row r="281">
      <c r="A281" s="26"/>
      <c r="B281" s="26"/>
      <c r="C281" s="26"/>
      <c r="D281" s="26"/>
      <c r="E281" s="126"/>
      <c r="F281" s="26"/>
      <c r="G281" s="128" t="s">
        <v>606</v>
      </c>
      <c r="H281" s="26"/>
      <c r="I281" s="99"/>
      <c r="J281" s="99"/>
      <c r="K281" s="99"/>
      <c r="L281" s="99"/>
      <c r="M281" s="99"/>
      <c r="N281" s="99"/>
      <c r="O281" s="99"/>
      <c r="P281" s="99"/>
      <c r="Q281" s="99"/>
      <c r="R281" s="99"/>
      <c r="S281" s="99"/>
      <c r="T281" s="99"/>
      <c r="U281" s="99"/>
      <c r="V281" s="99"/>
      <c r="W281" s="99"/>
      <c r="X281" s="99"/>
      <c r="Y281" s="99"/>
      <c r="Z281" s="99"/>
      <c r="AA281" s="99"/>
      <c r="AB281" s="99"/>
    </row>
    <row r="282">
      <c r="A282" s="26"/>
      <c r="B282" s="26"/>
      <c r="C282" s="26"/>
      <c r="D282" s="26"/>
      <c r="E282" s="126"/>
      <c r="F282" s="26"/>
      <c r="G282" s="128" t="s">
        <v>611</v>
      </c>
      <c r="H282" s="26"/>
      <c r="I282" s="99"/>
      <c r="J282" s="99"/>
      <c r="K282" s="99"/>
      <c r="L282" s="99"/>
      <c r="M282" s="99"/>
      <c r="N282" s="99"/>
      <c r="O282" s="99"/>
      <c r="P282" s="99"/>
      <c r="Q282" s="99"/>
      <c r="R282" s="99"/>
      <c r="S282" s="99"/>
      <c r="T282" s="99"/>
      <c r="U282" s="99"/>
      <c r="V282" s="99"/>
      <c r="W282" s="99"/>
      <c r="X282" s="99"/>
      <c r="Y282" s="99"/>
      <c r="Z282" s="99"/>
      <c r="AA282" s="99"/>
      <c r="AB282" s="99"/>
    </row>
    <row r="283">
      <c r="A283" s="26"/>
      <c r="B283" s="26"/>
      <c r="C283" s="26"/>
      <c r="D283" s="26"/>
      <c r="E283" s="126"/>
      <c r="F283" s="26"/>
      <c r="G283" s="128" t="s">
        <v>612</v>
      </c>
      <c r="H283" s="26"/>
      <c r="I283" s="99"/>
      <c r="J283" s="99"/>
      <c r="K283" s="99"/>
      <c r="L283" s="99"/>
      <c r="M283" s="99"/>
      <c r="N283" s="99"/>
      <c r="O283" s="99"/>
      <c r="P283" s="99"/>
      <c r="Q283" s="99"/>
      <c r="R283" s="99"/>
      <c r="S283" s="99"/>
      <c r="T283" s="99"/>
      <c r="U283" s="99"/>
      <c r="V283" s="99"/>
      <c r="W283" s="99"/>
      <c r="X283" s="99"/>
      <c r="Y283" s="99"/>
      <c r="Z283" s="99"/>
      <c r="AA283" s="99"/>
      <c r="AB283" s="99"/>
    </row>
    <row r="284">
      <c r="A284" s="27"/>
      <c r="B284" s="27"/>
      <c r="C284" s="27"/>
      <c r="D284" s="27"/>
      <c r="E284" s="126"/>
      <c r="F284" s="27"/>
      <c r="G284" s="128" t="s">
        <v>613</v>
      </c>
      <c r="H284" s="27"/>
      <c r="I284" s="99"/>
      <c r="J284" s="99"/>
      <c r="K284" s="99"/>
      <c r="L284" s="99"/>
      <c r="M284" s="99"/>
      <c r="N284" s="99"/>
      <c r="O284" s="99"/>
      <c r="P284" s="99"/>
      <c r="Q284" s="99"/>
      <c r="R284" s="99"/>
      <c r="S284" s="99"/>
      <c r="T284" s="99"/>
      <c r="U284" s="99"/>
      <c r="V284" s="99"/>
      <c r="W284" s="99"/>
      <c r="X284" s="99"/>
      <c r="Y284" s="99"/>
      <c r="Z284" s="99"/>
      <c r="AA284" s="99"/>
      <c r="AB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c r="AA285" s="99"/>
      <c r="AB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c r="AA286" s="99"/>
      <c r="AB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c r="AA287" s="99"/>
      <c r="AB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c r="AA288" s="99"/>
      <c r="AB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c r="AA289" s="99"/>
      <c r="AB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c r="AA290" s="99"/>
      <c r="AB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c r="AA291" s="99"/>
      <c r="AB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c r="AA292" s="99"/>
      <c r="AB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c r="AA293" s="99"/>
      <c r="AB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c r="AA294" s="99"/>
      <c r="AB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c r="AA295" s="99"/>
      <c r="AB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c r="AA296" s="99"/>
      <c r="AB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c r="AA297" s="99"/>
      <c r="AB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c r="AA298" s="99"/>
      <c r="AB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c r="AA299" s="99"/>
      <c r="AB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c r="AA300" s="99"/>
      <c r="AB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c r="AA301" s="99"/>
      <c r="AB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c r="AA302" s="99"/>
      <c r="AB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c r="AA303" s="99"/>
      <c r="AB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c r="AA304" s="99"/>
      <c r="AB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c r="AA305" s="99"/>
      <c r="AB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c r="AA306" s="99"/>
      <c r="AB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c r="AA307" s="99"/>
      <c r="AB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c r="AA308" s="99"/>
      <c r="AB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c r="AA309" s="99"/>
      <c r="AB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c r="AA310" s="99"/>
      <c r="AB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c r="AA311" s="99"/>
      <c r="AB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c r="AA312" s="99"/>
      <c r="AB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c r="AA313" s="99"/>
      <c r="AB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c r="AA314" s="99"/>
      <c r="AB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c r="AA315" s="99"/>
      <c r="AB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c r="AA316" s="99"/>
      <c r="AB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c r="AA317" s="99"/>
      <c r="AB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c r="AA318" s="99"/>
      <c r="AB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c r="AA319" s="99"/>
      <c r="AB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c r="AA320" s="99"/>
      <c r="AB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c r="AA321" s="99"/>
      <c r="AB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c r="AA322" s="99"/>
      <c r="AB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c r="AA323" s="99"/>
      <c r="AB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c r="AA324" s="99"/>
      <c r="AB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c r="AA325" s="99"/>
      <c r="AB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c r="AA326" s="99"/>
      <c r="AB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c r="AA327" s="99"/>
      <c r="AB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c r="AA328" s="99"/>
      <c r="AB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c r="AA329" s="99"/>
      <c r="AB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c r="AA330" s="99"/>
      <c r="AB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c r="AA331" s="99"/>
      <c r="AB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c r="AA332" s="99"/>
      <c r="AB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c r="AA333" s="99"/>
      <c r="AB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c r="AA334" s="99"/>
      <c r="AB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c r="AA335" s="99"/>
      <c r="AB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c r="AA336" s="99"/>
      <c r="AB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c r="AA337" s="99"/>
      <c r="AB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c r="AA338" s="99"/>
      <c r="AB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c r="AA339" s="99"/>
      <c r="AB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c r="AA340" s="99"/>
      <c r="AB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c r="AA341" s="99"/>
      <c r="AB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c r="AA342" s="99"/>
      <c r="AB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c r="AA343" s="99"/>
      <c r="AB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c r="AA344" s="99"/>
      <c r="AB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c r="AA345" s="99"/>
      <c r="AB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c r="AA346" s="99"/>
      <c r="AB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c r="AA347" s="99"/>
      <c r="AB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c r="AA348" s="99"/>
      <c r="AB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c r="AA349" s="99"/>
      <c r="AB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c r="AA350" s="99"/>
      <c r="AB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c r="AA351" s="99"/>
      <c r="AB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c r="AA352" s="99"/>
      <c r="AB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c r="AA353" s="99"/>
      <c r="AB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c r="AA354" s="99"/>
      <c r="AB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c r="AA355" s="99"/>
      <c r="AB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c r="AA356" s="99"/>
      <c r="AB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c r="AA357" s="99"/>
      <c r="AB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c r="AA358" s="99"/>
      <c r="AB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c r="AA359" s="99"/>
      <c r="AB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c r="AA360" s="99"/>
      <c r="AB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c r="AA361" s="99"/>
      <c r="AB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c r="AA362" s="99"/>
      <c r="AB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c r="AA363" s="99"/>
      <c r="AB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c r="AA364" s="99"/>
      <c r="AB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c r="AA365" s="99"/>
      <c r="AB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c r="AA366" s="99"/>
      <c r="AB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c r="AA367" s="99"/>
      <c r="AB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c r="AA368" s="99"/>
      <c r="AB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c r="AA369" s="99"/>
      <c r="AB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c r="AA370" s="99"/>
      <c r="AB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c r="AA371" s="99"/>
      <c r="AB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c r="AA372" s="99"/>
      <c r="AB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c r="AA373" s="99"/>
      <c r="AB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c r="AA374" s="99"/>
      <c r="AB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99"/>
      <c r="AB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c r="AA376" s="99"/>
      <c r="AB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c r="AA377" s="99"/>
      <c r="AB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c r="AA378" s="99"/>
      <c r="AB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c r="AA379" s="99"/>
      <c r="AB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c r="AA380" s="99"/>
      <c r="AB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c r="AA381" s="99"/>
      <c r="AB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c r="AA382" s="99"/>
      <c r="AB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c r="AA383" s="99"/>
      <c r="AB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c r="AA384" s="99"/>
      <c r="AB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c r="AA385" s="99"/>
      <c r="AB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c r="AA386" s="99"/>
      <c r="AB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c r="AA387" s="99"/>
      <c r="AB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c r="AA388" s="99"/>
      <c r="AB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c r="AA389" s="99"/>
      <c r="AB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c r="AA390" s="99"/>
      <c r="AB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c r="AA391" s="99"/>
      <c r="AB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c r="AA392" s="99"/>
      <c r="AB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c r="AA393" s="99"/>
      <c r="AB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c r="AA394" s="99"/>
      <c r="AB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c r="AA395" s="99"/>
      <c r="AB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c r="AA396" s="99"/>
      <c r="AB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c r="AA397" s="99"/>
      <c r="AB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c r="AA398" s="99"/>
      <c r="AB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c r="AA399" s="99"/>
      <c r="AB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c r="AA400" s="99"/>
      <c r="AB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c r="AA401" s="99"/>
      <c r="AB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c r="AA402" s="99"/>
      <c r="AB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c r="AA403" s="99"/>
      <c r="AB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c r="AA404" s="99"/>
      <c r="AB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c r="AA405" s="99"/>
      <c r="AB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c r="AA406" s="99"/>
      <c r="AB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c r="AA407" s="99"/>
      <c r="AB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c r="AA408" s="99"/>
      <c r="AB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c r="AA409" s="99"/>
      <c r="AB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c r="AA410" s="99"/>
      <c r="AB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c r="AA411" s="99"/>
      <c r="AB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c r="AA412" s="99"/>
      <c r="AB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c r="AA413" s="99"/>
      <c r="AB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c r="AA414" s="99"/>
      <c r="AB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c r="AA415" s="99"/>
      <c r="AB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c r="AA416" s="99"/>
      <c r="AB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c r="AA417" s="99"/>
      <c r="AB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c r="AA418" s="99"/>
      <c r="AB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c r="AA419" s="99"/>
      <c r="AB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c r="AA420" s="99"/>
      <c r="AB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c r="AA421" s="99"/>
      <c r="AB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c r="AA422" s="99"/>
      <c r="AB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c r="AA423" s="99"/>
      <c r="AB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c r="AA424" s="99"/>
      <c r="AB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c r="AA425" s="99"/>
      <c r="AB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c r="AA426" s="99"/>
      <c r="AB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c r="AA427" s="99"/>
      <c r="AB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c r="AA428" s="99"/>
      <c r="AB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c r="AA429" s="99"/>
      <c r="AB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c r="AA430" s="99"/>
      <c r="AB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c r="AA431" s="99"/>
      <c r="AB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c r="AA432" s="99"/>
      <c r="AB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c r="AA433" s="99"/>
      <c r="AB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c r="AA434" s="99"/>
      <c r="AB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c r="AA435" s="99"/>
      <c r="AB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c r="AA436" s="99"/>
      <c r="AB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c r="AA437" s="99"/>
      <c r="AB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c r="AA438" s="99"/>
      <c r="AB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c r="AA439" s="99"/>
      <c r="AB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c r="AA440" s="99"/>
      <c r="AB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c r="AA441" s="99"/>
      <c r="AB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c r="AA442" s="99"/>
      <c r="AB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c r="AA443" s="99"/>
      <c r="AB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c r="AA444" s="99"/>
      <c r="AB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c r="AA445" s="99"/>
      <c r="AB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c r="AA446" s="99"/>
      <c r="AB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c r="AA447" s="99"/>
      <c r="AB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c r="AA448" s="99"/>
      <c r="AB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c r="AA449" s="99"/>
      <c r="AB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c r="AA450" s="99"/>
      <c r="AB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c r="AA451" s="99"/>
      <c r="AB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c r="AA452" s="99"/>
      <c r="AB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c r="AA453" s="99"/>
      <c r="AB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c r="AA454" s="99"/>
      <c r="AB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c r="AA455" s="99"/>
      <c r="AB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c r="AA456" s="99"/>
      <c r="AB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c r="AA457" s="99"/>
      <c r="AB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c r="AA458" s="99"/>
      <c r="AB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c r="AA459" s="99"/>
      <c r="AB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c r="AA460" s="99"/>
      <c r="AB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c r="AA461" s="99"/>
      <c r="AB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c r="AA462" s="99"/>
      <c r="AB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c r="AA463" s="99"/>
      <c r="AB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c r="AA464" s="99"/>
      <c r="AB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c r="AA465" s="99"/>
      <c r="AB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c r="AA466" s="99"/>
      <c r="AB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c r="AA467" s="99"/>
      <c r="AB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c r="AA468" s="99"/>
      <c r="AB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c r="AA469" s="99"/>
      <c r="AB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c r="AA470" s="99"/>
      <c r="AB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c r="AA471" s="99"/>
      <c r="AB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c r="AA472" s="99"/>
      <c r="AB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c r="AA473" s="99"/>
      <c r="AB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c r="AA474" s="99"/>
      <c r="AB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c r="AA475" s="99"/>
      <c r="AB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c r="AA476" s="99"/>
      <c r="AB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c r="AA477" s="99"/>
      <c r="AB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c r="AA478" s="99"/>
      <c r="AB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c r="AA479" s="99"/>
      <c r="AB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c r="AA480" s="99"/>
      <c r="AB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c r="AA481" s="99"/>
      <c r="AB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c r="AA482" s="99"/>
      <c r="AB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c r="AA483" s="99"/>
      <c r="AB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c r="AA484" s="99"/>
      <c r="AB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c r="AA485" s="99"/>
      <c r="AB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c r="AA486" s="99"/>
      <c r="AB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c r="AA487" s="99"/>
      <c r="AB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c r="AA488" s="99"/>
      <c r="AB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c r="AA489" s="99"/>
      <c r="AB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c r="AA490" s="99"/>
      <c r="AB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c r="AA491" s="99"/>
      <c r="AB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c r="AA492" s="99"/>
      <c r="AB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c r="AA493" s="99"/>
      <c r="AB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c r="AA494" s="99"/>
      <c r="AB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c r="AA495" s="99"/>
      <c r="AB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c r="AA496" s="99"/>
      <c r="AB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c r="AA497" s="99"/>
      <c r="AB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c r="AA498" s="99"/>
      <c r="AB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c r="AA499" s="99"/>
      <c r="AB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c r="AA500" s="99"/>
      <c r="AB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c r="AA501" s="99"/>
      <c r="AB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c r="AA502" s="99"/>
      <c r="AB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c r="AA503" s="99"/>
      <c r="AB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c r="AA504" s="99"/>
      <c r="AB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c r="AA505" s="99"/>
      <c r="AB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c r="AA506" s="99"/>
      <c r="AB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c r="AA507" s="99"/>
      <c r="AB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c r="AA508" s="99"/>
      <c r="AB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c r="AA509" s="99"/>
      <c r="AB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c r="AA510" s="99"/>
      <c r="AB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c r="AA511" s="99"/>
      <c r="AB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c r="AA512" s="99"/>
      <c r="AB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c r="AA513" s="99"/>
      <c r="AB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c r="AA514" s="99"/>
      <c r="AB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c r="AA515" s="99"/>
      <c r="AB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c r="AA516" s="99"/>
      <c r="AB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c r="AA517" s="99"/>
      <c r="AB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c r="AA518" s="99"/>
      <c r="AB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c r="AA519" s="99"/>
      <c r="AB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c r="AA520" s="99"/>
      <c r="AB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c r="AA521" s="99"/>
      <c r="AB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c r="AA522" s="99"/>
      <c r="AB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c r="AA523" s="99"/>
      <c r="AB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c r="AA524" s="99"/>
      <c r="AB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c r="AA525" s="99"/>
      <c r="AB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c r="AA526" s="99"/>
      <c r="AB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c r="AA527" s="99"/>
      <c r="AB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c r="AA528" s="99"/>
      <c r="AB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c r="AA529" s="99"/>
      <c r="AB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c r="AA530" s="99"/>
      <c r="AB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c r="AA531" s="99"/>
      <c r="AB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c r="AA532" s="99"/>
      <c r="AB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c r="AA533" s="99"/>
      <c r="AB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c r="AA534" s="99"/>
      <c r="AB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c r="AA535" s="99"/>
      <c r="AB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c r="AA536" s="99"/>
      <c r="AB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c r="AA537" s="99"/>
      <c r="AB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c r="AA538" s="99"/>
      <c r="AB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c r="AA539" s="99"/>
      <c r="AB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c r="AA540" s="99"/>
      <c r="AB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c r="AA541" s="99"/>
      <c r="AB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c r="AA542" s="99"/>
      <c r="AB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c r="AA543" s="99"/>
      <c r="AB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c r="AA544" s="99"/>
      <c r="AB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c r="AA545" s="99"/>
      <c r="AB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c r="AA546" s="99"/>
      <c r="AB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c r="AA547" s="99"/>
      <c r="AB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c r="AA548" s="99"/>
      <c r="AB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c r="AA549" s="99"/>
      <c r="AB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c r="AA550" s="99"/>
      <c r="AB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c r="AA551" s="99"/>
      <c r="AB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c r="AA552" s="99"/>
      <c r="AB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c r="AA553" s="99"/>
      <c r="AB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c r="AA554" s="99"/>
      <c r="AB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c r="AA555" s="99"/>
      <c r="AB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c r="AA556" s="99"/>
      <c r="AB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c r="AA557" s="99"/>
      <c r="AB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c r="AA558" s="99"/>
      <c r="AB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c r="AA559" s="99"/>
      <c r="AB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c r="AA560" s="99"/>
      <c r="AB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c r="AA561" s="99"/>
      <c r="AB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c r="AA562" s="99"/>
      <c r="AB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c r="AA563" s="99"/>
      <c r="AB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c r="AA564" s="99"/>
      <c r="AB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c r="AA565" s="99"/>
      <c r="AB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c r="AA566" s="99"/>
      <c r="AB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c r="AA567" s="99"/>
      <c r="AB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c r="AA568" s="99"/>
      <c r="AB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c r="AA569" s="99"/>
      <c r="AB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c r="AA570" s="99"/>
      <c r="AB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c r="AA571" s="99"/>
      <c r="AB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c r="AA572" s="99"/>
      <c r="AB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c r="AA573" s="99"/>
      <c r="AB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c r="AA574" s="99"/>
      <c r="AB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c r="AA575" s="99"/>
      <c r="AB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c r="AA576" s="99"/>
      <c r="AB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c r="AA577" s="99"/>
      <c r="AB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c r="AA578" s="99"/>
      <c r="AB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c r="AA579" s="99"/>
      <c r="AB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c r="AA580" s="99"/>
      <c r="AB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c r="AA581" s="99"/>
      <c r="AB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c r="AA582" s="99"/>
      <c r="AB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c r="AA583" s="99"/>
      <c r="AB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c r="AA584" s="99"/>
      <c r="AB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c r="AA585" s="99"/>
      <c r="AB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c r="AA586" s="99"/>
      <c r="AB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c r="AA587" s="99"/>
      <c r="AB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c r="AA588" s="99"/>
      <c r="AB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c r="AA589" s="99"/>
      <c r="AB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c r="AA590" s="99"/>
      <c r="AB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c r="AA591" s="99"/>
      <c r="AB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c r="AA592" s="99"/>
      <c r="AB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c r="AA593" s="99"/>
      <c r="AB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c r="AA594" s="99"/>
      <c r="AB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c r="AA595" s="99"/>
      <c r="AB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c r="AA596" s="99"/>
      <c r="AB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c r="AA597" s="99"/>
      <c r="AB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c r="AA598" s="99"/>
      <c r="AB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c r="AA599" s="99"/>
      <c r="AB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c r="AA600" s="99"/>
      <c r="AB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c r="AA601" s="99"/>
      <c r="AB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c r="AA602" s="99"/>
      <c r="AB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c r="AA603" s="99"/>
      <c r="AB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c r="AA604" s="99"/>
      <c r="AB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c r="AA605" s="99"/>
      <c r="AB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c r="AA606" s="99"/>
      <c r="AB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c r="AA607" s="99"/>
      <c r="AB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c r="AA608" s="99"/>
      <c r="AB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c r="AA609" s="99"/>
      <c r="AB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c r="AA610" s="99"/>
      <c r="AB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c r="AA611" s="99"/>
      <c r="AB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c r="AA612" s="99"/>
      <c r="AB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c r="AA613" s="99"/>
      <c r="AB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c r="AA614" s="99"/>
      <c r="AB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c r="AA615" s="99"/>
      <c r="AB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c r="AA616" s="99"/>
      <c r="AB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c r="AA617" s="99"/>
      <c r="AB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c r="AA618" s="99"/>
      <c r="AB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c r="AA619" s="99"/>
      <c r="AB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c r="AA620" s="99"/>
      <c r="AB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c r="AA621" s="99"/>
      <c r="AB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c r="AA622" s="99"/>
      <c r="AB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c r="AA623" s="99"/>
      <c r="AB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c r="AA624" s="99"/>
      <c r="AB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c r="AA625" s="99"/>
      <c r="AB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c r="AA626" s="99"/>
      <c r="AB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c r="AA627" s="99"/>
      <c r="AB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c r="AA628" s="99"/>
      <c r="AB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c r="AA629" s="99"/>
      <c r="AB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c r="AA630" s="99"/>
      <c r="AB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c r="AA631" s="99"/>
      <c r="AB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c r="AA632" s="99"/>
      <c r="AB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c r="AA633" s="99"/>
      <c r="AB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c r="AA634" s="99"/>
      <c r="AB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c r="AA635" s="99"/>
      <c r="AB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c r="AA636" s="99"/>
      <c r="AB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c r="AA637" s="99"/>
      <c r="AB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c r="AA638" s="99"/>
      <c r="AB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c r="AA639" s="99"/>
      <c r="AB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c r="AA640" s="99"/>
      <c r="AB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c r="AA641" s="99"/>
      <c r="AB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c r="AA642" s="99"/>
      <c r="AB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c r="AA643" s="99"/>
      <c r="AB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c r="AA644" s="99"/>
      <c r="AB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c r="AA645" s="99"/>
      <c r="AB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c r="AA646" s="99"/>
      <c r="AB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c r="AA647" s="99"/>
      <c r="AB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c r="AA648" s="99"/>
      <c r="AB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c r="AA649" s="99"/>
      <c r="AB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c r="AA650" s="99"/>
      <c r="AB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c r="AA651" s="99"/>
      <c r="AB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c r="AA652" s="99"/>
      <c r="AB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c r="AA653" s="99"/>
      <c r="AB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c r="AA654" s="99"/>
      <c r="AB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c r="AA655" s="99"/>
      <c r="AB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c r="AA656" s="99"/>
      <c r="AB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c r="AA657" s="99"/>
      <c r="AB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c r="AA658" s="99"/>
      <c r="AB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c r="AA659" s="99"/>
      <c r="AB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c r="AA660" s="99"/>
      <c r="AB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c r="AA661" s="99"/>
      <c r="AB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c r="AA662" s="99"/>
      <c r="AB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c r="AA663" s="99"/>
      <c r="AB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c r="AA664" s="99"/>
      <c r="AB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c r="AA665" s="99"/>
      <c r="AB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c r="AA666" s="99"/>
      <c r="AB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c r="AA667" s="99"/>
      <c r="AB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c r="AA668" s="99"/>
      <c r="AB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c r="AA669" s="99"/>
      <c r="AB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c r="AA670" s="99"/>
      <c r="AB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c r="AA671" s="99"/>
      <c r="AB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c r="AA672" s="99"/>
      <c r="AB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c r="AA673" s="99"/>
      <c r="AB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c r="AA674" s="99"/>
      <c r="AB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c r="AA675" s="99"/>
      <c r="AB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c r="AA676" s="99"/>
      <c r="AB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c r="AA677" s="99"/>
      <c r="AB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c r="AA678" s="99"/>
      <c r="AB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c r="AA679" s="99"/>
      <c r="AB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c r="AA680" s="99"/>
      <c r="AB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c r="AA681" s="99"/>
      <c r="AB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c r="AA682" s="99"/>
      <c r="AB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c r="AA683" s="99"/>
      <c r="AB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c r="AA684" s="99"/>
      <c r="AB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c r="AA685" s="99"/>
      <c r="AB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c r="AA686" s="99"/>
      <c r="AB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c r="AA687" s="99"/>
      <c r="AB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c r="AA688" s="99"/>
      <c r="AB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c r="AA689" s="99"/>
      <c r="AB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c r="AA690" s="99"/>
      <c r="AB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c r="AA691" s="99"/>
      <c r="AB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c r="AA692" s="99"/>
      <c r="AB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c r="AA693" s="99"/>
      <c r="AB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c r="AA694" s="99"/>
      <c r="AB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c r="AA695" s="99"/>
      <c r="AB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c r="AA696" s="99"/>
      <c r="AB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c r="AA697" s="99"/>
      <c r="AB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c r="AA698" s="99"/>
      <c r="AB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c r="AA699" s="99"/>
      <c r="AB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c r="AA700" s="99"/>
      <c r="AB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c r="AA701" s="99"/>
      <c r="AB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c r="AA702" s="99"/>
      <c r="AB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c r="AA703" s="99"/>
      <c r="AB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c r="AA704" s="99"/>
      <c r="AB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c r="AA705" s="99"/>
      <c r="AB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c r="AA706" s="99"/>
      <c r="AB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c r="AA707" s="99"/>
      <c r="AB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c r="AA708" s="99"/>
      <c r="AB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c r="AA709" s="99"/>
      <c r="AB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c r="AA710" s="99"/>
      <c r="AB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c r="AA711" s="99"/>
      <c r="AB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c r="AA712" s="99"/>
      <c r="AB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c r="AA713" s="99"/>
      <c r="AB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c r="AA714" s="99"/>
      <c r="AB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c r="AA715" s="99"/>
      <c r="AB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c r="AA716" s="99"/>
      <c r="AB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c r="AA717" s="99"/>
      <c r="AB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c r="AA718" s="99"/>
      <c r="AB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c r="AA719" s="99"/>
      <c r="AB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c r="AA720" s="99"/>
      <c r="AB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c r="AA721" s="99"/>
      <c r="AB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c r="AA722" s="99"/>
      <c r="AB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c r="AA723" s="99"/>
      <c r="AB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c r="AA724" s="99"/>
      <c r="AB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c r="AA725" s="99"/>
      <c r="AB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c r="AA726" s="99"/>
      <c r="AB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c r="AA727" s="99"/>
      <c r="AB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c r="AA728" s="99"/>
      <c r="AB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c r="AA729" s="99"/>
      <c r="AB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c r="AA730" s="99"/>
      <c r="AB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c r="AA731" s="99"/>
      <c r="AB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c r="AA732" s="99"/>
      <c r="AB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c r="AA733" s="99"/>
      <c r="AB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c r="AA734" s="99"/>
      <c r="AB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c r="AA735" s="99"/>
      <c r="AB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c r="AA736" s="99"/>
      <c r="AB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c r="AA737" s="99"/>
      <c r="AB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c r="AA738" s="99"/>
      <c r="AB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c r="AA739" s="99"/>
      <c r="AB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c r="AA740" s="99"/>
      <c r="AB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c r="AA741" s="99"/>
      <c r="AB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c r="AA742" s="99"/>
      <c r="AB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c r="AA743" s="99"/>
      <c r="AB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c r="AA744" s="99"/>
      <c r="AB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c r="AA745" s="99"/>
      <c r="AB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c r="AA746" s="99"/>
      <c r="AB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c r="AA747" s="99"/>
      <c r="AB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c r="AA748" s="99"/>
      <c r="AB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c r="AA749" s="99"/>
      <c r="AB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c r="AA750" s="99"/>
      <c r="AB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c r="AA751" s="99"/>
      <c r="AB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c r="AA752" s="99"/>
      <c r="AB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c r="AA753" s="99"/>
      <c r="AB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c r="AA754" s="99"/>
      <c r="AB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c r="AA755" s="99"/>
      <c r="AB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c r="AA756" s="99"/>
      <c r="AB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c r="AA757" s="99"/>
      <c r="AB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c r="AA758" s="99"/>
      <c r="AB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c r="AA759" s="99"/>
      <c r="AB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c r="AA760" s="99"/>
      <c r="AB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c r="AA761" s="99"/>
      <c r="AB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c r="AA762" s="99"/>
      <c r="AB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c r="AA763" s="99"/>
      <c r="AB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c r="AA764" s="99"/>
      <c r="AB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c r="AA765" s="99"/>
      <c r="AB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c r="AA766" s="99"/>
      <c r="AB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c r="AA767" s="99"/>
      <c r="AB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c r="AA768" s="99"/>
      <c r="AB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c r="AA769" s="99"/>
      <c r="AB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c r="AA770" s="99"/>
      <c r="AB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c r="AA771" s="99"/>
      <c r="AB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c r="AA772" s="99"/>
      <c r="AB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c r="AA773" s="99"/>
      <c r="AB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c r="AA774" s="99"/>
      <c r="AB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c r="AA775" s="99"/>
      <c r="AB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c r="AA776" s="99"/>
      <c r="AB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c r="AA777" s="99"/>
      <c r="AB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c r="AA778" s="99"/>
      <c r="AB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c r="AA779" s="99"/>
      <c r="AB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c r="AA780" s="99"/>
      <c r="AB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c r="AA781" s="99"/>
      <c r="AB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c r="AA782" s="99"/>
      <c r="AB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c r="AA783" s="99"/>
      <c r="AB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c r="AA784" s="99"/>
      <c r="AB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c r="AA785" s="99"/>
      <c r="AB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c r="AA786" s="99"/>
      <c r="AB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c r="AA787" s="99"/>
      <c r="AB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c r="AA788" s="99"/>
      <c r="AB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c r="AA789" s="99"/>
      <c r="AB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c r="AA790" s="99"/>
      <c r="AB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c r="AA791" s="99"/>
      <c r="AB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c r="AA792" s="99"/>
      <c r="AB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c r="AA793" s="99"/>
      <c r="AB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c r="AA794" s="99"/>
      <c r="AB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c r="AA795" s="99"/>
      <c r="AB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c r="AA796" s="99"/>
      <c r="AB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c r="AA797" s="99"/>
      <c r="AB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c r="AA798" s="99"/>
      <c r="AB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c r="AA799" s="99"/>
      <c r="AB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c r="AA800" s="99"/>
      <c r="AB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c r="AA801" s="99"/>
      <c r="AB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c r="AA802" s="99"/>
      <c r="AB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c r="AA803" s="99"/>
      <c r="AB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c r="AA804" s="99"/>
      <c r="AB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c r="AA805" s="99"/>
      <c r="AB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c r="AA806" s="99"/>
      <c r="AB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c r="AA807" s="99"/>
      <c r="AB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c r="AA808" s="99"/>
      <c r="AB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c r="AA809" s="99"/>
      <c r="AB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c r="AA810" s="99"/>
      <c r="AB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c r="AA811" s="99"/>
      <c r="AB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c r="AA812" s="99"/>
      <c r="AB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c r="AA813" s="99"/>
      <c r="AB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c r="AA814" s="99"/>
      <c r="AB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c r="AA815" s="99"/>
      <c r="AB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c r="AA816" s="99"/>
      <c r="AB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c r="AA817" s="99"/>
      <c r="AB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c r="AA818" s="99"/>
      <c r="AB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c r="AA819" s="99"/>
      <c r="AB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c r="AA820" s="99"/>
      <c r="AB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c r="AA821" s="99"/>
      <c r="AB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c r="AA822" s="99"/>
      <c r="AB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c r="AA823" s="99"/>
      <c r="AB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c r="AA824" s="99"/>
      <c r="AB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c r="AA825" s="99"/>
      <c r="AB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c r="AA826" s="99"/>
      <c r="AB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c r="AA827" s="99"/>
      <c r="AB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c r="AA828" s="99"/>
      <c r="AB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c r="AA829" s="99"/>
      <c r="AB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c r="AA830" s="99"/>
      <c r="AB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c r="AA831" s="99"/>
      <c r="AB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c r="AA832" s="99"/>
      <c r="AB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c r="AA833" s="99"/>
      <c r="AB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c r="AA834" s="99"/>
      <c r="AB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c r="AA835" s="99"/>
      <c r="AB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c r="AA836" s="99"/>
      <c r="AB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c r="AA837" s="99"/>
      <c r="AB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c r="AA838" s="99"/>
      <c r="AB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c r="AA839" s="99"/>
      <c r="AB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c r="AA840" s="99"/>
      <c r="AB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c r="AA841" s="99"/>
      <c r="AB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c r="AA842" s="99"/>
      <c r="AB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c r="AA843" s="99"/>
      <c r="AB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c r="AA844" s="99"/>
      <c r="AB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c r="AA845" s="99"/>
      <c r="AB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c r="AA846" s="99"/>
      <c r="AB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c r="AA847" s="99"/>
      <c r="AB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c r="AA848" s="99"/>
      <c r="AB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c r="AA849" s="99"/>
      <c r="AB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c r="AA850" s="99"/>
      <c r="AB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c r="AA851" s="99"/>
      <c r="AB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c r="AA852" s="99"/>
      <c r="AB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c r="AA853" s="99"/>
      <c r="AB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c r="AA854" s="99"/>
      <c r="AB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c r="AA855" s="99"/>
      <c r="AB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c r="AA856" s="99"/>
      <c r="AB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c r="AA857" s="99"/>
      <c r="AB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c r="AA858" s="99"/>
      <c r="AB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c r="AA859" s="99"/>
      <c r="AB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c r="AA860" s="99"/>
      <c r="AB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c r="AA861" s="99"/>
      <c r="AB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c r="AA862" s="99"/>
      <c r="AB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c r="AA863" s="99"/>
      <c r="AB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c r="AA864" s="99"/>
      <c r="AB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c r="AA865" s="99"/>
      <c r="AB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c r="AA866" s="99"/>
      <c r="AB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c r="AA867" s="99"/>
      <c r="AB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c r="AA868" s="99"/>
      <c r="AB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c r="AA869" s="99"/>
      <c r="AB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c r="AA870" s="99"/>
      <c r="AB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c r="AA871" s="99"/>
      <c r="AB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c r="AA872" s="99"/>
      <c r="AB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c r="AA873" s="99"/>
      <c r="AB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c r="AA874" s="99"/>
      <c r="AB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c r="AA875" s="99"/>
      <c r="AB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c r="AA876" s="99"/>
      <c r="AB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c r="AA877" s="99"/>
      <c r="AB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c r="AA878" s="99"/>
      <c r="AB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c r="AA879" s="99"/>
      <c r="AB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c r="AA880" s="99"/>
      <c r="AB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c r="AA881" s="99"/>
      <c r="AB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c r="AA882" s="99"/>
      <c r="AB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c r="AA883" s="99"/>
      <c r="AB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c r="AA884" s="99"/>
      <c r="AB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c r="AA885" s="99"/>
      <c r="AB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c r="AA886" s="99"/>
      <c r="AB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c r="AA887" s="99"/>
      <c r="AB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c r="AA888" s="99"/>
      <c r="AB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c r="AA889" s="99"/>
      <c r="AB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c r="AA890" s="99"/>
      <c r="AB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c r="AA891" s="99"/>
      <c r="AB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c r="AA892" s="99"/>
      <c r="AB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c r="AA893" s="99"/>
      <c r="AB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c r="AA894" s="99"/>
      <c r="AB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c r="AA895" s="99"/>
      <c r="AB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c r="AA896" s="99"/>
      <c r="AB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c r="AA897" s="99"/>
      <c r="AB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c r="AA898" s="99"/>
      <c r="AB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c r="AA899" s="99"/>
      <c r="AB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c r="AA900" s="99"/>
      <c r="AB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c r="AA901" s="99"/>
      <c r="AB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c r="AA902" s="99"/>
      <c r="AB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c r="AA903" s="99"/>
      <c r="AB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c r="AA904" s="99"/>
      <c r="AB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c r="AA905" s="99"/>
      <c r="AB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c r="AA906" s="99"/>
      <c r="AB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c r="AA907" s="99"/>
      <c r="AB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c r="AA908" s="99"/>
      <c r="AB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c r="AA909" s="99"/>
      <c r="AB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c r="AA910" s="99"/>
      <c r="AB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c r="AA911" s="99"/>
      <c r="AB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c r="AA912" s="99"/>
      <c r="AB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c r="AA913" s="99"/>
      <c r="AB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c r="AA914" s="99"/>
      <c r="AB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c r="AA915" s="99"/>
      <c r="AB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c r="AA916" s="99"/>
      <c r="AB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c r="AA917" s="99"/>
      <c r="AB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c r="AA918" s="99"/>
      <c r="AB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c r="AA919" s="99"/>
      <c r="AB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c r="AA920" s="99"/>
      <c r="AB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c r="AA921" s="99"/>
      <c r="AB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c r="AA922" s="99"/>
      <c r="AB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c r="AA923" s="99"/>
      <c r="AB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c r="AA924" s="99"/>
      <c r="AB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c r="AA925" s="99"/>
      <c r="AB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c r="AA926" s="99"/>
      <c r="AB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c r="AA927" s="99"/>
      <c r="AB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c r="AA928" s="99"/>
      <c r="AB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c r="AA929" s="99"/>
      <c r="AB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c r="AA930" s="99"/>
      <c r="AB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c r="AA931" s="99"/>
      <c r="AB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c r="AA932" s="99"/>
      <c r="AB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c r="AA933" s="99"/>
      <c r="AB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c r="AA934" s="99"/>
      <c r="AB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c r="AA935" s="99"/>
      <c r="AB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c r="AA936" s="99"/>
      <c r="AB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c r="AA937" s="99"/>
      <c r="AB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c r="AA938" s="99"/>
      <c r="AB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c r="AA939" s="99"/>
      <c r="AB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c r="AA940" s="99"/>
      <c r="AB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c r="AA941" s="99"/>
      <c r="AB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c r="AA942" s="99"/>
      <c r="AB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c r="AA943" s="99"/>
      <c r="AB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c r="AA944" s="99"/>
      <c r="AB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c r="AA945" s="99"/>
      <c r="AB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c r="AA946" s="99"/>
      <c r="AB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c r="AA947" s="99"/>
      <c r="AB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c r="AA948" s="99"/>
      <c r="AB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c r="AA949" s="99"/>
      <c r="AB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c r="AA950" s="99"/>
      <c r="AB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c r="AA951" s="99"/>
      <c r="AB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c r="AA952" s="99"/>
      <c r="AB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c r="AA953" s="99"/>
      <c r="AB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c r="AA954" s="99"/>
      <c r="AB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c r="AA955" s="99"/>
      <c r="AB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c r="AA956" s="99"/>
      <c r="AB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c r="AA957" s="99"/>
      <c r="AB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c r="AA958" s="99"/>
      <c r="AB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c r="AA959" s="99"/>
      <c r="AB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c r="AA960" s="99"/>
      <c r="AB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c r="AA961" s="99"/>
      <c r="AB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c r="AA962" s="99"/>
      <c r="AB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c r="AA963" s="99"/>
      <c r="AB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c r="AA964" s="99"/>
      <c r="AB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c r="AA965" s="99"/>
      <c r="AB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c r="AA966" s="99"/>
      <c r="AB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c r="AA967" s="99"/>
      <c r="AB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c r="AA968" s="99"/>
      <c r="AB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c r="AA969" s="99"/>
      <c r="AB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c r="AA970" s="99"/>
      <c r="AB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c r="AA971" s="99"/>
      <c r="AB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c r="AA972" s="99"/>
      <c r="AB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c r="AA973" s="99"/>
      <c r="AB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c r="AA974" s="99"/>
      <c r="AB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c r="AA975" s="99"/>
      <c r="AB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c r="AA976" s="99"/>
      <c r="AB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c r="AA977" s="99"/>
      <c r="AB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c r="AA978" s="99"/>
      <c r="AB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c r="AA979" s="99"/>
      <c r="AB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c r="AA980" s="99"/>
      <c r="AB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c r="AA981" s="99"/>
      <c r="AB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c r="AA982" s="99"/>
      <c r="AB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c r="AA983" s="99"/>
      <c r="AB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c r="AA984" s="99"/>
      <c r="AB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c r="AA985" s="99"/>
      <c r="AB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c r="AA986" s="99"/>
      <c r="AB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c r="AA987" s="99"/>
      <c r="AB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c r="AA988" s="99"/>
      <c r="AB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c r="AA989" s="99"/>
      <c r="AB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c r="AA990" s="99"/>
      <c r="AB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c r="AA991" s="99"/>
      <c r="AB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c r="AA992" s="99"/>
      <c r="AB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c r="AA993" s="99"/>
      <c r="AB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c r="AA994" s="99"/>
      <c r="AB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c r="AA995" s="99"/>
      <c r="AB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c r="AA996" s="99"/>
      <c r="AB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c r="AA997" s="99"/>
      <c r="AB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c r="AA998" s="99"/>
      <c r="AB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c r="AA999" s="99"/>
      <c r="AB999" s="99"/>
    </row>
    <row r="1000">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c r="AA1000" s="99"/>
      <c r="AB1000" s="99"/>
    </row>
  </sheetData>
  <mergeCells count="84">
    <mergeCell ref="D32:D35"/>
    <mergeCell ref="F32:F35"/>
    <mergeCell ref="D36:D41"/>
    <mergeCell ref="F36:F41"/>
    <mergeCell ref="D45:D50"/>
    <mergeCell ref="G45:G50"/>
    <mergeCell ref="D51:D56"/>
    <mergeCell ref="G51:G56"/>
    <mergeCell ref="G57:G60"/>
    <mergeCell ref="D106:D117"/>
    <mergeCell ref="D118:D126"/>
    <mergeCell ref="D57:D60"/>
    <mergeCell ref="D61:D65"/>
    <mergeCell ref="D66:D72"/>
    <mergeCell ref="D73:D85"/>
    <mergeCell ref="D86:D93"/>
    <mergeCell ref="D94:D100"/>
    <mergeCell ref="D101:D105"/>
    <mergeCell ref="D163:D168"/>
    <mergeCell ref="D169:D175"/>
    <mergeCell ref="C188:C284"/>
    <mergeCell ref="D188:D206"/>
    <mergeCell ref="D207:D226"/>
    <mergeCell ref="D227:D272"/>
    <mergeCell ref="D273:D284"/>
    <mergeCell ref="A45:A185"/>
    <mergeCell ref="A188:A284"/>
    <mergeCell ref="B188:B284"/>
    <mergeCell ref="B45:B185"/>
    <mergeCell ref="C45:C185"/>
    <mergeCell ref="D127:D144"/>
    <mergeCell ref="D145:D149"/>
    <mergeCell ref="D150:D157"/>
    <mergeCell ref="D158:D162"/>
    <mergeCell ref="D176:D185"/>
    <mergeCell ref="H169:H185"/>
    <mergeCell ref="H188:H206"/>
    <mergeCell ref="H57:H65"/>
    <mergeCell ref="H66:H85"/>
    <mergeCell ref="H86:H100"/>
    <mergeCell ref="H101:H117"/>
    <mergeCell ref="H118:H144"/>
    <mergeCell ref="H145:H157"/>
    <mergeCell ref="H158:H168"/>
    <mergeCell ref="F11:F17"/>
    <mergeCell ref="F18:F24"/>
    <mergeCell ref="D25:D31"/>
    <mergeCell ref="F25:F31"/>
    <mergeCell ref="A6:A41"/>
    <mergeCell ref="B6:B41"/>
    <mergeCell ref="C6:C41"/>
    <mergeCell ref="D6:D10"/>
    <mergeCell ref="F6:F10"/>
    <mergeCell ref="D11:D17"/>
    <mergeCell ref="D18:D24"/>
    <mergeCell ref="H6:H10"/>
    <mergeCell ref="H11:H17"/>
    <mergeCell ref="H18:H24"/>
    <mergeCell ref="H25:H31"/>
    <mergeCell ref="H32:H35"/>
    <mergeCell ref="H36:H41"/>
    <mergeCell ref="H45:H56"/>
    <mergeCell ref="G61:G65"/>
    <mergeCell ref="G66:G72"/>
    <mergeCell ref="G73:G85"/>
    <mergeCell ref="G86:G93"/>
    <mergeCell ref="G94:G100"/>
    <mergeCell ref="G101:G105"/>
    <mergeCell ref="G106:G117"/>
    <mergeCell ref="G176:G185"/>
    <mergeCell ref="F188:F206"/>
    <mergeCell ref="F207:F226"/>
    <mergeCell ref="H207:H226"/>
    <mergeCell ref="F227:F272"/>
    <mergeCell ref="H227:H272"/>
    <mergeCell ref="F273:F284"/>
    <mergeCell ref="H273:H284"/>
    <mergeCell ref="G118:G126"/>
    <mergeCell ref="G127:G144"/>
    <mergeCell ref="G145:G149"/>
    <mergeCell ref="G150:G157"/>
    <mergeCell ref="G158:G162"/>
    <mergeCell ref="G163:G168"/>
    <mergeCell ref="G169:G175"/>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1" t="s">
        <v>614</v>
      </c>
      <c r="H1" s="132" t="s">
        <v>615</v>
      </c>
      <c r="K1" s="99"/>
      <c r="L1" s="99"/>
      <c r="M1" s="99"/>
      <c r="N1" s="99"/>
      <c r="O1" s="99"/>
      <c r="P1" s="99"/>
      <c r="Q1" s="99"/>
      <c r="R1" s="99"/>
      <c r="S1" s="99"/>
      <c r="T1" s="99"/>
      <c r="U1" s="99"/>
      <c r="V1" s="99"/>
      <c r="W1" s="99"/>
      <c r="X1" s="99"/>
      <c r="Y1" s="99"/>
      <c r="Z1" s="99"/>
      <c r="AA1" s="99"/>
      <c r="AB1" s="99"/>
    </row>
    <row r="2">
      <c r="A2" s="100" t="s">
        <v>101</v>
      </c>
      <c r="B2" s="100" t="s">
        <v>228</v>
      </c>
      <c r="C2" s="100" t="s">
        <v>229</v>
      </c>
      <c r="D2" s="100" t="s">
        <v>99</v>
      </c>
      <c r="E2" s="100" t="s">
        <v>233</v>
      </c>
      <c r="F2" s="100" t="s">
        <v>230</v>
      </c>
      <c r="G2" s="100" t="s">
        <v>231</v>
      </c>
      <c r="H2" s="133" t="s">
        <v>616</v>
      </c>
      <c r="I2" s="133"/>
      <c r="J2" s="133"/>
      <c r="K2" s="99"/>
      <c r="L2" s="99"/>
      <c r="M2" s="99"/>
      <c r="N2" s="99"/>
      <c r="O2" s="99"/>
      <c r="P2" s="99"/>
      <c r="Q2" s="99"/>
      <c r="R2" s="99"/>
      <c r="S2" s="99"/>
      <c r="T2" s="99"/>
      <c r="U2" s="99"/>
      <c r="V2" s="99"/>
      <c r="W2" s="99"/>
      <c r="X2" s="99"/>
      <c r="Y2" s="99"/>
      <c r="Z2" s="99"/>
      <c r="AA2" s="99"/>
      <c r="AB2" s="99"/>
    </row>
    <row r="5">
      <c r="C5" s="134"/>
    </row>
    <row r="6">
      <c r="C6" s="134"/>
    </row>
    <row r="7">
      <c r="C7" s="134"/>
    </row>
  </sheetData>
  <mergeCells count="2">
    <mergeCell ref="A1:G1"/>
    <mergeCell ref="H1:J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5.0"/>
  </cols>
  <sheetData>
    <row r="1">
      <c r="A1" s="135" t="s">
        <v>617</v>
      </c>
      <c r="B1" s="18"/>
      <c r="C1" s="18"/>
      <c r="D1" s="18"/>
    </row>
    <row r="2">
      <c r="A2" s="18"/>
    </row>
    <row r="3">
      <c r="A3" s="5" t="s">
        <v>618</v>
      </c>
      <c r="B3" s="7" t="s">
        <v>619</v>
      </c>
      <c r="C3" s="5" t="s">
        <v>12</v>
      </c>
      <c r="D3" s="5" t="s">
        <v>620</v>
      </c>
    </row>
    <row r="4">
      <c r="A4" s="136" t="s">
        <v>179</v>
      </c>
      <c r="B4" s="136" t="s">
        <v>621</v>
      </c>
      <c r="C4" s="137" t="s">
        <v>622</v>
      </c>
      <c r="D4" s="138"/>
    </row>
    <row r="5">
      <c r="A5" s="136" t="s">
        <v>179</v>
      </c>
      <c r="B5" s="139" t="s">
        <v>46</v>
      </c>
      <c r="C5" s="140" t="s">
        <v>623</v>
      </c>
      <c r="D5" s="138"/>
    </row>
    <row r="6">
      <c r="A6" s="141" t="s">
        <v>179</v>
      </c>
      <c r="B6" s="141" t="s">
        <v>624</v>
      </c>
      <c r="C6" s="141" t="s">
        <v>625</v>
      </c>
      <c r="D6" s="138"/>
    </row>
  </sheetData>
  <mergeCells count="1">
    <mergeCell ref="A2:D2"/>
  </mergeCell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2.63"/>
  </cols>
  <sheetData>
    <row r="1">
      <c r="A1" s="142" t="s">
        <v>626</v>
      </c>
      <c r="B1" s="143"/>
      <c r="C1" s="143"/>
      <c r="D1" s="143"/>
      <c r="E1" s="18"/>
      <c r="F1" s="18"/>
      <c r="G1" s="18"/>
      <c r="H1" s="18"/>
      <c r="I1" s="18"/>
      <c r="J1" s="18"/>
      <c r="K1" s="18"/>
      <c r="L1" s="18"/>
      <c r="M1" s="18"/>
      <c r="N1" s="18"/>
      <c r="O1" s="18"/>
      <c r="P1" s="18"/>
      <c r="Q1" s="18"/>
      <c r="R1" s="18"/>
      <c r="S1" s="18"/>
      <c r="T1" s="18"/>
      <c r="U1" s="18"/>
      <c r="V1" s="18"/>
      <c r="W1" s="18"/>
      <c r="X1" s="18"/>
      <c r="Y1" s="18"/>
      <c r="Z1" s="18"/>
    </row>
    <row r="2">
      <c r="A2" s="144" t="s">
        <v>627</v>
      </c>
      <c r="B2" s="144" t="s">
        <v>628</v>
      </c>
      <c r="C2" s="144" t="s">
        <v>12</v>
      </c>
      <c r="D2" s="144" t="s">
        <v>620</v>
      </c>
      <c r="E2" s="18"/>
      <c r="F2" s="18"/>
      <c r="G2" s="18"/>
      <c r="H2" s="18"/>
      <c r="I2" s="18"/>
      <c r="J2" s="18"/>
      <c r="K2" s="18"/>
      <c r="L2" s="18"/>
      <c r="M2" s="18"/>
      <c r="N2" s="18"/>
      <c r="O2" s="18"/>
      <c r="P2" s="18"/>
      <c r="Q2" s="18"/>
      <c r="R2" s="18"/>
      <c r="S2" s="18"/>
      <c r="T2" s="18"/>
      <c r="U2" s="18"/>
      <c r="V2" s="18"/>
      <c r="W2" s="18"/>
      <c r="X2" s="18"/>
      <c r="Y2" s="18"/>
      <c r="Z2" s="18"/>
    </row>
    <row r="3">
      <c r="A3" s="136" t="s">
        <v>179</v>
      </c>
      <c r="B3" s="145" t="s">
        <v>28</v>
      </c>
      <c r="C3" s="146" t="s">
        <v>629</v>
      </c>
      <c r="D3" s="139"/>
      <c r="E3" s="18"/>
      <c r="F3" s="18"/>
      <c r="G3" s="18"/>
      <c r="H3" s="18"/>
      <c r="I3" s="18"/>
      <c r="J3" s="18"/>
      <c r="K3" s="18"/>
      <c r="L3" s="18"/>
      <c r="M3" s="18"/>
      <c r="N3" s="18"/>
      <c r="O3" s="18"/>
      <c r="P3" s="18"/>
      <c r="Q3" s="18"/>
      <c r="R3" s="18"/>
      <c r="S3" s="18"/>
      <c r="T3" s="18"/>
      <c r="U3" s="18"/>
      <c r="V3" s="18"/>
      <c r="W3" s="18"/>
      <c r="X3" s="18"/>
      <c r="Y3" s="18"/>
      <c r="Z3" s="18"/>
    </row>
    <row r="4">
      <c r="A4" s="136" t="s">
        <v>179</v>
      </c>
      <c r="B4" s="145" t="s">
        <v>87</v>
      </c>
      <c r="C4" s="145" t="s">
        <v>630</v>
      </c>
      <c r="D4" s="139"/>
      <c r="E4" s="18"/>
      <c r="F4" s="18"/>
      <c r="G4" s="18"/>
      <c r="H4" s="18"/>
      <c r="I4" s="18"/>
      <c r="J4" s="18"/>
      <c r="K4" s="18"/>
      <c r="L4" s="18"/>
      <c r="M4" s="18"/>
      <c r="N4" s="18"/>
      <c r="O4" s="18"/>
      <c r="P4" s="18"/>
      <c r="Q4" s="18"/>
      <c r="R4" s="18"/>
      <c r="S4" s="18"/>
      <c r="T4" s="18"/>
      <c r="U4" s="18"/>
      <c r="V4" s="18"/>
      <c r="W4" s="18"/>
      <c r="X4" s="18"/>
      <c r="Y4" s="18"/>
      <c r="Z4" s="1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88"/>
    <col customWidth="1" min="2" max="2" width="11.75"/>
    <col customWidth="1" min="3" max="3" width="29.63"/>
    <col customWidth="1" min="4" max="4" width="17.13"/>
    <col customWidth="1" min="5" max="5" width="17.25"/>
    <col customWidth="1" min="6" max="6" width="24.38"/>
    <col customWidth="1" min="7" max="7" width="32.38"/>
    <col customWidth="1" min="8" max="8" width="25.88"/>
    <col customWidth="1" min="9" max="9" width="18.75"/>
    <col customWidth="1" min="10" max="10" width="16.13"/>
    <col customWidth="1" min="11" max="11" width="22.5"/>
    <col customWidth="1" min="12" max="12" width="19.5"/>
    <col customWidth="1" min="13" max="13" width="18.38"/>
  </cols>
  <sheetData>
    <row r="1" ht="15.75" customHeight="1">
      <c r="A1" s="147" t="s">
        <v>631</v>
      </c>
      <c r="B1" s="147" t="s">
        <v>632</v>
      </c>
      <c r="C1" s="147" t="s">
        <v>633</v>
      </c>
      <c r="D1" s="147" t="s">
        <v>634</v>
      </c>
      <c r="E1" s="147" t="s">
        <v>635</v>
      </c>
      <c r="F1" s="147" t="s">
        <v>636</v>
      </c>
      <c r="G1" s="148" t="s">
        <v>637</v>
      </c>
      <c r="H1" s="147" t="s">
        <v>638</v>
      </c>
      <c r="I1" s="147" t="s">
        <v>639</v>
      </c>
      <c r="J1" s="147" t="s">
        <v>640</v>
      </c>
      <c r="K1" s="147" t="s">
        <v>641</v>
      </c>
      <c r="L1" s="147" t="s">
        <v>642</v>
      </c>
      <c r="M1" s="147" t="s">
        <v>643</v>
      </c>
      <c r="N1" s="149"/>
      <c r="O1" s="149"/>
      <c r="P1" s="149"/>
      <c r="Q1" s="149"/>
      <c r="R1" s="149"/>
      <c r="S1" s="149"/>
      <c r="T1" s="149"/>
      <c r="U1" s="149"/>
      <c r="V1" s="149"/>
      <c r="W1" s="149"/>
      <c r="X1" s="149"/>
      <c r="Y1" s="149"/>
      <c r="Z1" s="149"/>
      <c r="AA1" s="149"/>
      <c r="AB1" s="149"/>
    </row>
    <row r="2" ht="15.75" customHeight="1">
      <c r="A2" s="150" t="s">
        <v>644</v>
      </c>
      <c r="B2" s="151"/>
      <c r="C2" s="152" t="s">
        <v>645</v>
      </c>
      <c r="D2" s="153" t="s">
        <v>646</v>
      </c>
      <c r="E2" s="153" t="s">
        <v>647</v>
      </c>
      <c r="F2" s="154"/>
      <c r="G2" s="155"/>
      <c r="H2" s="151"/>
      <c r="I2" s="151"/>
      <c r="J2" s="151"/>
      <c r="K2" s="151"/>
      <c r="L2" s="151"/>
      <c r="M2" s="151"/>
    </row>
    <row r="3" ht="15.75" customHeight="1">
      <c r="A3" s="26"/>
      <c r="B3" s="151"/>
      <c r="C3" s="152" t="s">
        <v>648</v>
      </c>
      <c r="D3" s="153" t="s">
        <v>649</v>
      </c>
      <c r="E3" s="153" t="s">
        <v>647</v>
      </c>
      <c r="F3" s="154"/>
      <c r="G3" s="154"/>
      <c r="H3" s="151"/>
      <c r="I3" s="151"/>
      <c r="J3" s="151"/>
      <c r="K3" s="151"/>
      <c r="L3" s="151"/>
      <c r="M3" s="151"/>
    </row>
    <row r="4" ht="15.75" customHeight="1">
      <c r="A4" s="26"/>
      <c r="B4" s="151"/>
      <c r="C4" s="152" t="s">
        <v>650</v>
      </c>
      <c r="D4" s="153" t="s">
        <v>651</v>
      </c>
      <c r="E4" s="153"/>
      <c r="F4" s="153" t="s">
        <v>652</v>
      </c>
      <c r="G4" s="154"/>
      <c r="H4" s="151"/>
      <c r="I4" s="151"/>
      <c r="J4" s="151"/>
      <c r="K4" s="151"/>
      <c r="L4" s="151"/>
      <c r="M4" s="151" t="s">
        <v>653</v>
      </c>
    </row>
    <row r="5" ht="15.75" customHeight="1">
      <c r="A5" s="26"/>
      <c r="B5" s="151"/>
      <c r="C5" s="152" t="s">
        <v>654</v>
      </c>
      <c r="D5" s="153" t="s">
        <v>655</v>
      </c>
      <c r="E5" s="153"/>
      <c r="F5" s="153"/>
      <c r="G5" s="154"/>
      <c r="H5" s="151"/>
      <c r="I5" s="156"/>
      <c r="J5" s="151"/>
      <c r="K5" s="156"/>
      <c r="L5" s="151"/>
      <c r="M5" s="151"/>
    </row>
    <row r="6" ht="15.75" customHeight="1">
      <c r="A6" s="157" t="s">
        <v>656</v>
      </c>
      <c r="B6" s="158"/>
      <c r="C6" s="159" t="s">
        <v>657</v>
      </c>
      <c r="D6" s="160" t="s">
        <v>655</v>
      </c>
      <c r="E6" s="160" t="s">
        <v>647</v>
      </c>
      <c r="F6" s="160" t="s">
        <v>658</v>
      </c>
      <c r="G6" s="161"/>
      <c r="H6" s="158"/>
      <c r="I6" s="162"/>
      <c r="J6" s="158"/>
      <c r="K6" s="162" t="s">
        <v>659</v>
      </c>
      <c r="L6" s="158"/>
      <c r="M6" s="158"/>
      <c r="N6" s="163"/>
      <c r="O6" s="163"/>
      <c r="P6" s="163"/>
      <c r="Q6" s="163"/>
      <c r="R6" s="163"/>
      <c r="S6" s="163"/>
      <c r="T6" s="163"/>
      <c r="U6" s="163"/>
      <c r="V6" s="163"/>
      <c r="W6" s="163"/>
      <c r="X6" s="163"/>
      <c r="Y6" s="163"/>
      <c r="Z6" s="163"/>
      <c r="AA6" s="163"/>
      <c r="AB6" s="163"/>
    </row>
    <row r="7" ht="15.75" customHeight="1">
      <c r="A7" s="164" t="s">
        <v>660</v>
      </c>
      <c r="B7" s="158"/>
      <c r="C7" s="159" t="s">
        <v>661</v>
      </c>
      <c r="D7" s="160" t="s">
        <v>655</v>
      </c>
      <c r="E7" s="160" t="s">
        <v>647</v>
      </c>
      <c r="F7" s="160" t="s">
        <v>658</v>
      </c>
      <c r="G7" s="160" t="s">
        <v>662</v>
      </c>
      <c r="H7" s="158"/>
      <c r="I7" s="162"/>
      <c r="J7" s="158"/>
      <c r="K7" s="162" t="s">
        <v>663</v>
      </c>
      <c r="L7" s="158"/>
      <c r="M7" s="158"/>
      <c r="N7" s="163"/>
      <c r="O7" s="163"/>
      <c r="P7" s="163"/>
      <c r="Q7" s="163"/>
      <c r="R7" s="163"/>
      <c r="S7" s="163"/>
      <c r="T7" s="163"/>
      <c r="U7" s="163"/>
      <c r="V7" s="163"/>
      <c r="W7" s="163"/>
      <c r="X7" s="163"/>
      <c r="Y7" s="163"/>
      <c r="Z7" s="163"/>
      <c r="AA7" s="163"/>
      <c r="AB7" s="163"/>
    </row>
    <row r="8" ht="15.75" customHeight="1">
      <c r="A8" s="26"/>
      <c r="B8" s="158"/>
      <c r="C8" s="159" t="s">
        <v>664</v>
      </c>
      <c r="D8" s="160" t="s">
        <v>646</v>
      </c>
      <c r="E8" s="160" t="s">
        <v>647</v>
      </c>
      <c r="F8" s="160" t="s">
        <v>658</v>
      </c>
      <c r="G8" s="160" t="s">
        <v>665</v>
      </c>
      <c r="H8" s="158"/>
      <c r="I8" s="162"/>
      <c r="J8" s="158"/>
      <c r="K8" s="162"/>
      <c r="L8" s="158"/>
      <c r="M8" s="158"/>
      <c r="N8" s="163"/>
      <c r="O8" s="163"/>
      <c r="P8" s="163"/>
      <c r="Q8" s="163"/>
      <c r="R8" s="163"/>
      <c r="S8" s="163"/>
      <c r="T8" s="163"/>
      <c r="U8" s="163"/>
      <c r="V8" s="163"/>
      <c r="W8" s="163"/>
      <c r="X8" s="163"/>
      <c r="Y8" s="163"/>
      <c r="Z8" s="163"/>
      <c r="AA8" s="163"/>
      <c r="AB8" s="163"/>
    </row>
    <row r="9" ht="15.75" customHeight="1">
      <c r="A9" s="26"/>
      <c r="B9" s="158"/>
      <c r="C9" s="159" t="s">
        <v>666</v>
      </c>
      <c r="D9" s="160" t="s">
        <v>646</v>
      </c>
      <c r="E9" s="160" t="s">
        <v>307</v>
      </c>
      <c r="F9" s="160" t="s">
        <v>658</v>
      </c>
      <c r="G9" s="160" t="s">
        <v>665</v>
      </c>
      <c r="H9" s="158"/>
      <c r="I9" s="162"/>
      <c r="J9" s="158"/>
      <c r="K9" s="162"/>
      <c r="L9" s="162" t="s">
        <v>667</v>
      </c>
      <c r="M9" s="158"/>
      <c r="N9" s="163"/>
      <c r="O9" s="163"/>
      <c r="P9" s="163"/>
      <c r="Q9" s="163"/>
      <c r="R9" s="163"/>
      <c r="S9" s="163"/>
      <c r="T9" s="163"/>
      <c r="U9" s="163"/>
      <c r="V9" s="163"/>
      <c r="W9" s="163"/>
      <c r="X9" s="163"/>
      <c r="Y9" s="163"/>
      <c r="Z9" s="163"/>
      <c r="AA9" s="163"/>
      <c r="AB9" s="163"/>
    </row>
    <row r="10" ht="15.75" customHeight="1">
      <c r="A10" s="27"/>
      <c r="B10" s="158"/>
      <c r="C10" s="159" t="s">
        <v>668</v>
      </c>
      <c r="D10" s="160" t="s">
        <v>646</v>
      </c>
      <c r="E10" s="160" t="s">
        <v>307</v>
      </c>
      <c r="F10" s="160" t="s">
        <v>658</v>
      </c>
      <c r="G10" s="160" t="s">
        <v>665</v>
      </c>
      <c r="H10" s="158"/>
      <c r="I10" s="162"/>
      <c r="J10" s="158"/>
      <c r="K10" s="162"/>
      <c r="L10" s="162" t="s">
        <v>669</v>
      </c>
      <c r="M10" s="158"/>
      <c r="N10" s="163"/>
      <c r="O10" s="163"/>
      <c r="P10" s="163"/>
      <c r="Q10" s="163"/>
      <c r="R10" s="163"/>
      <c r="S10" s="163"/>
      <c r="T10" s="163"/>
      <c r="U10" s="163"/>
      <c r="V10" s="163"/>
      <c r="W10" s="163"/>
      <c r="X10" s="163"/>
      <c r="Y10" s="163"/>
      <c r="Z10" s="163"/>
      <c r="AA10" s="163"/>
      <c r="AB10" s="163"/>
    </row>
    <row r="11" ht="15.75" customHeight="1">
      <c r="A11" s="150" t="s">
        <v>670</v>
      </c>
      <c r="B11" s="151"/>
      <c r="C11" s="152" t="s">
        <v>671</v>
      </c>
      <c r="D11" s="153" t="s">
        <v>655</v>
      </c>
      <c r="E11" s="153" t="s">
        <v>647</v>
      </c>
      <c r="F11" s="154"/>
      <c r="G11" s="153" t="s">
        <v>672</v>
      </c>
      <c r="H11" s="160" t="s">
        <v>665</v>
      </c>
      <c r="I11" s="151"/>
      <c r="J11" s="151"/>
      <c r="K11" s="156" t="s">
        <v>673</v>
      </c>
      <c r="L11" s="151"/>
      <c r="M11" s="151"/>
    </row>
    <row r="12" ht="15.75" customHeight="1">
      <c r="A12" s="26"/>
      <c r="B12" s="151"/>
      <c r="C12" s="152" t="s">
        <v>674</v>
      </c>
      <c r="D12" s="153" t="s">
        <v>646</v>
      </c>
      <c r="E12" s="153" t="s">
        <v>647</v>
      </c>
      <c r="F12" s="154"/>
      <c r="G12" s="153" t="s">
        <v>675</v>
      </c>
      <c r="H12" s="160" t="s">
        <v>665</v>
      </c>
      <c r="I12" s="151"/>
      <c r="J12" s="151"/>
      <c r="K12" s="156"/>
      <c r="L12" s="151"/>
      <c r="M12" s="151"/>
    </row>
    <row r="13" ht="15.75" customHeight="1">
      <c r="A13" s="26"/>
      <c r="B13" s="151"/>
      <c r="C13" s="152" t="s">
        <v>676</v>
      </c>
      <c r="D13" s="153" t="s">
        <v>649</v>
      </c>
      <c r="E13" s="153" t="s">
        <v>647</v>
      </c>
      <c r="F13" s="154"/>
      <c r="G13" s="153" t="s">
        <v>675</v>
      </c>
      <c r="H13" s="160" t="s">
        <v>665</v>
      </c>
      <c r="I13" s="151"/>
      <c r="J13" s="151"/>
      <c r="K13" s="156"/>
      <c r="L13" s="151"/>
      <c r="M13" s="151"/>
    </row>
    <row r="14" ht="15.75" customHeight="1">
      <c r="A14" s="26"/>
      <c r="B14" s="151"/>
      <c r="C14" s="152" t="s">
        <v>677</v>
      </c>
      <c r="D14" s="153" t="s">
        <v>651</v>
      </c>
      <c r="E14" s="153"/>
      <c r="F14" s="153" t="s">
        <v>652</v>
      </c>
      <c r="G14" s="153" t="s">
        <v>675</v>
      </c>
      <c r="H14" s="160" t="s">
        <v>665</v>
      </c>
      <c r="I14" s="151"/>
      <c r="J14" s="151"/>
      <c r="K14" s="156"/>
      <c r="L14" s="151"/>
      <c r="M14" s="151"/>
    </row>
    <row r="15" ht="15.75" customHeight="1">
      <c r="A15" s="26"/>
      <c r="B15" s="151"/>
      <c r="C15" s="152" t="s">
        <v>674</v>
      </c>
      <c r="D15" s="153" t="s">
        <v>655</v>
      </c>
      <c r="E15" s="153" t="s">
        <v>647</v>
      </c>
      <c r="F15" s="154"/>
      <c r="G15" s="153" t="s">
        <v>678</v>
      </c>
      <c r="H15" s="160" t="s">
        <v>665</v>
      </c>
      <c r="I15" s="151"/>
      <c r="J15" s="151"/>
      <c r="K15" s="156"/>
      <c r="L15" s="156" t="s">
        <v>679</v>
      </c>
      <c r="M15" s="151"/>
    </row>
    <row r="16" ht="15.75" customHeight="1">
      <c r="A16" s="26"/>
      <c r="B16" s="151"/>
      <c r="C16" s="152" t="s">
        <v>680</v>
      </c>
      <c r="D16" s="154" t="s">
        <v>655</v>
      </c>
      <c r="E16" s="153" t="s">
        <v>647</v>
      </c>
      <c r="F16" s="154"/>
      <c r="G16" s="153" t="s">
        <v>681</v>
      </c>
      <c r="H16" s="160" t="s">
        <v>665</v>
      </c>
      <c r="I16" s="151"/>
      <c r="J16" s="151"/>
      <c r="K16" s="156" t="s">
        <v>682</v>
      </c>
      <c r="L16" s="151"/>
      <c r="M16" s="151"/>
    </row>
    <row r="17" ht="15.75" customHeight="1">
      <c r="A17" s="26"/>
      <c r="B17" s="151"/>
      <c r="C17" s="152" t="s">
        <v>683</v>
      </c>
      <c r="D17" s="153" t="s">
        <v>646</v>
      </c>
      <c r="E17" s="153" t="s">
        <v>307</v>
      </c>
      <c r="F17" s="154"/>
      <c r="G17" s="153" t="s">
        <v>684</v>
      </c>
      <c r="H17" s="160" t="s">
        <v>665</v>
      </c>
      <c r="I17" s="151"/>
      <c r="J17" s="151"/>
      <c r="K17" s="151"/>
      <c r="L17" s="151"/>
      <c r="M17" s="151"/>
    </row>
    <row r="18" ht="15.75" customHeight="1">
      <c r="A18" s="26"/>
      <c r="B18" s="151"/>
      <c r="C18" s="152" t="s">
        <v>685</v>
      </c>
      <c r="D18" s="153" t="s">
        <v>655</v>
      </c>
      <c r="E18" s="153" t="s">
        <v>647</v>
      </c>
      <c r="F18" s="154"/>
      <c r="G18" s="153" t="s">
        <v>686</v>
      </c>
      <c r="H18" s="160" t="s">
        <v>665</v>
      </c>
      <c r="I18" s="151"/>
      <c r="J18" s="151"/>
      <c r="K18" s="156" t="s">
        <v>687</v>
      </c>
      <c r="L18" s="151"/>
      <c r="M18" s="151"/>
    </row>
    <row r="19" ht="15.75" customHeight="1">
      <c r="A19" s="26"/>
      <c r="B19" s="151"/>
      <c r="C19" s="152" t="s">
        <v>688</v>
      </c>
      <c r="D19" s="153" t="s">
        <v>689</v>
      </c>
      <c r="E19" s="153" t="s">
        <v>647</v>
      </c>
      <c r="F19" s="154"/>
      <c r="G19" s="154"/>
      <c r="H19" s="160" t="s">
        <v>665</v>
      </c>
      <c r="I19" s="151"/>
      <c r="J19" s="151"/>
      <c r="K19" s="151"/>
      <c r="L19" s="151"/>
      <c r="M19" s="151"/>
    </row>
    <row r="20" ht="15.75" customHeight="1">
      <c r="A20" s="26"/>
      <c r="B20" s="151"/>
      <c r="C20" s="152" t="s">
        <v>690</v>
      </c>
      <c r="D20" s="153" t="s">
        <v>689</v>
      </c>
      <c r="E20" s="153" t="s">
        <v>307</v>
      </c>
      <c r="F20" s="154"/>
      <c r="G20" s="154"/>
      <c r="H20" s="160" t="s">
        <v>665</v>
      </c>
      <c r="I20" s="151"/>
      <c r="J20" s="151"/>
      <c r="K20" s="151"/>
      <c r="L20" s="151"/>
      <c r="M20" s="151"/>
    </row>
    <row r="21" ht="15.75" customHeight="1">
      <c r="A21" s="27"/>
      <c r="B21" s="151"/>
      <c r="C21" s="152" t="s">
        <v>691</v>
      </c>
      <c r="D21" s="154" t="s">
        <v>689</v>
      </c>
      <c r="E21" s="153" t="s">
        <v>647</v>
      </c>
      <c r="F21" s="154"/>
      <c r="G21" s="154"/>
      <c r="H21" s="160" t="s">
        <v>665</v>
      </c>
      <c r="I21" s="151"/>
      <c r="J21" s="151"/>
      <c r="K21" s="151"/>
      <c r="L21" s="151"/>
      <c r="M21" s="151"/>
    </row>
    <row r="22" ht="15.75" customHeight="1">
      <c r="A22" s="150" t="s">
        <v>692</v>
      </c>
      <c r="B22" s="151"/>
      <c r="C22" s="152" t="s">
        <v>693</v>
      </c>
      <c r="D22" s="154" t="s">
        <v>646</v>
      </c>
      <c r="E22" s="153" t="s">
        <v>647</v>
      </c>
      <c r="F22" s="154"/>
      <c r="G22" s="154"/>
      <c r="H22" s="160" t="s">
        <v>665</v>
      </c>
      <c r="I22" s="151"/>
      <c r="J22" s="151"/>
      <c r="K22" s="151"/>
      <c r="L22" s="151"/>
      <c r="M22" s="151"/>
    </row>
    <row r="23" ht="15.75" customHeight="1">
      <c r="A23" s="26"/>
      <c r="B23" s="151"/>
      <c r="C23" s="152" t="s">
        <v>694</v>
      </c>
      <c r="D23" s="154" t="s">
        <v>689</v>
      </c>
      <c r="E23" s="153" t="s">
        <v>647</v>
      </c>
      <c r="F23" s="154"/>
      <c r="G23" s="154"/>
      <c r="H23" s="160" t="s">
        <v>665</v>
      </c>
      <c r="I23" s="151"/>
      <c r="J23" s="151"/>
      <c r="K23" s="151"/>
      <c r="L23" s="151"/>
      <c r="M23" s="151"/>
    </row>
    <row r="24" ht="15.75" customHeight="1">
      <c r="A24" s="26"/>
      <c r="B24" s="151"/>
      <c r="C24" s="152" t="s">
        <v>695</v>
      </c>
      <c r="D24" s="154" t="s">
        <v>646</v>
      </c>
      <c r="E24" s="153" t="s">
        <v>647</v>
      </c>
      <c r="F24" s="154"/>
      <c r="G24" s="154"/>
      <c r="H24" s="160" t="s">
        <v>665</v>
      </c>
      <c r="I24" s="151"/>
      <c r="J24" s="151"/>
      <c r="K24" s="151"/>
      <c r="L24" s="151"/>
      <c r="M24" s="151"/>
    </row>
    <row r="25" ht="15.75" customHeight="1">
      <c r="A25" s="27"/>
      <c r="B25" s="151"/>
      <c r="C25" s="152" t="s">
        <v>696</v>
      </c>
      <c r="D25" s="153" t="s">
        <v>689</v>
      </c>
      <c r="E25" s="153" t="s">
        <v>647</v>
      </c>
      <c r="F25" s="154"/>
      <c r="G25" s="154"/>
      <c r="H25" s="160" t="s">
        <v>665</v>
      </c>
      <c r="I25" s="151"/>
      <c r="J25" s="151"/>
      <c r="K25" s="151"/>
      <c r="L25" s="151"/>
      <c r="M25" s="151"/>
    </row>
    <row r="26" ht="15.75" customHeight="1">
      <c r="A26" s="165" t="s">
        <v>697</v>
      </c>
      <c r="B26" s="166"/>
      <c r="C26" s="167" t="s">
        <v>698</v>
      </c>
      <c r="D26" s="168" t="s">
        <v>646</v>
      </c>
      <c r="E26" s="168" t="s">
        <v>647</v>
      </c>
      <c r="F26" s="169"/>
      <c r="G26" s="168" t="s">
        <v>699</v>
      </c>
      <c r="H26" s="160" t="s">
        <v>665</v>
      </c>
      <c r="I26" s="166"/>
      <c r="J26" s="166"/>
      <c r="K26" s="166"/>
      <c r="L26" s="166"/>
      <c r="M26" s="166"/>
      <c r="N26" s="170"/>
      <c r="O26" s="170"/>
      <c r="P26" s="170"/>
      <c r="Q26" s="170"/>
      <c r="R26" s="170"/>
      <c r="S26" s="170"/>
      <c r="T26" s="170"/>
      <c r="U26" s="170"/>
      <c r="V26" s="170"/>
      <c r="W26" s="170"/>
      <c r="X26" s="170"/>
      <c r="Y26" s="170"/>
      <c r="Z26" s="170"/>
      <c r="AA26" s="170"/>
      <c r="AB26" s="170"/>
    </row>
    <row r="27" ht="15.75" customHeight="1">
      <c r="A27" s="26"/>
      <c r="B27" s="166"/>
      <c r="C27" s="167" t="s">
        <v>700</v>
      </c>
      <c r="D27" s="168" t="s">
        <v>649</v>
      </c>
      <c r="E27" s="168" t="s">
        <v>647</v>
      </c>
      <c r="F27" s="169"/>
      <c r="G27" s="168" t="s">
        <v>699</v>
      </c>
      <c r="H27" s="160" t="s">
        <v>665</v>
      </c>
      <c r="I27" s="166"/>
      <c r="J27" s="166"/>
      <c r="K27" s="166"/>
      <c r="L27" s="171" t="s">
        <v>701</v>
      </c>
      <c r="M27" s="166"/>
      <c r="N27" s="170"/>
      <c r="O27" s="170"/>
      <c r="P27" s="170"/>
      <c r="Q27" s="170"/>
      <c r="R27" s="170"/>
      <c r="S27" s="170"/>
      <c r="T27" s="170"/>
      <c r="U27" s="170"/>
      <c r="V27" s="170"/>
      <c r="W27" s="170"/>
      <c r="X27" s="170"/>
      <c r="Y27" s="170"/>
      <c r="Z27" s="170"/>
      <c r="AA27" s="170"/>
      <c r="AB27" s="170"/>
    </row>
    <row r="28" ht="15.75" customHeight="1">
      <c r="A28" s="26"/>
      <c r="B28" s="166"/>
      <c r="C28" s="167" t="s">
        <v>702</v>
      </c>
      <c r="D28" s="168" t="s">
        <v>651</v>
      </c>
      <c r="E28" s="168" t="s">
        <v>647</v>
      </c>
      <c r="F28" s="169"/>
      <c r="G28" s="168" t="s">
        <v>699</v>
      </c>
      <c r="H28" s="160" t="s">
        <v>665</v>
      </c>
      <c r="I28" s="166"/>
      <c r="J28" s="166"/>
      <c r="K28" s="166"/>
      <c r="L28" s="166"/>
      <c r="M28" s="166"/>
      <c r="N28" s="170"/>
      <c r="O28" s="170"/>
      <c r="P28" s="170"/>
      <c r="Q28" s="170"/>
      <c r="R28" s="170"/>
      <c r="S28" s="170"/>
      <c r="T28" s="170"/>
      <c r="U28" s="170"/>
      <c r="V28" s="170"/>
      <c r="W28" s="170"/>
      <c r="X28" s="170"/>
      <c r="Y28" s="170"/>
      <c r="Z28" s="170"/>
      <c r="AA28" s="170"/>
      <c r="AB28" s="170"/>
    </row>
    <row r="29" ht="15.75" customHeight="1">
      <c r="A29" s="27"/>
      <c r="B29" s="151"/>
      <c r="C29" s="167" t="s">
        <v>703</v>
      </c>
      <c r="D29" s="168" t="s">
        <v>655</v>
      </c>
      <c r="E29" s="168" t="s">
        <v>647</v>
      </c>
      <c r="F29" s="169"/>
      <c r="G29" s="168" t="s">
        <v>699</v>
      </c>
      <c r="H29" s="160" t="s">
        <v>665</v>
      </c>
      <c r="I29" s="151"/>
      <c r="K29" s="156" t="s">
        <v>704</v>
      </c>
      <c r="L29" s="151"/>
      <c r="M29" s="151"/>
    </row>
    <row r="30" ht="15.75" customHeight="1">
      <c r="A30" s="172"/>
      <c r="B30" s="151"/>
      <c r="C30" s="152" t="s">
        <v>705</v>
      </c>
      <c r="D30" s="153" t="s">
        <v>655</v>
      </c>
      <c r="E30" s="153" t="s">
        <v>647</v>
      </c>
      <c r="F30" s="154"/>
      <c r="G30" s="153" t="s">
        <v>673</v>
      </c>
      <c r="H30" s="160" t="s">
        <v>665</v>
      </c>
      <c r="I30" s="158"/>
      <c r="J30" s="173"/>
      <c r="K30" s="158"/>
      <c r="L30" s="158"/>
      <c r="M30" s="158"/>
      <c r="N30" s="163"/>
      <c r="O30" s="163"/>
      <c r="P30" s="163"/>
      <c r="Q30" s="163"/>
      <c r="R30" s="163"/>
      <c r="S30" s="163"/>
      <c r="T30" s="163"/>
      <c r="U30" s="163"/>
      <c r="V30" s="163"/>
      <c r="W30" s="163"/>
      <c r="X30" s="163"/>
      <c r="Y30" s="163"/>
      <c r="Z30" s="163"/>
      <c r="AA30" s="163"/>
      <c r="AB30" s="163"/>
    </row>
    <row r="31" ht="15.75" customHeight="1">
      <c r="A31" s="150" t="s">
        <v>706</v>
      </c>
      <c r="B31" s="151"/>
      <c r="C31" s="152" t="s">
        <v>707</v>
      </c>
      <c r="D31" s="153" t="s">
        <v>649</v>
      </c>
      <c r="E31" s="153" t="s">
        <v>647</v>
      </c>
      <c r="F31" s="154"/>
      <c r="G31" s="153" t="s">
        <v>708</v>
      </c>
      <c r="H31" s="160" t="s">
        <v>665</v>
      </c>
      <c r="I31" s="151"/>
      <c r="J31" s="151"/>
      <c r="K31" s="151"/>
      <c r="L31" s="151"/>
      <c r="M31" s="151"/>
    </row>
    <row r="32" ht="15.75" customHeight="1">
      <c r="A32" s="26"/>
      <c r="B32" s="151"/>
      <c r="C32" s="152" t="s">
        <v>709</v>
      </c>
      <c r="D32" s="153" t="s">
        <v>689</v>
      </c>
      <c r="E32" s="153" t="s">
        <v>647</v>
      </c>
      <c r="F32" s="154"/>
      <c r="G32" s="154"/>
      <c r="H32" s="160" t="s">
        <v>665</v>
      </c>
      <c r="I32" s="151"/>
      <c r="J32" s="151"/>
      <c r="K32" s="151"/>
      <c r="L32" s="151"/>
      <c r="M32" s="151"/>
    </row>
    <row r="33" ht="15.75" customHeight="1">
      <c r="A33" s="26"/>
      <c r="B33" s="151"/>
      <c r="C33" s="152" t="s">
        <v>710</v>
      </c>
      <c r="D33" s="153" t="s">
        <v>689</v>
      </c>
      <c r="E33" s="153" t="s">
        <v>647</v>
      </c>
      <c r="F33" s="154"/>
      <c r="G33" s="154"/>
      <c r="H33" s="160" t="s">
        <v>665</v>
      </c>
      <c r="I33" s="151"/>
      <c r="J33" s="151"/>
      <c r="K33" s="151"/>
      <c r="L33" s="151"/>
      <c r="M33" s="151"/>
    </row>
    <row r="34" ht="15.75" customHeight="1">
      <c r="A34" s="27"/>
      <c r="C34" s="152" t="s">
        <v>711</v>
      </c>
      <c r="D34" s="153" t="s">
        <v>646</v>
      </c>
      <c r="E34" s="153" t="s">
        <v>647</v>
      </c>
      <c r="F34" s="154"/>
      <c r="G34" s="154"/>
      <c r="H34" s="160" t="s">
        <v>665</v>
      </c>
      <c r="I34" s="151"/>
      <c r="J34" s="151"/>
      <c r="K34" s="151"/>
      <c r="L34" s="151"/>
      <c r="M34" s="151"/>
    </row>
    <row r="35" ht="15.75" customHeight="1">
      <c r="A35" s="174" t="s">
        <v>712</v>
      </c>
      <c r="B35" s="138"/>
      <c r="C35" s="152" t="s">
        <v>616</v>
      </c>
      <c r="D35" s="153" t="s">
        <v>713</v>
      </c>
      <c r="E35" s="153" t="s">
        <v>647</v>
      </c>
      <c r="F35" s="175"/>
      <c r="G35" s="175"/>
      <c r="H35" s="160" t="s">
        <v>665</v>
      </c>
      <c r="I35" s="138"/>
      <c r="J35" s="138"/>
      <c r="K35" s="138"/>
      <c r="L35" s="141" t="s">
        <v>714</v>
      </c>
      <c r="M35" s="138"/>
    </row>
    <row r="36" ht="15.75" customHeight="1">
      <c r="A36" s="26"/>
      <c r="B36" s="176"/>
      <c r="C36" s="167" t="s">
        <v>715</v>
      </c>
      <c r="D36" s="168" t="s">
        <v>713</v>
      </c>
      <c r="E36" s="168" t="s">
        <v>647</v>
      </c>
      <c r="F36" s="177"/>
      <c r="G36" s="177"/>
      <c r="H36" s="160" t="s">
        <v>665</v>
      </c>
      <c r="I36" s="176"/>
      <c r="J36" s="176"/>
      <c r="K36" s="176"/>
      <c r="L36" s="178" t="s">
        <v>714</v>
      </c>
      <c r="M36" s="176"/>
      <c r="N36" s="170"/>
      <c r="O36" s="170"/>
      <c r="P36" s="170"/>
      <c r="Q36" s="170"/>
      <c r="R36" s="170"/>
      <c r="S36" s="170"/>
      <c r="T36" s="170"/>
      <c r="U36" s="170"/>
      <c r="V36" s="170"/>
      <c r="W36" s="170"/>
      <c r="X36" s="170"/>
      <c r="Y36" s="170"/>
      <c r="Z36" s="170"/>
      <c r="AA36" s="170"/>
      <c r="AB36" s="170"/>
    </row>
    <row r="37" ht="15.75" customHeight="1">
      <c r="A37" s="26"/>
      <c r="B37" s="176"/>
      <c r="C37" s="167" t="s">
        <v>716</v>
      </c>
      <c r="D37" s="168" t="s">
        <v>713</v>
      </c>
      <c r="E37" s="168" t="s">
        <v>647</v>
      </c>
      <c r="F37" s="177"/>
      <c r="G37" s="177"/>
      <c r="H37" s="160" t="s">
        <v>665</v>
      </c>
      <c r="I37" s="176"/>
      <c r="J37" s="176"/>
      <c r="K37" s="176"/>
      <c r="L37" s="178" t="s">
        <v>714</v>
      </c>
      <c r="M37" s="176"/>
      <c r="N37" s="170"/>
      <c r="O37" s="170"/>
      <c r="P37" s="170"/>
      <c r="Q37" s="170"/>
      <c r="R37" s="170"/>
      <c r="S37" s="170"/>
      <c r="T37" s="170"/>
      <c r="U37" s="170"/>
      <c r="V37" s="170"/>
      <c r="W37" s="170"/>
      <c r="X37" s="170"/>
      <c r="Y37" s="170"/>
      <c r="Z37" s="170"/>
      <c r="AA37" s="170"/>
      <c r="AB37" s="170"/>
    </row>
    <row r="38" ht="15.75" customHeight="1">
      <c r="A38" s="26"/>
      <c r="B38" s="138"/>
      <c r="C38" s="179" t="s">
        <v>717</v>
      </c>
      <c r="D38" s="153" t="s">
        <v>718</v>
      </c>
      <c r="E38" s="153" t="s">
        <v>647</v>
      </c>
      <c r="F38" s="175"/>
      <c r="G38" s="175"/>
      <c r="H38" s="160" t="s">
        <v>665</v>
      </c>
      <c r="I38" s="138"/>
      <c r="J38" s="138"/>
      <c r="K38" s="138"/>
      <c r="L38" s="138"/>
      <c r="M38" s="138"/>
    </row>
    <row r="39" ht="15.75" customHeight="1">
      <c r="A39" s="26"/>
      <c r="B39" s="138"/>
      <c r="C39" s="152" t="s">
        <v>719</v>
      </c>
      <c r="D39" s="153" t="s">
        <v>646</v>
      </c>
      <c r="E39" s="153" t="s">
        <v>647</v>
      </c>
      <c r="F39" s="175"/>
      <c r="G39" s="175"/>
      <c r="H39" s="160" t="s">
        <v>665</v>
      </c>
      <c r="I39" s="138"/>
      <c r="J39" s="138"/>
      <c r="K39" s="138"/>
      <c r="L39" s="138"/>
      <c r="M39" s="138"/>
    </row>
    <row r="40" ht="15.75" customHeight="1">
      <c r="A40" s="26"/>
      <c r="B40" s="138"/>
      <c r="C40" s="179" t="s">
        <v>720</v>
      </c>
      <c r="D40" s="153" t="s">
        <v>718</v>
      </c>
      <c r="E40" s="153" t="s">
        <v>647</v>
      </c>
      <c r="F40" s="175"/>
      <c r="G40" s="175"/>
      <c r="H40" s="160" t="s">
        <v>665</v>
      </c>
      <c r="I40" s="138"/>
      <c r="J40" s="138"/>
      <c r="K40" s="138"/>
      <c r="L40" s="138"/>
      <c r="M40" s="138"/>
    </row>
    <row r="41" ht="15.75" customHeight="1">
      <c r="A41" s="27"/>
      <c r="B41" s="138"/>
      <c r="C41" s="152" t="s">
        <v>721</v>
      </c>
      <c r="D41" s="153" t="s">
        <v>646</v>
      </c>
      <c r="E41" s="153" t="s">
        <v>647</v>
      </c>
      <c r="F41" s="175"/>
      <c r="G41" s="175"/>
      <c r="H41" s="160" t="s">
        <v>665</v>
      </c>
      <c r="I41" s="138"/>
      <c r="J41" s="138"/>
      <c r="K41" s="138"/>
      <c r="L41" s="138"/>
      <c r="M41" s="138"/>
    </row>
    <row r="42" ht="15.75" customHeight="1">
      <c r="A42" s="180"/>
      <c r="C42" s="181"/>
      <c r="D42" s="155"/>
      <c r="E42" s="155"/>
      <c r="F42" s="155"/>
      <c r="G42" s="155"/>
    </row>
    <row r="43" ht="15.75" customHeight="1">
      <c r="A43" s="180"/>
      <c r="C43" s="155"/>
      <c r="D43" s="155"/>
      <c r="E43" s="155"/>
      <c r="F43" s="155"/>
      <c r="G43" s="155"/>
    </row>
    <row r="44" ht="15.75" customHeight="1">
      <c r="A44" s="180"/>
      <c r="C44" s="182"/>
      <c r="D44" s="155"/>
      <c r="E44" s="155"/>
      <c r="F44" s="155"/>
      <c r="G44" s="155"/>
    </row>
    <row r="45" ht="15.75" customHeight="1">
      <c r="A45" s="180"/>
      <c r="C45" s="181"/>
      <c r="D45" s="155"/>
      <c r="E45" s="155"/>
      <c r="F45" s="155"/>
      <c r="G45" s="155"/>
    </row>
    <row r="46" ht="15.75" customHeight="1">
      <c r="A46" s="180"/>
      <c r="C46" s="181"/>
      <c r="D46" s="155"/>
      <c r="E46" s="155"/>
      <c r="F46" s="155"/>
      <c r="G46" s="155"/>
    </row>
    <row r="47" ht="15.75" customHeight="1">
      <c r="A47" s="180"/>
      <c r="C47" s="181"/>
      <c r="D47" s="155"/>
      <c r="E47" s="155"/>
      <c r="F47" s="155"/>
      <c r="G47" s="155"/>
    </row>
    <row r="48" ht="15.75" customHeight="1">
      <c r="A48" s="180"/>
      <c r="C48" s="181"/>
      <c r="D48" s="155"/>
      <c r="E48" s="155"/>
      <c r="F48" s="155"/>
      <c r="G48" s="155"/>
    </row>
    <row r="49" ht="15.75" customHeight="1">
      <c r="A49" s="180"/>
      <c r="C49" s="181"/>
      <c r="D49" s="155"/>
      <c r="E49" s="155"/>
      <c r="F49" s="155"/>
      <c r="G49" s="155"/>
    </row>
    <row r="50" ht="15.75" customHeight="1">
      <c r="A50" s="180"/>
      <c r="C50" s="181"/>
      <c r="D50" s="155"/>
      <c r="E50" s="155"/>
      <c r="F50" s="155"/>
      <c r="G50" s="155"/>
    </row>
    <row r="51" ht="15.75" customHeight="1">
      <c r="A51" s="180"/>
      <c r="C51" s="181"/>
      <c r="D51" s="155"/>
      <c r="E51" s="155"/>
      <c r="F51" s="155"/>
      <c r="G51" s="155"/>
    </row>
    <row r="52" ht="15.75" customHeight="1">
      <c r="A52" s="180"/>
      <c r="C52" s="181"/>
      <c r="D52" s="155"/>
      <c r="E52" s="155"/>
      <c r="F52" s="155"/>
      <c r="G52" s="155"/>
    </row>
    <row r="53" ht="15.75" customHeight="1">
      <c r="A53" s="180"/>
      <c r="C53" s="181"/>
      <c r="D53" s="155"/>
      <c r="E53" s="155"/>
      <c r="F53" s="155"/>
      <c r="G53" s="155"/>
    </row>
    <row r="54" ht="15.75" customHeight="1">
      <c r="A54" s="180"/>
      <c r="C54" s="181"/>
      <c r="D54" s="155"/>
      <c r="E54" s="155"/>
      <c r="F54" s="155"/>
      <c r="G54" s="155"/>
    </row>
    <row r="55" ht="15.75" customHeight="1">
      <c r="A55" s="180"/>
      <c r="C55" s="181"/>
      <c r="D55" s="155"/>
      <c r="E55" s="155"/>
      <c r="F55" s="155"/>
      <c r="G55" s="155"/>
    </row>
    <row r="56" ht="15.75" customHeight="1">
      <c r="A56" s="180"/>
      <c r="C56" s="181"/>
      <c r="D56" s="155"/>
      <c r="E56" s="155"/>
      <c r="F56" s="155"/>
      <c r="G56" s="155"/>
    </row>
    <row r="57" ht="15.75" customHeight="1">
      <c r="A57" s="180"/>
      <c r="C57" s="181"/>
      <c r="D57" s="155"/>
      <c r="E57" s="155"/>
      <c r="F57" s="155"/>
      <c r="G57" s="155"/>
    </row>
    <row r="58" ht="15.75" customHeight="1">
      <c r="A58" s="180"/>
      <c r="C58" s="181"/>
      <c r="D58" s="155"/>
      <c r="E58" s="155"/>
      <c r="F58" s="155"/>
      <c r="G58" s="155"/>
    </row>
    <row r="59" ht="15.75" customHeight="1">
      <c r="A59" s="180"/>
      <c r="C59" s="181"/>
      <c r="D59" s="155"/>
      <c r="E59" s="155"/>
      <c r="F59" s="155"/>
      <c r="G59" s="155"/>
    </row>
    <row r="60" ht="15.75" customHeight="1">
      <c r="A60" s="180"/>
      <c r="C60" s="181"/>
      <c r="D60" s="155"/>
      <c r="E60" s="155"/>
      <c r="F60" s="155"/>
      <c r="G60" s="155"/>
    </row>
    <row r="61" ht="15.75" customHeight="1">
      <c r="A61" s="180"/>
      <c r="C61" s="181"/>
      <c r="D61" s="155"/>
      <c r="E61" s="155"/>
      <c r="F61" s="155"/>
      <c r="G61" s="155"/>
    </row>
    <row r="62" ht="15.75" customHeight="1">
      <c r="A62" s="180"/>
      <c r="C62" s="181"/>
      <c r="D62" s="155"/>
      <c r="E62" s="155"/>
      <c r="F62" s="155"/>
      <c r="G62" s="155"/>
    </row>
    <row r="63" ht="15.75" customHeight="1">
      <c r="A63" s="180"/>
      <c r="C63" s="181"/>
      <c r="D63" s="155"/>
      <c r="E63" s="155"/>
      <c r="F63" s="155"/>
      <c r="G63" s="155"/>
    </row>
    <row r="64" ht="15.75" customHeight="1">
      <c r="A64" s="180"/>
      <c r="C64" s="181"/>
      <c r="D64" s="155"/>
      <c r="E64" s="155"/>
      <c r="F64" s="155"/>
      <c r="G64" s="155"/>
    </row>
    <row r="65" ht="15.75" customHeight="1">
      <c r="A65" s="180"/>
      <c r="C65" s="181"/>
      <c r="D65" s="155"/>
      <c r="E65" s="155"/>
      <c r="F65" s="155"/>
      <c r="G65" s="155"/>
    </row>
    <row r="66" ht="15.75" customHeight="1">
      <c r="A66" s="180"/>
      <c r="C66" s="181"/>
      <c r="D66" s="155"/>
      <c r="E66" s="155"/>
      <c r="F66" s="155"/>
      <c r="G66" s="155"/>
    </row>
    <row r="67" ht="15.75" customHeight="1">
      <c r="A67" s="180"/>
      <c r="C67" s="181"/>
      <c r="D67" s="155"/>
      <c r="E67" s="155"/>
      <c r="F67" s="155"/>
      <c r="G67" s="155"/>
    </row>
    <row r="68" ht="15.75" customHeight="1">
      <c r="A68" s="180"/>
      <c r="C68" s="181"/>
      <c r="D68" s="155"/>
      <c r="E68" s="155"/>
      <c r="F68" s="155"/>
      <c r="G68" s="155"/>
    </row>
    <row r="69" ht="15.75" customHeight="1">
      <c r="A69" s="180"/>
      <c r="C69" s="181"/>
      <c r="D69" s="155"/>
      <c r="E69" s="155"/>
      <c r="F69" s="155"/>
      <c r="G69" s="155"/>
    </row>
    <row r="70" ht="15.75" customHeight="1">
      <c r="A70" s="180"/>
      <c r="C70" s="181"/>
      <c r="D70" s="155"/>
      <c r="E70" s="155"/>
      <c r="F70" s="155"/>
      <c r="G70" s="155"/>
    </row>
    <row r="71" ht="15.75" customHeight="1">
      <c r="A71" s="180"/>
      <c r="C71" s="181"/>
      <c r="D71" s="155"/>
      <c r="E71" s="155"/>
      <c r="F71" s="155"/>
      <c r="G71" s="155"/>
    </row>
    <row r="72" ht="15.75" customHeight="1">
      <c r="A72" s="180"/>
      <c r="C72" s="181"/>
      <c r="D72" s="155"/>
      <c r="E72" s="155"/>
      <c r="F72" s="155"/>
      <c r="G72" s="155"/>
    </row>
    <row r="73" ht="15.75" customHeight="1">
      <c r="A73" s="180"/>
      <c r="C73" s="181"/>
      <c r="D73" s="155"/>
      <c r="E73" s="155"/>
      <c r="F73" s="155"/>
      <c r="G73" s="155"/>
    </row>
    <row r="74" ht="15.75" customHeight="1">
      <c r="A74" s="180"/>
      <c r="C74" s="181"/>
      <c r="D74" s="155"/>
      <c r="E74" s="155"/>
      <c r="F74" s="155"/>
      <c r="G74" s="155"/>
    </row>
    <row r="75" ht="15.75" customHeight="1">
      <c r="A75" s="180"/>
      <c r="C75" s="181"/>
      <c r="D75" s="155"/>
      <c r="E75" s="155"/>
      <c r="F75" s="155"/>
      <c r="G75" s="155"/>
    </row>
    <row r="76" ht="15.75" customHeight="1">
      <c r="A76" s="180"/>
      <c r="C76" s="181"/>
      <c r="D76" s="155"/>
      <c r="E76" s="155"/>
      <c r="F76" s="155"/>
      <c r="G76" s="155"/>
    </row>
    <row r="77" ht="15.75" customHeight="1">
      <c r="A77" s="180"/>
      <c r="C77" s="181"/>
      <c r="D77" s="155"/>
      <c r="E77" s="155"/>
      <c r="F77" s="155"/>
      <c r="G77" s="155"/>
    </row>
    <row r="78" ht="15.75" customHeight="1">
      <c r="A78" s="180"/>
      <c r="C78" s="181"/>
      <c r="D78" s="155"/>
      <c r="E78" s="155"/>
      <c r="F78" s="155"/>
      <c r="G78" s="155"/>
    </row>
    <row r="79" ht="15.75" customHeight="1">
      <c r="A79" s="180"/>
      <c r="C79" s="181"/>
      <c r="D79" s="155"/>
      <c r="E79" s="155"/>
      <c r="F79" s="155"/>
      <c r="G79" s="155"/>
    </row>
    <row r="80" ht="15.75" customHeight="1">
      <c r="A80" s="180"/>
      <c r="C80" s="181"/>
      <c r="D80" s="155"/>
      <c r="E80" s="155"/>
      <c r="F80" s="155"/>
      <c r="G80" s="155"/>
    </row>
    <row r="81" ht="15.75" customHeight="1">
      <c r="A81" s="180"/>
      <c r="C81" s="181"/>
      <c r="D81" s="155"/>
      <c r="E81" s="155"/>
      <c r="F81" s="155"/>
      <c r="G81" s="155"/>
    </row>
    <row r="82" ht="15.75" customHeight="1">
      <c r="A82" s="180"/>
      <c r="C82" s="181"/>
      <c r="D82" s="155"/>
      <c r="E82" s="155"/>
      <c r="F82" s="155"/>
      <c r="G82" s="155"/>
    </row>
    <row r="83" ht="15.75" customHeight="1">
      <c r="A83" s="180"/>
      <c r="C83" s="181"/>
      <c r="D83" s="155"/>
      <c r="E83" s="155"/>
      <c r="F83" s="155"/>
      <c r="G83" s="155"/>
    </row>
    <row r="84" ht="15.75" customHeight="1">
      <c r="A84" s="180"/>
      <c r="C84" s="181"/>
      <c r="D84" s="155"/>
      <c r="E84" s="155"/>
      <c r="F84" s="155"/>
      <c r="G84" s="155"/>
    </row>
    <row r="85" ht="15.75" customHeight="1">
      <c r="A85" s="180"/>
      <c r="C85" s="181"/>
      <c r="D85" s="155"/>
      <c r="E85" s="155"/>
      <c r="F85" s="155"/>
      <c r="G85" s="155"/>
    </row>
    <row r="86" ht="15.75" customHeight="1">
      <c r="A86" s="180"/>
      <c r="C86" s="181"/>
      <c r="D86" s="155"/>
      <c r="E86" s="155"/>
      <c r="F86" s="155"/>
      <c r="G86" s="155"/>
    </row>
    <row r="87" ht="15.75" customHeight="1">
      <c r="A87" s="180"/>
      <c r="C87" s="181"/>
      <c r="D87" s="155"/>
      <c r="E87" s="155"/>
      <c r="F87" s="155"/>
      <c r="G87" s="155"/>
    </row>
    <row r="88" ht="15.75" customHeight="1">
      <c r="A88" s="180"/>
      <c r="C88" s="181"/>
      <c r="D88" s="155"/>
      <c r="E88" s="155"/>
      <c r="F88" s="155"/>
      <c r="G88" s="155"/>
    </row>
    <row r="89" ht="15.75" customHeight="1">
      <c r="A89" s="180"/>
      <c r="C89" s="181"/>
      <c r="D89" s="155"/>
      <c r="E89" s="155"/>
      <c r="F89" s="155"/>
      <c r="G89" s="155"/>
    </row>
    <row r="90" ht="15.75" customHeight="1">
      <c r="A90" s="180"/>
      <c r="C90" s="181"/>
      <c r="D90" s="155"/>
      <c r="E90" s="155"/>
      <c r="F90" s="155"/>
      <c r="G90" s="155"/>
    </row>
    <row r="91" ht="15.75" customHeight="1">
      <c r="A91" s="180"/>
      <c r="C91" s="181"/>
      <c r="D91" s="155"/>
      <c r="E91" s="155"/>
      <c r="F91" s="155"/>
      <c r="G91" s="155"/>
    </row>
    <row r="92" ht="15.75" customHeight="1">
      <c r="A92" s="180"/>
      <c r="C92" s="181"/>
      <c r="D92" s="155"/>
      <c r="E92" s="155"/>
      <c r="F92" s="155"/>
      <c r="G92" s="155"/>
    </row>
    <row r="93" ht="15.75" customHeight="1">
      <c r="A93" s="180"/>
      <c r="C93" s="181"/>
      <c r="D93" s="155"/>
      <c r="E93" s="155"/>
      <c r="F93" s="155"/>
      <c r="G93" s="155"/>
    </row>
    <row r="94" ht="15.75" customHeight="1">
      <c r="A94" s="180"/>
      <c r="C94" s="181"/>
      <c r="D94" s="155"/>
      <c r="E94" s="155"/>
      <c r="F94" s="155"/>
      <c r="G94" s="155"/>
    </row>
    <row r="95" ht="15.75" customHeight="1">
      <c r="A95" s="180"/>
      <c r="C95" s="181"/>
      <c r="D95" s="155"/>
      <c r="E95" s="155"/>
      <c r="F95" s="155"/>
      <c r="G95" s="155"/>
    </row>
    <row r="96" ht="15.75" customHeight="1">
      <c r="A96" s="180"/>
      <c r="C96" s="181"/>
      <c r="D96" s="155"/>
      <c r="E96" s="155"/>
      <c r="F96" s="155"/>
      <c r="G96" s="155"/>
    </row>
    <row r="97" ht="15.75" customHeight="1">
      <c r="A97" s="180"/>
      <c r="C97" s="181"/>
      <c r="D97" s="155"/>
      <c r="E97" s="155"/>
      <c r="F97" s="155"/>
      <c r="G97" s="155"/>
    </row>
    <row r="98" ht="15.75" customHeight="1">
      <c r="A98" s="180"/>
      <c r="C98" s="181"/>
      <c r="D98" s="155"/>
      <c r="E98" s="155"/>
      <c r="F98" s="155"/>
      <c r="G98" s="155"/>
    </row>
    <row r="99" ht="15.75" customHeight="1">
      <c r="A99" s="180"/>
      <c r="C99" s="181"/>
      <c r="D99" s="155"/>
      <c r="E99" s="155"/>
      <c r="F99" s="155"/>
      <c r="G99" s="155"/>
    </row>
    <row r="100" ht="15.75" customHeight="1">
      <c r="A100" s="180"/>
      <c r="C100" s="181"/>
      <c r="D100" s="155"/>
      <c r="E100" s="155"/>
      <c r="F100" s="155"/>
      <c r="G100" s="155"/>
    </row>
    <row r="101" ht="15.75" customHeight="1">
      <c r="A101" s="180"/>
      <c r="C101" s="181"/>
      <c r="D101" s="155"/>
      <c r="E101" s="155"/>
      <c r="F101" s="155"/>
      <c r="G101" s="155"/>
    </row>
    <row r="102" ht="15.75" customHeight="1">
      <c r="A102" s="180"/>
      <c r="C102" s="181"/>
      <c r="D102" s="155"/>
      <c r="E102" s="155"/>
      <c r="F102" s="155"/>
      <c r="G102" s="155"/>
    </row>
    <row r="103" ht="15.75" customHeight="1">
      <c r="A103" s="180"/>
      <c r="C103" s="181"/>
      <c r="D103" s="155"/>
      <c r="E103" s="155"/>
      <c r="F103" s="155"/>
      <c r="G103" s="155"/>
    </row>
    <row r="104" ht="15.75" customHeight="1">
      <c r="A104" s="180"/>
      <c r="C104" s="181"/>
      <c r="D104" s="155"/>
      <c r="E104" s="155"/>
      <c r="F104" s="155"/>
      <c r="G104" s="155"/>
    </row>
    <row r="105" ht="15.75" customHeight="1">
      <c r="A105" s="180"/>
      <c r="C105" s="181"/>
      <c r="D105" s="155"/>
      <c r="E105" s="155"/>
      <c r="F105" s="155"/>
      <c r="G105" s="155"/>
    </row>
    <row r="106" ht="15.75" customHeight="1">
      <c r="A106" s="180"/>
      <c r="C106" s="181"/>
      <c r="D106" s="155"/>
      <c r="E106" s="155"/>
      <c r="F106" s="155"/>
      <c r="G106" s="155"/>
    </row>
    <row r="107" ht="15.75" customHeight="1">
      <c r="A107" s="180"/>
      <c r="C107" s="181"/>
      <c r="D107" s="155"/>
      <c r="E107" s="155"/>
      <c r="F107" s="155"/>
      <c r="G107" s="155"/>
    </row>
    <row r="108" ht="15.75" customHeight="1">
      <c r="A108" s="180"/>
      <c r="C108" s="181"/>
      <c r="D108" s="155"/>
      <c r="E108" s="155"/>
      <c r="F108" s="155"/>
      <c r="G108" s="155"/>
    </row>
    <row r="109" ht="15.75" customHeight="1">
      <c r="A109" s="180"/>
      <c r="C109" s="181"/>
      <c r="D109" s="155"/>
      <c r="E109" s="155"/>
      <c r="F109" s="155"/>
      <c r="G109" s="155"/>
    </row>
    <row r="110" ht="15.75" customHeight="1">
      <c r="A110" s="180"/>
      <c r="C110" s="181"/>
      <c r="D110" s="155"/>
      <c r="E110" s="155"/>
      <c r="F110" s="155"/>
      <c r="G110" s="155"/>
    </row>
    <row r="111" ht="15.75" customHeight="1">
      <c r="A111" s="180"/>
      <c r="C111" s="181"/>
      <c r="D111" s="155"/>
      <c r="E111" s="155"/>
      <c r="F111" s="155"/>
      <c r="G111" s="155"/>
    </row>
    <row r="112" ht="15.75" customHeight="1">
      <c r="A112" s="180"/>
      <c r="C112" s="181"/>
      <c r="D112" s="155"/>
      <c r="E112" s="155"/>
      <c r="F112" s="155"/>
      <c r="G112" s="155"/>
    </row>
    <row r="113" ht="15.75" customHeight="1">
      <c r="A113" s="180"/>
      <c r="C113" s="181"/>
      <c r="D113" s="155"/>
      <c r="E113" s="155"/>
      <c r="F113" s="155"/>
      <c r="G113" s="155"/>
    </row>
    <row r="114" ht="15.75" customHeight="1">
      <c r="A114" s="180"/>
      <c r="C114" s="181"/>
      <c r="D114" s="155"/>
      <c r="E114" s="155"/>
      <c r="F114" s="155"/>
      <c r="G114" s="155"/>
    </row>
    <row r="115" ht="15.75" customHeight="1">
      <c r="A115" s="180"/>
      <c r="C115" s="181"/>
      <c r="D115" s="155"/>
      <c r="E115" s="155"/>
      <c r="F115" s="155"/>
      <c r="G115" s="155"/>
    </row>
    <row r="116" ht="15.75" customHeight="1">
      <c r="A116" s="180"/>
      <c r="C116" s="181"/>
      <c r="D116" s="155"/>
      <c r="E116" s="155"/>
      <c r="F116" s="155"/>
      <c r="G116" s="155"/>
    </row>
    <row r="117" ht="15.75" customHeight="1">
      <c r="A117" s="180"/>
      <c r="C117" s="181"/>
      <c r="D117" s="155"/>
      <c r="E117" s="155"/>
      <c r="F117" s="155"/>
      <c r="G117" s="155"/>
    </row>
    <row r="118" ht="15.75" customHeight="1">
      <c r="A118" s="180"/>
      <c r="C118" s="181"/>
      <c r="D118" s="155"/>
      <c r="E118" s="155"/>
      <c r="F118" s="155"/>
      <c r="G118" s="155"/>
    </row>
    <row r="119" ht="15.75" customHeight="1">
      <c r="A119" s="180"/>
      <c r="C119" s="181"/>
      <c r="D119" s="155"/>
      <c r="E119" s="155"/>
      <c r="F119" s="155"/>
      <c r="G119" s="155"/>
    </row>
    <row r="120" ht="15.75" customHeight="1">
      <c r="A120" s="180"/>
      <c r="C120" s="181"/>
      <c r="D120" s="155"/>
      <c r="E120" s="155"/>
      <c r="F120" s="155"/>
      <c r="G120" s="155"/>
    </row>
    <row r="121" ht="15.75" customHeight="1">
      <c r="A121" s="180"/>
      <c r="C121" s="181"/>
      <c r="D121" s="155"/>
      <c r="E121" s="155"/>
      <c r="F121" s="155"/>
      <c r="G121" s="155"/>
    </row>
    <row r="122" ht="15.75" customHeight="1">
      <c r="A122" s="180"/>
      <c r="C122" s="181"/>
      <c r="D122" s="155"/>
      <c r="E122" s="155"/>
      <c r="F122" s="155"/>
      <c r="G122" s="155"/>
    </row>
    <row r="123" ht="15.75" customHeight="1">
      <c r="A123" s="180"/>
      <c r="C123" s="181"/>
      <c r="D123" s="155"/>
      <c r="E123" s="155"/>
      <c r="F123" s="155"/>
      <c r="G123" s="155"/>
    </row>
    <row r="124" ht="15.75" customHeight="1">
      <c r="A124" s="180"/>
      <c r="C124" s="181"/>
      <c r="D124" s="155"/>
      <c r="E124" s="155"/>
      <c r="F124" s="155"/>
      <c r="G124" s="155"/>
    </row>
    <row r="125" ht="15.75" customHeight="1">
      <c r="A125" s="180"/>
      <c r="C125" s="181"/>
      <c r="D125" s="155"/>
      <c r="E125" s="155"/>
      <c r="F125" s="155"/>
      <c r="G125" s="155"/>
    </row>
    <row r="126" ht="15.75" customHeight="1">
      <c r="A126" s="180"/>
      <c r="C126" s="181"/>
      <c r="D126" s="155"/>
      <c r="E126" s="155"/>
      <c r="F126" s="155"/>
      <c r="G126" s="155"/>
    </row>
    <row r="127" ht="15.75" customHeight="1">
      <c r="A127" s="180"/>
      <c r="C127" s="181"/>
      <c r="D127" s="155"/>
      <c r="E127" s="155"/>
      <c r="F127" s="155"/>
      <c r="G127" s="155"/>
    </row>
    <row r="128" ht="15.75" customHeight="1">
      <c r="A128" s="180"/>
      <c r="C128" s="181"/>
      <c r="D128" s="155"/>
      <c r="E128" s="155"/>
      <c r="F128" s="155"/>
      <c r="G128" s="155"/>
    </row>
    <row r="129" ht="15.75" customHeight="1">
      <c r="A129" s="180"/>
      <c r="C129" s="181"/>
      <c r="D129" s="155"/>
      <c r="E129" s="155"/>
      <c r="F129" s="155"/>
      <c r="G129" s="155"/>
    </row>
    <row r="130" ht="15.75" customHeight="1">
      <c r="A130" s="180"/>
      <c r="C130" s="181"/>
      <c r="D130" s="155"/>
      <c r="E130" s="155"/>
      <c r="F130" s="155"/>
      <c r="G130" s="155"/>
    </row>
    <row r="131" ht="15.75" customHeight="1">
      <c r="A131" s="180"/>
      <c r="C131" s="181"/>
      <c r="D131" s="155"/>
      <c r="E131" s="155"/>
      <c r="F131" s="155"/>
      <c r="G131" s="155"/>
    </row>
    <row r="132" ht="15.75" customHeight="1">
      <c r="A132" s="180"/>
      <c r="C132" s="181"/>
      <c r="D132" s="155"/>
      <c r="E132" s="155"/>
      <c r="F132" s="155"/>
      <c r="G132" s="155"/>
    </row>
    <row r="133" ht="15.75" customHeight="1">
      <c r="A133" s="180"/>
      <c r="C133" s="181"/>
      <c r="D133" s="155"/>
      <c r="E133" s="155"/>
      <c r="F133" s="155"/>
      <c r="G133" s="155"/>
    </row>
    <row r="134" ht="15.75" customHeight="1">
      <c r="A134" s="180"/>
      <c r="C134" s="181"/>
      <c r="D134" s="155"/>
      <c r="E134" s="155"/>
      <c r="F134" s="155"/>
      <c r="G134" s="155"/>
    </row>
    <row r="135" ht="15.75" customHeight="1">
      <c r="A135" s="180"/>
      <c r="C135" s="181"/>
      <c r="D135" s="155"/>
      <c r="E135" s="155"/>
      <c r="F135" s="155"/>
      <c r="G135" s="155"/>
    </row>
    <row r="136" ht="15.75" customHeight="1">
      <c r="A136" s="180"/>
      <c r="C136" s="181"/>
      <c r="D136" s="155"/>
      <c r="E136" s="155"/>
      <c r="F136" s="155"/>
      <c r="G136" s="155"/>
    </row>
    <row r="137" ht="15.75" customHeight="1">
      <c r="A137" s="180"/>
      <c r="C137" s="181"/>
      <c r="D137" s="155"/>
      <c r="E137" s="155"/>
      <c r="F137" s="155"/>
      <c r="G137" s="155"/>
    </row>
    <row r="138" ht="15.75" customHeight="1">
      <c r="A138" s="180"/>
      <c r="C138" s="181"/>
      <c r="D138" s="155"/>
      <c r="E138" s="155"/>
      <c r="F138" s="155"/>
      <c r="G138" s="155"/>
    </row>
    <row r="139" ht="15.75" customHeight="1">
      <c r="A139" s="180"/>
      <c r="C139" s="181"/>
      <c r="D139" s="155"/>
      <c r="E139" s="155"/>
      <c r="F139" s="155"/>
      <c r="G139" s="155"/>
    </row>
    <row r="140" ht="15.75" customHeight="1">
      <c r="A140" s="180"/>
      <c r="C140" s="181"/>
      <c r="D140" s="155"/>
      <c r="E140" s="155"/>
      <c r="F140" s="155"/>
      <c r="G140" s="155"/>
    </row>
    <row r="141" ht="15.75" customHeight="1">
      <c r="A141" s="180"/>
      <c r="C141" s="181"/>
      <c r="D141" s="155"/>
      <c r="E141" s="155"/>
      <c r="F141" s="155"/>
      <c r="G141" s="155"/>
    </row>
    <row r="142" ht="15.75" customHeight="1">
      <c r="A142" s="180"/>
      <c r="C142" s="181"/>
      <c r="D142" s="155"/>
      <c r="E142" s="155"/>
      <c r="F142" s="155"/>
      <c r="G142" s="155"/>
    </row>
    <row r="143" ht="15.75" customHeight="1">
      <c r="A143" s="180"/>
      <c r="C143" s="181"/>
      <c r="D143" s="155"/>
      <c r="E143" s="155"/>
      <c r="F143" s="155"/>
      <c r="G143" s="155"/>
    </row>
    <row r="144" ht="15.75" customHeight="1">
      <c r="A144" s="180"/>
      <c r="C144" s="181"/>
      <c r="D144" s="155"/>
      <c r="E144" s="155"/>
      <c r="F144" s="155"/>
      <c r="G144" s="155"/>
    </row>
    <row r="145" ht="15.75" customHeight="1">
      <c r="A145" s="180"/>
      <c r="C145" s="181"/>
      <c r="D145" s="155"/>
      <c r="E145" s="155"/>
      <c r="F145" s="155"/>
      <c r="G145" s="155"/>
    </row>
    <row r="146" ht="15.75" customHeight="1">
      <c r="A146" s="180"/>
      <c r="C146" s="181"/>
      <c r="D146" s="155"/>
      <c r="E146" s="155"/>
      <c r="F146" s="155"/>
      <c r="G146" s="155"/>
    </row>
    <row r="147" ht="15.75" customHeight="1">
      <c r="A147" s="180"/>
      <c r="C147" s="181"/>
      <c r="D147" s="155"/>
      <c r="E147" s="155"/>
      <c r="F147" s="155"/>
      <c r="G147" s="155"/>
    </row>
    <row r="148" ht="15.75" customHeight="1">
      <c r="A148" s="180"/>
      <c r="C148" s="181"/>
      <c r="D148" s="155"/>
      <c r="E148" s="155"/>
      <c r="F148" s="155"/>
      <c r="G148" s="155"/>
    </row>
    <row r="149" ht="15.75" customHeight="1">
      <c r="A149" s="180"/>
      <c r="C149" s="181"/>
      <c r="D149" s="155"/>
      <c r="E149" s="155"/>
      <c r="F149" s="155"/>
      <c r="G149" s="155"/>
    </row>
    <row r="150" ht="15.75" customHeight="1">
      <c r="A150" s="180"/>
      <c r="C150" s="181"/>
      <c r="D150" s="155"/>
      <c r="E150" s="155"/>
      <c r="F150" s="155"/>
      <c r="G150" s="155"/>
    </row>
    <row r="151" ht="15.75" customHeight="1">
      <c r="A151" s="180"/>
      <c r="C151" s="181"/>
      <c r="D151" s="155"/>
      <c r="E151" s="155"/>
      <c r="F151" s="155"/>
      <c r="G151" s="155"/>
    </row>
    <row r="152" ht="15.75" customHeight="1">
      <c r="A152" s="180"/>
      <c r="C152" s="181"/>
      <c r="D152" s="155"/>
      <c r="E152" s="155"/>
      <c r="F152" s="155"/>
      <c r="G152" s="155"/>
    </row>
    <row r="153" ht="15.75" customHeight="1">
      <c r="A153" s="180"/>
      <c r="C153" s="181"/>
      <c r="D153" s="155"/>
      <c r="E153" s="155"/>
      <c r="F153" s="155"/>
      <c r="G153" s="155"/>
    </row>
    <row r="154" ht="15.75" customHeight="1">
      <c r="A154" s="180"/>
      <c r="C154" s="181"/>
      <c r="D154" s="155"/>
      <c r="E154" s="155"/>
      <c r="F154" s="155"/>
      <c r="G154" s="155"/>
    </row>
    <row r="155" ht="15.75" customHeight="1">
      <c r="A155" s="180"/>
      <c r="C155" s="181"/>
      <c r="D155" s="155"/>
      <c r="E155" s="155"/>
      <c r="F155" s="155"/>
      <c r="G155" s="155"/>
    </row>
    <row r="156" ht="15.75" customHeight="1">
      <c r="A156" s="180"/>
      <c r="C156" s="181"/>
      <c r="D156" s="155"/>
      <c r="E156" s="155"/>
      <c r="F156" s="155"/>
      <c r="G156" s="155"/>
    </row>
    <row r="157" ht="15.75" customHeight="1">
      <c r="A157" s="180"/>
      <c r="C157" s="181"/>
      <c r="D157" s="155"/>
      <c r="E157" s="155"/>
      <c r="F157" s="155"/>
      <c r="G157" s="155"/>
    </row>
    <row r="158" ht="15.75" customHeight="1">
      <c r="A158" s="180"/>
      <c r="C158" s="181"/>
      <c r="D158" s="155"/>
      <c r="E158" s="155"/>
      <c r="F158" s="155"/>
      <c r="G158" s="155"/>
    </row>
    <row r="159" ht="15.75" customHeight="1">
      <c r="A159" s="180"/>
      <c r="C159" s="181"/>
      <c r="D159" s="155"/>
      <c r="E159" s="155"/>
      <c r="F159" s="155"/>
      <c r="G159" s="155"/>
    </row>
    <row r="160" ht="15.75" customHeight="1">
      <c r="A160" s="180"/>
      <c r="C160" s="181"/>
      <c r="D160" s="155"/>
      <c r="E160" s="155"/>
      <c r="F160" s="155"/>
      <c r="G160" s="155"/>
    </row>
    <row r="161" ht="15.75" customHeight="1">
      <c r="A161" s="180"/>
      <c r="C161" s="181"/>
      <c r="D161" s="155"/>
      <c r="E161" s="155"/>
      <c r="F161" s="155"/>
      <c r="G161" s="155"/>
    </row>
    <row r="162" ht="15.75" customHeight="1">
      <c r="A162" s="180"/>
      <c r="C162" s="181"/>
      <c r="D162" s="155"/>
      <c r="E162" s="155"/>
      <c r="F162" s="155"/>
      <c r="G162" s="155"/>
    </row>
    <row r="163" ht="15.75" customHeight="1">
      <c r="A163" s="180"/>
      <c r="C163" s="181"/>
      <c r="D163" s="155"/>
      <c r="E163" s="155"/>
      <c r="F163" s="155"/>
      <c r="G163" s="155"/>
    </row>
    <row r="164" ht="15.75" customHeight="1">
      <c r="A164" s="180"/>
      <c r="C164" s="181"/>
      <c r="D164" s="155"/>
      <c r="E164" s="155"/>
      <c r="F164" s="155"/>
      <c r="G164" s="155"/>
    </row>
    <row r="165" ht="15.75" customHeight="1">
      <c r="A165" s="180"/>
      <c r="C165" s="181"/>
      <c r="D165" s="155"/>
      <c r="E165" s="155"/>
      <c r="F165" s="155"/>
      <c r="G165" s="155"/>
    </row>
    <row r="166" ht="15.75" customHeight="1">
      <c r="A166" s="180"/>
      <c r="C166" s="181"/>
      <c r="D166" s="155"/>
      <c r="E166" s="155"/>
      <c r="F166" s="155"/>
      <c r="G166" s="155"/>
    </row>
    <row r="167" ht="15.75" customHeight="1">
      <c r="A167" s="180"/>
      <c r="C167" s="181"/>
      <c r="D167" s="155"/>
      <c r="E167" s="155"/>
      <c r="F167" s="155"/>
      <c r="G167" s="155"/>
    </row>
    <row r="168" ht="15.75" customHeight="1">
      <c r="A168" s="180"/>
      <c r="C168" s="181"/>
      <c r="D168" s="155"/>
      <c r="E168" s="155"/>
      <c r="F168" s="155"/>
      <c r="G168" s="155"/>
    </row>
    <row r="169" ht="15.75" customHeight="1">
      <c r="A169" s="180"/>
      <c r="C169" s="181"/>
      <c r="D169" s="155"/>
      <c r="E169" s="155"/>
      <c r="F169" s="155"/>
      <c r="G169" s="155"/>
    </row>
    <row r="170" ht="15.75" customHeight="1">
      <c r="A170" s="180"/>
      <c r="C170" s="181"/>
      <c r="D170" s="155"/>
      <c r="E170" s="155"/>
      <c r="F170" s="155"/>
      <c r="G170" s="155"/>
    </row>
    <row r="171" ht="15.75" customHeight="1">
      <c r="A171" s="180"/>
      <c r="C171" s="181"/>
      <c r="D171" s="155"/>
      <c r="E171" s="155"/>
      <c r="F171" s="155"/>
      <c r="G171" s="155"/>
    </row>
    <row r="172" ht="15.75" customHeight="1">
      <c r="A172" s="180"/>
      <c r="C172" s="181"/>
      <c r="D172" s="155"/>
      <c r="E172" s="155"/>
      <c r="F172" s="155"/>
      <c r="G172" s="155"/>
    </row>
    <row r="173" ht="15.75" customHeight="1">
      <c r="A173" s="180"/>
      <c r="C173" s="181"/>
      <c r="D173" s="155"/>
      <c r="E173" s="155"/>
      <c r="F173" s="155"/>
      <c r="G173" s="155"/>
    </row>
    <row r="174" ht="15.75" customHeight="1">
      <c r="A174" s="180"/>
      <c r="C174" s="181"/>
      <c r="D174" s="155"/>
      <c r="E174" s="155"/>
      <c r="F174" s="155"/>
      <c r="G174" s="155"/>
    </row>
    <row r="175" ht="15.75" customHeight="1">
      <c r="A175" s="180"/>
      <c r="C175" s="181"/>
      <c r="D175" s="155"/>
      <c r="E175" s="155"/>
      <c r="F175" s="155"/>
      <c r="G175" s="155"/>
    </row>
    <row r="176" ht="15.75" customHeight="1">
      <c r="A176" s="180"/>
      <c r="C176" s="181"/>
      <c r="D176" s="155"/>
      <c r="E176" s="155"/>
      <c r="F176" s="155"/>
      <c r="G176" s="155"/>
    </row>
    <row r="177" ht="15.75" customHeight="1">
      <c r="A177" s="180"/>
      <c r="C177" s="181"/>
      <c r="D177" s="155"/>
      <c r="E177" s="155"/>
      <c r="F177" s="155"/>
      <c r="G177" s="155"/>
    </row>
    <row r="178" ht="15.75" customHeight="1">
      <c r="A178" s="180"/>
      <c r="C178" s="181"/>
      <c r="D178" s="155"/>
      <c r="E178" s="155"/>
      <c r="F178" s="155"/>
      <c r="G178" s="155"/>
    </row>
    <row r="179" ht="15.75" customHeight="1">
      <c r="A179" s="180"/>
      <c r="C179" s="181"/>
      <c r="D179" s="155"/>
      <c r="E179" s="155"/>
      <c r="F179" s="155"/>
      <c r="G179" s="155"/>
    </row>
    <row r="180" ht="15.75" customHeight="1">
      <c r="A180" s="180"/>
      <c r="C180" s="181"/>
      <c r="D180" s="155"/>
      <c r="E180" s="155"/>
      <c r="F180" s="155"/>
      <c r="G180" s="155"/>
    </row>
    <row r="181" ht="15.75" customHeight="1">
      <c r="A181" s="180"/>
      <c r="C181" s="181"/>
      <c r="D181" s="155"/>
      <c r="E181" s="155"/>
      <c r="F181" s="155"/>
      <c r="G181" s="155"/>
    </row>
    <row r="182" ht="15.75" customHeight="1">
      <c r="A182" s="180"/>
      <c r="C182" s="181"/>
      <c r="D182" s="155"/>
      <c r="E182" s="155"/>
      <c r="F182" s="155"/>
      <c r="G182" s="155"/>
    </row>
    <row r="183" ht="15.75" customHeight="1">
      <c r="A183" s="180"/>
      <c r="C183" s="181"/>
      <c r="D183" s="155"/>
      <c r="E183" s="155"/>
      <c r="F183" s="155"/>
      <c r="G183" s="155"/>
    </row>
    <row r="184" ht="15.75" customHeight="1">
      <c r="A184" s="180"/>
      <c r="C184" s="181"/>
      <c r="D184" s="155"/>
      <c r="E184" s="155"/>
      <c r="F184" s="155"/>
      <c r="G184" s="155"/>
    </row>
    <row r="185" ht="15.75" customHeight="1">
      <c r="A185" s="180"/>
      <c r="C185" s="181"/>
      <c r="D185" s="155"/>
      <c r="E185" s="155"/>
      <c r="F185" s="155"/>
      <c r="G185" s="155"/>
    </row>
    <row r="186" ht="15.75" customHeight="1">
      <c r="A186" s="180"/>
      <c r="C186" s="181"/>
      <c r="D186" s="155"/>
      <c r="E186" s="155"/>
      <c r="F186" s="155"/>
      <c r="G186" s="155"/>
    </row>
    <row r="187" ht="15.75" customHeight="1">
      <c r="A187" s="180"/>
      <c r="C187" s="181"/>
      <c r="D187" s="155"/>
      <c r="E187" s="155"/>
      <c r="F187" s="155"/>
      <c r="G187" s="155"/>
    </row>
    <row r="188" ht="15.75" customHeight="1">
      <c r="A188" s="180"/>
      <c r="C188" s="181"/>
      <c r="D188" s="155"/>
      <c r="E188" s="155"/>
      <c r="F188" s="155"/>
      <c r="G188" s="155"/>
    </row>
    <row r="189" ht="15.75" customHeight="1">
      <c r="A189" s="180"/>
      <c r="C189" s="181"/>
      <c r="D189" s="155"/>
      <c r="E189" s="155"/>
      <c r="F189" s="155"/>
      <c r="G189" s="155"/>
    </row>
    <row r="190" ht="15.75" customHeight="1">
      <c r="A190" s="180"/>
      <c r="C190" s="181"/>
      <c r="D190" s="155"/>
      <c r="E190" s="155"/>
      <c r="F190" s="155"/>
      <c r="G190" s="155"/>
    </row>
    <row r="191" ht="15.75" customHeight="1">
      <c r="A191" s="180"/>
      <c r="C191" s="181"/>
      <c r="D191" s="155"/>
      <c r="E191" s="155"/>
      <c r="F191" s="155"/>
      <c r="G191" s="155"/>
    </row>
    <row r="192" ht="15.75" customHeight="1">
      <c r="A192" s="180"/>
      <c r="C192" s="181"/>
      <c r="D192" s="155"/>
      <c r="E192" s="155"/>
      <c r="F192" s="155"/>
      <c r="G192" s="155"/>
    </row>
    <row r="193" ht="15.75" customHeight="1">
      <c r="A193" s="180"/>
      <c r="C193" s="181"/>
      <c r="D193" s="155"/>
      <c r="E193" s="155"/>
      <c r="F193" s="155"/>
      <c r="G193" s="155"/>
    </row>
    <row r="194" ht="15.75" customHeight="1">
      <c r="A194" s="180"/>
      <c r="C194" s="181"/>
      <c r="D194" s="155"/>
      <c r="E194" s="155"/>
      <c r="F194" s="155"/>
      <c r="G194" s="155"/>
    </row>
    <row r="195" ht="15.75" customHeight="1">
      <c r="A195" s="180"/>
      <c r="C195" s="181"/>
      <c r="D195" s="155"/>
      <c r="E195" s="155"/>
      <c r="F195" s="155"/>
      <c r="G195" s="155"/>
    </row>
    <row r="196" ht="15.75" customHeight="1">
      <c r="A196" s="180"/>
      <c r="C196" s="181"/>
      <c r="D196" s="155"/>
      <c r="E196" s="155"/>
      <c r="F196" s="155"/>
      <c r="G196" s="155"/>
    </row>
    <row r="197" ht="15.75" customHeight="1">
      <c r="A197" s="180"/>
      <c r="C197" s="181"/>
      <c r="D197" s="155"/>
      <c r="E197" s="155"/>
      <c r="F197" s="155"/>
      <c r="G197" s="155"/>
    </row>
    <row r="198" ht="15.75" customHeight="1">
      <c r="A198" s="180"/>
      <c r="C198" s="181"/>
      <c r="D198" s="155"/>
      <c r="E198" s="155"/>
      <c r="F198" s="155"/>
      <c r="G198" s="155"/>
    </row>
    <row r="199" ht="15.75" customHeight="1">
      <c r="A199" s="180"/>
      <c r="C199" s="181"/>
      <c r="D199" s="155"/>
      <c r="E199" s="155"/>
      <c r="F199" s="155"/>
      <c r="G199" s="155"/>
    </row>
    <row r="200" ht="15.75" customHeight="1">
      <c r="A200" s="180"/>
      <c r="C200" s="181"/>
      <c r="D200" s="155"/>
      <c r="E200" s="155"/>
      <c r="F200" s="155"/>
      <c r="G200" s="155"/>
    </row>
    <row r="201" ht="15.75" customHeight="1">
      <c r="A201" s="180"/>
      <c r="C201" s="181"/>
      <c r="D201" s="155"/>
      <c r="E201" s="155"/>
      <c r="F201" s="155"/>
      <c r="G201" s="155"/>
    </row>
    <row r="202" ht="15.75" customHeight="1">
      <c r="A202" s="180"/>
      <c r="C202" s="181"/>
      <c r="D202" s="155"/>
      <c r="E202" s="155"/>
      <c r="F202" s="155"/>
      <c r="G202" s="155"/>
    </row>
    <row r="203" ht="15.75" customHeight="1">
      <c r="A203" s="180"/>
      <c r="C203" s="181"/>
      <c r="D203" s="155"/>
      <c r="E203" s="155"/>
      <c r="F203" s="155"/>
      <c r="G203" s="155"/>
    </row>
    <row r="204" ht="15.75" customHeight="1">
      <c r="A204" s="180"/>
      <c r="C204" s="181"/>
      <c r="D204" s="155"/>
      <c r="E204" s="155"/>
      <c r="F204" s="155"/>
      <c r="G204" s="155"/>
    </row>
    <row r="205" ht="15.75" customHeight="1">
      <c r="A205" s="180"/>
      <c r="C205" s="181"/>
      <c r="D205" s="155"/>
      <c r="E205" s="155"/>
      <c r="F205" s="155"/>
      <c r="G205" s="155"/>
    </row>
    <row r="206" ht="15.75" customHeight="1">
      <c r="A206" s="180"/>
      <c r="C206" s="181"/>
      <c r="D206" s="155"/>
      <c r="E206" s="155"/>
      <c r="F206" s="155"/>
      <c r="G206" s="155"/>
    </row>
    <row r="207" ht="15.75" customHeight="1">
      <c r="A207" s="180"/>
      <c r="C207" s="181"/>
      <c r="D207" s="155"/>
      <c r="E207" s="155"/>
      <c r="F207" s="155"/>
      <c r="G207" s="155"/>
    </row>
    <row r="208" ht="15.75" customHeight="1">
      <c r="A208" s="180"/>
      <c r="C208" s="181"/>
      <c r="D208" s="155"/>
      <c r="E208" s="155"/>
      <c r="F208" s="155"/>
      <c r="G208" s="155"/>
    </row>
    <row r="209" ht="15.75" customHeight="1">
      <c r="A209" s="180"/>
      <c r="C209" s="181"/>
      <c r="D209" s="155"/>
      <c r="E209" s="155"/>
      <c r="F209" s="155"/>
      <c r="G209" s="155"/>
    </row>
    <row r="210" ht="15.75" customHeight="1">
      <c r="A210" s="180"/>
      <c r="C210" s="181"/>
      <c r="D210" s="155"/>
      <c r="E210" s="155"/>
      <c r="F210" s="155"/>
      <c r="G210" s="155"/>
    </row>
    <row r="211" ht="15.75" customHeight="1">
      <c r="A211" s="180"/>
      <c r="C211" s="181"/>
      <c r="D211" s="155"/>
      <c r="E211" s="155"/>
      <c r="F211" s="155"/>
      <c r="G211" s="155"/>
    </row>
    <row r="212" ht="15.75" customHeight="1">
      <c r="A212" s="180"/>
      <c r="C212" s="181"/>
      <c r="D212" s="155"/>
      <c r="E212" s="155"/>
      <c r="F212" s="155"/>
      <c r="G212" s="155"/>
    </row>
    <row r="213" ht="15.75" customHeight="1">
      <c r="A213" s="180"/>
      <c r="C213" s="181"/>
      <c r="D213" s="155"/>
      <c r="E213" s="155"/>
      <c r="F213" s="155"/>
      <c r="G213" s="155"/>
    </row>
    <row r="214" ht="15.75" customHeight="1">
      <c r="A214" s="180"/>
      <c r="C214" s="181"/>
      <c r="D214" s="155"/>
      <c r="E214" s="155"/>
      <c r="F214" s="155"/>
      <c r="G214" s="155"/>
    </row>
    <row r="215" ht="15.75" customHeight="1">
      <c r="A215" s="180"/>
      <c r="C215" s="181"/>
      <c r="D215" s="155"/>
      <c r="E215" s="155"/>
      <c r="F215" s="155"/>
      <c r="G215" s="155"/>
    </row>
    <row r="216" ht="15.75" customHeight="1">
      <c r="A216" s="180"/>
      <c r="C216" s="181"/>
      <c r="D216" s="155"/>
      <c r="E216" s="155"/>
      <c r="F216" s="155"/>
      <c r="G216" s="155"/>
    </row>
    <row r="217" ht="15.75" customHeight="1">
      <c r="A217" s="180"/>
      <c r="C217" s="181"/>
      <c r="D217" s="155"/>
      <c r="E217" s="155"/>
      <c r="F217" s="155"/>
      <c r="G217" s="155"/>
    </row>
    <row r="218" ht="15.75" customHeight="1">
      <c r="A218" s="180"/>
      <c r="C218" s="181"/>
      <c r="D218" s="155"/>
      <c r="E218" s="155"/>
      <c r="F218" s="155"/>
      <c r="G218" s="155"/>
    </row>
    <row r="219" ht="15.75" customHeight="1">
      <c r="A219" s="180"/>
      <c r="C219" s="181"/>
      <c r="D219" s="155"/>
      <c r="E219" s="155"/>
      <c r="F219" s="155"/>
      <c r="G219" s="155"/>
    </row>
    <row r="220" ht="15.75" customHeight="1">
      <c r="A220" s="180"/>
      <c r="C220" s="181"/>
      <c r="D220" s="155"/>
      <c r="E220" s="155"/>
      <c r="F220" s="155"/>
      <c r="G220" s="155"/>
    </row>
    <row r="221" ht="15.75" customHeight="1">
      <c r="A221" s="180"/>
      <c r="C221" s="181"/>
      <c r="D221" s="155"/>
      <c r="E221" s="155"/>
      <c r="F221" s="155"/>
      <c r="G221" s="155"/>
    </row>
    <row r="222" ht="15.75" customHeight="1">
      <c r="A222" s="180"/>
      <c r="C222" s="181"/>
      <c r="D222" s="155"/>
      <c r="E222" s="155"/>
      <c r="F222" s="155"/>
      <c r="G222" s="155"/>
    </row>
    <row r="223" ht="15.75" customHeight="1">
      <c r="A223" s="180"/>
      <c r="C223" s="181"/>
      <c r="D223" s="155"/>
      <c r="E223" s="155"/>
      <c r="F223" s="155"/>
      <c r="G223" s="155"/>
    </row>
    <row r="224" ht="15.75" customHeight="1">
      <c r="A224" s="180"/>
      <c r="C224" s="181"/>
      <c r="D224" s="155"/>
      <c r="E224" s="155"/>
      <c r="F224" s="155"/>
      <c r="G224" s="155"/>
    </row>
    <row r="225" ht="15.75" customHeight="1">
      <c r="A225" s="180"/>
      <c r="C225" s="181"/>
      <c r="D225" s="155"/>
      <c r="E225" s="155"/>
      <c r="F225" s="155"/>
      <c r="G225" s="155"/>
    </row>
    <row r="226" ht="15.75" customHeight="1">
      <c r="A226" s="180"/>
      <c r="C226" s="181"/>
      <c r="D226" s="155"/>
      <c r="E226" s="155"/>
      <c r="F226" s="155"/>
      <c r="G226" s="155"/>
    </row>
    <row r="227" ht="15.75" customHeight="1">
      <c r="A227" s="180"/>
      <c r="C227" s="181"/>
      <c r="D227" s="155"/>
      <c r="E227" s="155"/>
      <c r="F227" s="155"/>
      <c r="G227" s="155"/>
    </row>
    <row r="228" ht="15.75" customHeight="1">
      <c r="A228" s="180"/>
      <c r="C228" s="181"/>
      <c r="D228" s="155"/>
      <c r="E228" s="155"/>
      <c r="F228" s="155"/>
      <c r="G228" s="155"/>
    </row>
    <row r="229" ht="15.75" customHeight="1">
      <c r="A229" s="180"/>
      <c r="C229" s="181"/>
      <c r="D229" s="155"/>
      <c r="E229" s="155"/>
      <c r="F229" s="155"/>
      <c r="G229" s="155"/>
    </row>
    <row r="230" ht="15.75" customHeight="1">
      <c r="A230" s="180"/>
      <c r="C230" s="181"/>
      <c r="D230" s="155"/>
      <c r="E230" s="155"/>
      <c r="F230" s="155"/>
      <c r="G230" s="155"/>
    </row>
    <row r="231" ht="15.75" customHeight="1">
      <c r="A231" s="180"/>
      <c r="C231" s="181"/>
      <c r="D231" s="155"/>
      <c r="E231" s="155"/>
      <c r="F231" s="155"/>
      <c r="G231" s="155"/>
    </row>
    <row r="232" ht="15.75" customHeight="1">
      <c r="A232" s="180"/>
      <c r="C232" s="181"/>
      <c r="D232" s="155"/>
      <c r="E232" s="155"/>
      <c r="F232" s="155"/>
      <c r="G232" s="155"/>
    </row>
    <row r="233" ht="15.75" customHeight="1">
      <c r="A233" s="180"/>
      <c r="C233" s="181"/>
      <c r="D233" s="155"/>
      <c r="E233" s="155"/>
      <c r="F233" s="155"/>
      <c r="G233" s="155"/>
    </row>
    <row r="234" ht="15.75" customHeight="1">
      <c r="A234" s="180"/>
      <c r="C234" s="181"/>
      <c r="D234" s="155"/>
      <c r="E234" s="155"/>
      <c r="F234" s="155"/>
      <c r="G234" s="155"/>
    </row>
    <row r="235" ht="15.75" customHeight="1">
      <c r="A235" s="180"/>
      <c r="C235" s="181"/>
      <c r="D235" s="155"/>
      <c r="E235" s="155"/>
      <c r="F235" s="155"/>
      <c r="G235" s="155"/>
    </row>
    <row r="236" ht="15.75" customHeight="1">
      <c r="A236" s="180"/>
      <c r="C236" s="181"/>
      <c r="D236" s="155"/>
      <c r="E236" s="155"/>
      <c r="F236" s="155"/>
      <c r="G236" s="155"/>
    </row>
    <row r="237" ht="15.75" customHeight="1">
      <c r="A237" s="180"/>
      <c r="C237" s="181"/>
      <c r="D237" s="155"/>
      <c r="E237" s="155"/>
      <c r="F237" s="155"/>
      <c r="G237" s="155"/>
    </row>
    <row r="238" ht="15.75" customHeight="1">
      <c r="A238" s="180"/>
      <c r="C238" s="181"/>
      <c r="D238" s="155"/>
      <c r="E238" s="155"/>
      <c r="F238" s="155"/>
      <c r="G238" s="155"/>
    </row>
    <row r="239" ht="15.75" customHeight="1">
      <c r="A239" s="180"/>
      <c r="C239" s="181"/>
      <c r="D239" s="155"/>
      <c r="E239" s="155"/>
      <c r="F239" s="155"/>
      <c r="G239" s="155"/>
    </row>
    <row r="240" ht="15.75" customHeight="1">
      <c r="A240" s="180"/>
      <c r="C240" s="181"/>
      <c r="D240" s="155"/>
      <c r="E240" s="155"/>
      <c r="F240" s="155"/>
      <c r="G240" s="155"/>
    </row>
    <row r="241" ht="15.75" customHeight="1">
      <c r="A241" s="180"/>
      <c r="C241" s="181"/>
      <c r="D241" s="155"/>
      <c r="E241" s="155"/>
      <c r="F241" s="155"/>
      <c r="G241" s="155"/>
    </row>
    <row r="242" ht="15.75" customHeight="1">
      <c r="A242" s="180"/>
      <c r="C242" s="181"/>
      <c r="D242" s="155"/>
      <c r="E242" s="155"/>
      <c r="F242" s="155"/>
      <c r="G242" s="155"/>
    </row>
    <row r="243" ht="15.75" customHeight="1">
      <c r="A243" s="180"/>
      <c r="C243" s="181"/>
      <c r="D243" s="155"/>
      <c r="E243" s="155"/>
      <c r="F243" s="155"/>
      <c r="G243" s="155"/>
    </row>
    <row r="244" ht="15.75" customHeight="1">
      <c r="A244" s="180"/>
      <c r="C244" s="181"/>
      <c r="D244" s="155"/>
      <c r="E244" s="155"/>
      <c r="F244" s="155"/>
      <c r="G244" s="155"/>
    </row>
    <row r="245" ht="15.75" customHeight="1">
      <c r="A245" s="180"/>
      <c r="C245" s="181"/>
      <c r="D245" s="155"/>
      <c r="E245" s="155"/>
      <c r="F245" s="155"/>
      <c r="G245" s="155"/>
    </row>
    <row r="246" ht="15.75" customHeight="1">
      <c r="A246" s="180"/>
      <c r="C246" s="181"/>
      <c r="D246" s="155"/>
      <c r="E246" s="155"/>
      <c r="F246" s="155"/>
      <c r="G246" s="155"/>
    </row>
    <row r="247" ht="15.75" customHeight="1">
      <c r="A247" s="180"/>
      <c r="C247" s="181"/>
      <c r="D247" s="155"/>
      <c r="E247" s="155"/>
      <c r="F247" s="155"/>
      <c r="G247" s="155"/>
    </row>
    <row r="248" ht="15.75" customHeight="1">
      <c r="A248" s="180"/>
      <c r="C248" s="181"/>
      <c r="D248" s="155"/>
      <c r="E248" s="155"/>
      <c r="F248" s="155"/>
      <c r="G248" s="155"/>
    </row>
    <row r="249" ht="15.75" customHeight="1">
      <c r="A249" s="180"/>
      <c r="C249" s="181"/>
      <c r="D249" s="155"/>
      <c r="E249" s="155"/>
      <c r="F249" s="155"/>
      <c r="G249" s="155"/>
    </row>
    <row r="250" ht="15.75" customHeight="1">
      <c r="A250" s="180"/>
      <c r="C250" s="181"/>
      <c r="D250" s="155"/>
      <c r="E250" s="155"/>
      <c r="F250" s="155"/>
      <c r="G250" s="155"/>
    </row>
    <row r="251" ht="15.75" customHeight="1">
      <c r="A251" s="180"/>
      <c r="C251" s="181"/>
      <c r="D251" s="155"/>
      <c r="E251" s="155"/>
      <c r="F251" s="155"/>
      <c r="G251" s="155"/>
    </row>
    <row r="252" ht="15.75" customHeight="1">
      <c r="A252" s="180"/>
      <c r="C252" s="181"/>
      <c r="D252" s="155"/>
      <c r="E252" s="155"/>
      <c r="F252" s="155"/>
      <c r="G252" s="155"/>
    </row>
    <row r="253" ht="15.75" customHeight="1">
      <c r="A253" s="180"/>
      <c r="C253" s="181"/>
      <c r="D253" s="155"/>
      <c r="E253" s="155"/>
      <c r="F253" s="155"/>
      <c r="G253" s="155"/>
    </row>
    <row r="254" ht="15.75" customHeight="1">
      <c r="A254" s="180"/>
      <c r="C254" s="181"/>
      <c r="D254" s="155"/>
      <c r="E254" s="155"/>
      <c r="F254" s="155"/>
      <c r="G254" s="155"/>
    </row>
    <row r="255" ht="15.75" customHeight="1">
      <c r="A255" s="180"/>
      <c r="C255" s="181"/>
      <c r="D255" s="155"/>
      <c r="E255" s="155"/>
      <c r="F255" s="155"/>
      <c r="G255" s="155"/>
    </row>
    <row r="256" ht="15.75" customHeight="1">
      <c r="A256" s="180"/>
      <c r="C256" s="181"/>
      <c r="D256" s="155"/>
      <c r="E256" s="155"/>
      <c r="F256" s="155"/>
      <c r="G256" s="155"/>
    </row>
    <row r="257" ht="15.75" customHeight="1">
      <c r="A257" s="180"/>
      <c r="C257" s="181"/>
      <c r="D257" s="155"/>
      <c r="E257" s="155"/>
      <c r="F257" s="155"/>
      <c r="G257" s="155"/>
    </row>
    <row r="258" ht="15.75" customHeight="1">
      <c r="A258" s="180"/>
      <c r="C258" s="181"/>
      <c r="D258" s="155"/>
      <c r="E258" s="155"/>
      <c r="F258" s="155"/>
      <c r="G258" s="155"/>
    </row>
    <row r="259" ht="15.75" customHeight="1">
      <c r="A259" s="180"/>
      <c r="C259" s="181"/>
      <c r="D259" s="155"/>
      <c r="E259" s="155"/>
      <c r="F259" s="155"/>
      <c r="G259" s="155"/>
    </row>
    <row r="260" ht="15.75" customHeight="1">
      <c r="A260" s="180"/>
      <c r="C260" s="181"/>
      <c r="D260" s="155"/>
      <c r="E260" s="155"/>
      <c r="F260" s="155"/>
      <c r="G260" s="155"/>
    </row>
    <row r="261" ht="15.75" customHeight="1">
      <c r="A261" s="180"/>
      <c r="C261" s="181"/>
      <c r="D261" s="155"/>
      <c r="E261" s="155"/>
      <c r="F261" s="155"/>
      <c r="G261" s="155"/>
    </row>
    <row r="262" ht="15.75" customHeight="1">
      <c r="A262" s="180"/>
      <c r="C262" s="181"/>
      <c r="D262" s="155"/>
      <c r="E262" s="155"/>
      <c r="F262" s="155"/>
      <c r="G262" s="155"/>
    </row>
    <row r="263" ht="15.75" customHeight="1">
      <c r="A263" s="180"/>
      <c r="C263" s="181"/>
      <c r="D263" s="155"/>
      <c r="E263" s="155"/>
      <c r="F263" s="155"/>
      <c r="G263" s="155"/>
    </row>
    <row r="264" ht="15.75" customHeight="1">
      <c r="A264" s="180"/>
      <c r="C264" s="181"/>
      <c r="D264" s="155"/>
      <c r="E264" s="155"/>
      <c r="F264" s="155"/>
      <c r="G264" s="155"/>
    </row>
    <row r="265" ht="15.75" customHeight="1">
      <c r="A265" s="180"/>
      <c r="C265" s="181"/>
      <c r="D265" s="155"/>
      <c r="E265" s="155"/>
      <c r="F265" s="155"/>
      <c r="G265" s="155"/>
    </row>
    <row r="266" ht="15.75" customHeight="1">
      <c r="A266" s="180"/>
      <c r="C266" s="181"/>
      <c r="D266" s="155"/>
      <c r="E266" s="155"/>
      <c r="F266" s="155"/>
      <c r="G266" s="155"/>
    </row>
    <row r="267" ht="15.75" customHeight="1">
      <c r="A267" s="180"/>
      <c r="C267" s="181"/>
      <c r="D267" s="155"/>
      <c r="E267" s="155"/>
      <c r="F267" s="155"/>
      <c r="G267" s="155"/>
    </row>
    <row r="268" ht="15.75" customHeight="1">
      <c r="A268" s="180"/>
      <c r="C268" s="181"/>
      <c r="D268" s="155"/>
      <c r="E268" s="155"/>
      <c r="F268" s="155"/>
      <c r="G268" s="155"/>
    </row>
    <row r="269" ht="15.75" customHeight="1">
      <c r="A269" s="180"/>
      <c r="C269" s="181"/>
      <c r="D269" s="155"/>
      <c r="E269" s="155"/>
      <c r="F269" s="155"/>
      <c r="G269" s="155"/>
    </row>
    <row r="270" ht="15.75" customHeight="1">
      <c r="A270" s="180"/>
      <c r="C270" s="181"/>
      <c r="D270" s="155"/>
      <c r="E270" s="155"/>
      <c r="F270" s="155"/>
      <c r="G270" s="155"/>
    </row>
    <row r="271" ht="15.75" customHeight="1">
      <c r="A271" s="180"/>
      <c r="C271" s="181"/>
      <c r="D271" s="155"/>
      <c r="E271" s="155"/>
      <c r="F271" s="155"/>
      <c r="G271" s="155"/>
    </row>
    <row r="272" ht="15.75" customHeight="1">
      <c r="A272" s="180"/>
      <c r="C272" s="181"/>
      <c r="D272" s="155"/>
      <c r="E272" s="155"/>
      <c r="F272" s="155"/>
      <c r="G272" s="155"/>
    </row>
    <row r="273" ht="15.75" customHeight="1">
      <c r="A273" s="180"/>
      <c r="C273" s="181"/>
      <c r="D273" s="155"/>
      <c r="E273" s="155"/>
      <c r="F273" s="155"/>
      <c r="G273" s="155"/>
    </row>
    <row r="274" ht="15.75" customHeight="1">
      <c r="A274" s="180"/>
      <c r="C274" s="181"/>
      <c r="D274" s="155"/>
      <c r="E274" s="155"/>
      <c r="F274" s="155"/>
      <c r="G274" s="155"/>
    </row>
    <row r="275" ht="15.75" customHeight="1">
      <c r="A275" s="180"/>
      <c r="C275" s="181"/>
      <c r="D275" s="155"/>
      <c r="E275" s="155"/>
      <c r="F275" s="155"/>
      <c r="G275" s="155"/>
    </row>
    <row r="276" ht="15.75" customHeight="1">
      <c r="A276" s="180"/>
      <c r="C276" s="181"/>
      <c r="D276" s="155"/>
      <c r="E276" s="155"/>
      <c r="F276" s="155"/>
      <c r="G276" s="155"/>
    </row>
    <row r="277" ht="15.75" customHeight="1">
      <c r="A277" s="180"/>
      <c r="C277" s="181"/>
      <c r="D277" s="155"/>
      <c r="E277" s="155"/>
      <c r="F277" s="155"/>
      <c r="G277" s="155"/>
    </row>
    <row r="278" ht="15.75" customHeight="1">
      <c r="A278" s="180"/>
      <c r="C278" s="181"/>
      <c r="D278" s="155"/>
      <c r="E278" s="155"/>
      <c r="F278" s="155"/>
      <c r="G278" s="155"/>
    </row>
    <row r="279" ht="15.75" customHeight="1">
      <c r="A279" s="180"/>
      <c r="C279" s="181"/>
      <c r="D279" s="155"/>
      <c r="E279" s="155"/>
      <c r="F279" s="155"/>
      <c r="G279" s="155"/>
    </row>
    <row r="280" ht="15.75" customHeight="1">
      <c r="A280" s="180"/>
      <c r="C280" s="181"/>
      <c r="D280" s="155"/>
      <c r="E280" s="155"/>
      <c r="F280" s="155"/>
      <c r="G280" s="155"/>
    </row>
    <row r="281" ht="15.75" customHeight="1">
      <c r="A281" s="180"/>
      <c r="C281" s="181"/>
      <c r="D281" s="155"/>
      <c r="E281" s="155"/>
      <c r="F281" s="155"/>
      <c r="G281" s="155"/>
    </row>
    <row r="282" ht="15.75" customHeight="1">
      <c r="A282" s="180"/>
      <c r="C282" s="181"/>
      <c r="D282" s="155"/>
      <c r="E282" s="155"/>
      <c r="F282" s="155"/>
      <c r="G282" s="155"/>
    </row>
    <row r="283" ht="15.75" customHeight="1">
      <c r="A283" s="180"/>
      <c r="C283" s="181"/>
      <c r="D283" s="155"/>
      <c r="E283" s="155"/>
      <c r="F283" s="155"/>
      <c r="G283" s="155"/>
    </row>
    <row r="284" ht="15.75" customHeight="1">
      <c r="A284" s="180"/>
      <c r="C284" s="181"/>
      <c r="D284" s="155"/>
      <c r="E284" s="155"/>
      <c r="F284" s="155"/>
      <c r="G284" s="155"/>
    </row>
    <row r="285" ht="15.75" customHeight="1">
      <c r="A285" s="180"/>
      <c r="C285" s="181"/>
      <c r="D285" s="155"/>
      <c r="E285" s="155"/>
      <c r="F285" s="155"/>
      <c r="G285" s="155"/>
    </row>
    <row r="286" ht="15.75" customHeight="1">
      <c r="A286" s="180"/>
      <c r="C286" s="181"/>
      <c r="D286" s="155"/>
      <c r="E286" s="155"/>
      <c r="F286" s="155"/>
      <c r="G286" s="155"/>
    </row>
    <row r="287" ht="15.75" customHeight="1">
      <c r="A287" s="180"/>
      <c r="C287" s="181"/>
      <c r="D287" s="155"/>
      <c r="E287" s="155"/>
      <c r="F287" s="155"/>
      <c r="G287" s="155"/>
    </row>
    <row r="288" ht="15.75" customHeight="1">
      <c r="A288" s="180"/>
      <c r="C288" s="181"/>
      <c r="D288" s="155"/>
      <c r="E288" s="155"/>
      <c r="F288" s="155"/>
      <c r="G288" s="155"/>
    </row>
    <row r="289" ht="15.75" customHeight="1">
      <c r="A289" s="180"/>
      <c r="C289" s="181"/>
      <c r="D289" s="155"/>
      <c r="E289" s="155"/>
      <c r="F289" s="155"/>
      <c r="G289" s="155"/>
    </row>
    <row r="290" ht="15.75" customHeight="1">
      <c r="A290" s="180"/>
      <c r="C290" s="181"/>
      <c r="D290" s="155"/>
      <c r="E290" s="155"/>
      <c r="F290" s="155"/>
      <c r="G290" s="155"/>
    </row>
    <row r="291" ht="15.75" customHeight="1">
      <c r="A291" s="180"/>
      <c r="C291" s="181"/>
      <c r="D291" s="155"/>
      <c r="E291" s="155"/>
      <c r="F291" s="155"/>
      <c r="G291" s="155"/>
    </row>
    <row r="292" ht="15.75" customHeight="1">
      <c r="A292" s="180"/>
      <c r="C292" s="181"/>
      <c r="D292" s="155"/>
      <c r="E292" s="155"/>
      <c r="F292" s="155"/>
      <c r="G292" s="155"/>
    </row>
    <row r="293" ht="15.75" customHeight="1">
      <c r="A293" s="180"/>
      <c r="C293" s="181"/>
      <c r="D293" s="155"/>
      <c r="E293" s="155"/>
      <c r="F293" s="155"/>
      <c r="G293" s="155"/>
    </row>
    <row r="294" ht="15.75" customHeight="1">
      <c r="A294" s="180"/>
      <c r="C294" s="181"/>
      <c r="D294" s="155"/>
      <c r="E294" s="155"/>
      <c r="F294" s="155"/>
      <c r="G294" s="155"/>
    </row>
    <row r="295" ht="15.75" customHeight="1">
      <c r="A295" s="180"/>
      <c r="C295" s="181"/>
      <c r="D295" s="155"/>
      <c r="E295" s="155"/>
      <c r="F295" s="155"/>
      <c r="G295" s="155"/>
    </row>
    <row r="296" ht="15.75" customHeight="1">
      <c r="A296" s="180"/>
      <c r="C296" s="181"/>
      <c r="D296" s="155"/>
      <c r="E296" s="155"/>
      <c r="F296" s="155"/>
      <c r="G296" s="155"/>
    </row>
    <row r="297" ht="15.75" customHeight="1">
      <c r="A297" s="180"/>
      <c r="C297" s="181"/>
      <c r="D297" s="155"/>
      <c r="E297" s="155"/>
      <c r="F297" s="155"/>
      <c r="G297" s="155"/>
    </row>
    <row r="298" ht="15.75" customHeight="1">
      <c r="A298" s="180"/>
      <c r="C298" s="181"/>
      <c r="D298" s="155"/>
      <c r="E298" s="155"/>
      <c r="F298" s="155"/>
      <c r="G298" s="155"/>
    </row>
    <row r="299" ht="15.75" customHeight="1">
      <c r="A299" s="180"/>
      <c r="C299" s="181"/>
      <c r="D299" s="155"/>
      <c r="E299" s="155"/>
      <c r="F299" s="155"/>
      <c r="G299" s="155"/>
    </row>
    <row r="300" ht="15.75" customHeight="1">
      <c r="A300" s="180"/>
      <c r="C300" s="181"/>
      <c r="D300" s="155"/>
      <c r="E300" s="155"/>
      <c r="F300" s="155"/>
      <c r="G300" s="155"/>
    </row>
    <row r="301" ht="15.75" customHeight="1">
      <c r="A301" s="180"/>
      <c r="C301" s="181"/>
      <c r="D301" s="155"/>
      <c r="E301" s="155"/>
      <c r="F301" s="155"/>
      <c r="G301" s="155"/>
    </row>
    <row r="302" ht="15.75" customHeight="1">
      <c r="A302" s="180"/>
      <c r="C302" s="181"/>
      <c r="D302" s="155"/>
      <c r="E302" s="155"/>
      <c r="F302" s="155"/>
      <c r="G302" s="155"/>
    </row>
    <row r="303" ht="15.75" customHeight="1">
      <c r="A303" s="180"/>
      <c r="C303" s="181"/>
      <c r="D303" s="155"/>
      <c r="E303" s="155"/>
      <c r="F303" s="155"/>
      <c r="G303" s="155"/>
    </row>
    <row r="304" ht="15.75" customHeight="1">
      <c r="A304" s="180"/>
      <c r="C304" s="181"/>
      <c r="D304" s="155"/>
      <c r="E304" s="155"/>
      <c r="F304" s="155"/>
      <c r="G304" s="155"/>
    </row>
    <row r="305" ht="15.75" customHeight="1">
      <c r="A305" s="180"/>
      <c r="C305" s="181"/>
      <c r="D305" s="155"/>
      <c r="E305" s="155"/>
      <c r="F305" s="155"/>
      <c r="G305" s="155"/>
    </row>
    <row r="306" ht="15.75" customHeight="1">
      <c r="A306" s="180"/>
      <c r="C306" s="181"/>
      <c r="D306" s="155"/>
      <c r="E306" s="155"/>
      <c r="F306" s="155"/>
      <c r="G306" s="155"/>
    </row>
    <row r="307" ht="15.75" customHeight="1">
      <c r="A307" s="180"/>
      <c r="C307" s="181"/>
      <c r="D307" s="155"/>
      <c r="E307" s="155"/>
      <c r="F307" s="155"/>
      <c r="G307" s="155"/>
    </row>
    <row r="308" ht="15.75" customHeight="1">
      <c r="A308" s="180"/>
      <c r="C308" s="181"/>
      <c r="D308" s="155"/>
      <c r="E308" s="155"/>
      <c r="F308" s="155"/>
      <c r="G308" s="155"/>
    </row>
    <row r="309" ht="15.75" customHeight="1">
      <c r="A309" s="180"/>
      <c r="C309" s="181"/>
      <c r="D309" s="155"/>
      <c r="E309" s="155"/>
      <c r="F309" s="155"/>
      <c r="G309" s="155"/>
    </row>
    <row r="310" ht="15.75" customHeight="1">
      <c r="A310" s="180"/>
      <c r="C310" s="181"/>
      <c r="D310" s="155"/>
      <c r="E310" s="155"/>
      <c r="F310" s="155"/>
      <c r="G310" s="155"/>
    </row>
    <row r="311" ht="15.75" customHeight="1">
      <c r="A311" s="180"/>
      <c r="C311" s="181"/>
      <c r="D311" s="155"/>
      <c r="E311" s="155"/>
      <c r="F311" s="155"/>
      <c r="G311" s="155"/>
    </row>
    <row r="312" ht="15.75" customHeight="1">
      <c r="A312" s="180"/>
      <c r="C312" s="181"/>
      <c r="D312" s="155"/>
      <c r="E312" s="155"/>
      <c r="F312" s="155"/>
      <c r="G312" s="155"/>
    </row>
    <row r="313" ht="15.75" customHeight="1">
      <c r="A313" s="180"/>
      <c r="C313" s="181"/>
      <c r="D313" s="155"/>
      <c r="E313" s="155"/>
      <c r="F313" s="155"/>
      <c r="G313" s="155"/>
    </row>
    <row r="314" ht="15.75" customHeight="1">
      <c r="A314" s="180"/>
      <c r="C314" s="181"/>
      <c r="D314" s="155"/>
      <c r="E314" s="155"/>
      <c r="F314" s="155"/>
      <c r="G314" s="155"/>
    </row>
    <row r="315" ht="15.75" customHeight="1">
      <c r="A315" s="180"/>
      <c r="C315" s="181"/>
      <c r="D315" s="155"/>
      <c r="E315" s="155"/>
      <c r="F315" s="155"/>
      <c r="G315" s="155"/>
    </row>
    <row r="316" ht="15.75" customHeight="1">
      <c r="A316" s="180"/>
      <c r="C316" s="181"/>
      <c r="D316" s="155"/>
      <c r="E316" s="155"/>
      <c r="F316" s="155"/>
      <c r="G316" s="155"/>
    </row>
    <row r="317" ht="15.75" customHeight="1">
      <c r="A317" s="180"/>
      <c r="C317" s="181"/>
      <c r="D317" s="155"/>
      <c r="E317" s="155"/>
      <c r="F317" s="155"/>
      <c r="G317" s="155"/>
    </row>
    <row r="318" ht="15.75" customHeight="1">
      <c r="A318" s="180"/>
      <c r="C318" s="181"/>
      <c r="D318" s="155"/>
      <c r="E318" s="155"/>
      <c r="F318" s="155"/>
      <c r="G318" s="155"/>
    </row>
    <row r="319" ht="15.75" customHeight="1">
      <c r="A319" s="180"/>
      <c r="C319" s="181"/>
      <c r="D319" s="155"/>
      <c r="E319" s="155"/>
      <c r="F319" s="155"/>
      <c r="G319" s="155"/>
    </row>
    <row r="320" ht="15.75" customHeight="1">
      <c r="A320" s="180"/>
      <c r="C320" s="181"/>
      <c r="D320" s="155"/>
      <c r="E320" s="155"/>
      <c r="F320" s="155"/>
      <c r="G320" s="155"/>
    </row>
    <row r="321" ht="15.75" customHeight="1">
      <c r="A321" s="180"/>
      <c r="C321" s="181"/>
      <c r="D321" s="155"/>
      <c r="E321" s="155"/>
      <c r="F321" s="155"/>
      <c r="G321" s="155"/>
    </row>
    <row r="322" ht="15.75" customHeight="1">
      <c r="A322" s="180"/>
      <c r="C322" s="181"/>
      <c r="D322" s="155"/>
      <c r="E322" s="155"/>
      <c r="F322" s="155"/>
      <c r="G322" s="155"/>
    </row>
    <row r="323" ht="15.75" customHeight="1">
      <c r="A323" s="180"/>
      <c r="C323" s="181"/>
      <c r="D323" s="155"/>
      <c r="E323" s="155"/>
      <c r="F323" s="155"/>
      <c r="G323" s="155"/>
    </row>
    <row r="324" ht="15.75" customHeight="1">
      <c r="A324" s="180"/>
      <c r="C324" s="181"/>
      <c r="D324" s="155"/>
      <c r="E324" s="155"/>
      <c r="F324" s="155"/>
      <c r="G324" s="155"/>
    </row>
    <row r="325" ht="15.75" customHeight="1">
      <c r="A325" s="180"/>
      <c r="C325" s="181"/>
      <c r="D325" s="155"/>
      <c r="E325" s="155"/>
      <c r="F325" s="155"/>
      <c r="G325" s="155"/>
    </row>
    <row r="326" ht="15.75" customHeight="1">
      <c r="A326" s="180"/>
      <c r="C326" s="181"/>
      <c r="D326" s="155"/>
      <c r="E326" s="155"/>
      <c r="F326" s="155"/>
      <c r="G326" s="155"/>
    </row>
    <row r="327" ht="15.75" customHeight="1">
      <c r="A327" s="180"/>
      <c r="C327" s="181"/>
      <c r="D327" s="155"/>
      <c r="E327" s="155"/>
      <c r="F327" s="155"/>
      <c r="G327" s="155"/>
    </row>
    <row r="328" ht="15.75" customHeight="1">
      <c r="A328" s="180"/>
      <c r="C328" s="181"/>
      <c r="D328" s="155"/>
      <c r="E328" s="155"/>
      <c r="F328" s="155"/>
      <c r="G328" s="155"/>
    </row>
    <row r="329" ht="15.75" customHeight="1">
      <c r="A329" s="180"/>
      <c r="C329" s="181"/>
      <c r="D329" s="155"/>
      <c r="E329" s="155"/>
      <c r="F329" s="155"/>
      <c r="G329" s="155"/>
    </row>
    <row r="330" ht="15.75" customHeight="1">
      <c r="A330" s="180"/>
      <c r="C330" s="181"/>
      <c r="D330" s="155"/>
      <c r="E330" s="155"/>
      <c r="F330" s="155"/>
      <c r="G330" s="155"/>
    </row>
    <row r="331" ht="15.75" customHeight="1">
      <c r="A331" s="180"/>
      <c r="C331" s="181"/>
      <c r="D331" s="155"/>
      <c r="E331" s="155"/>
      <c r="F331" s="155"/>
      <c r="G331" s="155"/>
    </row>
    <row r="332" ht="15.75" customHeight="1">
      <c r="A332" s="180"/>
      <c r="C332" s="181"/>
      <c r="D332" s="155"/>
      <c r="E332" s="155"/>
      <c r="F332" s="155"/>
      <c r="G332" s="155"/>
    </row>
    <row r="333" ht="15.75" customHeight="1">
      <c r="A333" s="180"/>
      <c r="C333" s="181"/>
      <c r="D333" s="155"/>
      <c r="E333" s="155"/>
      <c r="F333" s="155"/>
      <c r="G333" s="155"/>
    </row>
    <row r="334" ht="15.75" customHeight="1">
      <c r="A334" s="180"/>
      <c r="C334" s="181"/>
      <c r="D334" s="155"/>
      <c r="E334" s="155"/>
      <c r="F334" s="155"/>
      <c r="G334" s="155"/>
    </row>
    <row r="335" ht="15.75" customHeight="1">
      <c r="A335" s="180"/>
      <c r="C335" s="181"/>
      <c r="D335" s="155"/>
      <c r="E335" s="155"/>
      <c r="F335" s="155"/>
      <c r="G335" s="155"/>
    </row>
    <row r="336" ht="15.75" customHeight="1">
      <c r="A336" s="180"/>
      <c r="C336" s="181"/>
      <c r="D336" s="155"/>
      <c r="E336" s="155"/>
      <c r="F336" s="155"/>
      <c r="G336" s="155"/>
    </row>
    <row r="337" ht="15.75" customHeight="1">
      <c r="A337" s="180"/>
      <c r="C337" s="181"/>
      <c r="D337" s="155"/>
      <c r="E337" s="155"/>
      <c r="F337" s="155"/>
      <c r="G337" s="155"/>
    </row>
    <row r="338" ht="15.75" customHeight="1">
      <c r="A338" s="180"/>
      <c r="C338" s="181"/>
      <c r="D338" s="155"/>
      <c r="E338" s="155"/>
      <c r="F338" s="155"/>
      <c r="G338" s="155"/>
    </row>
    <row r="339" ht="15.75" customHeight="1">
      <c r="A339" s="180"/>
      <c r="C339" s="181"/>
      <c r="D339" s="155"/>
      <c r="E339" s="155"/>
      <c r="F339" s="155"/>
      <c r="G339" s="155"/>
    </row>
    <row r="340" ht="15.75" customHeight="1">
      <c r="A340" s="180"/>
      <c r="C340" s="181"/>
      <c r="D340" s="155"/>
      <c r="E340" s="155"/>
      <c r="F340" s="155"/>
      <c r="G340" s="155"/>
    </row>
    <row r="341" ht="15.75" customHeight="1">
      <c r="A341" s="180"/>
      <c r="C341" s="181"/>
      <c r="D341" s="155"/>
      <c r="E341" s="155"/>
      <c r="F341" s="155"/>
      <c r="G341" s="155"/>
    </row>
    <row r="342" ht="15.75" customHeight="1">
      <c r="A342" s="180"/>
      <c r="C342" s="181"/>
      <c r="D342" s="155"/>
      <c r="E342" s="155"/>
      <c r="F342" s="155"/>
      <c r="G342" s="155"/>
    </row>
    <row r="343" ht="15.75" customHeight="1">
      <c r="A343" s="180"/>
      <c r="C343" s="181"/>
      <c r="D343" s="155"/>
      <c r="E343" s="155"/>
      <c r="F343" s="155"/>
      <c r="G343" s="155"/>
    </row>
    <row r="344" ht="15.75" customHeight="1">
      <c r="A344" s="180"/>
      <c r="C344" s="181"/>
      <c r="D344" s="155"/>
      <c r="E344" s="155"/>
      <c r="F344" s="155"/>
      <c r="G344" s="155"/>
    </row>
    <row r="345" ht="15.75" customHeight="1">
      <c r="A345" s="180"/>
      <c r="C345" s="181"/>
      <c r="D345" s="155"/>
      <c r="E345" s="155"/>
      <c r="F345" s="155"/>
      <c r="G345" s="155"/>
    </row>
    <row r="346" ht="15.75" customHeight="1">
      <c r="A346" s="180"/>
      <c r="C346" s="181"/>
      <c r="D346" s="155"/>
      <c r="E346" s="155"/>
      <c r="F346" s="155"/>
      <c r="G346" s="155"/>
    </row>
    <row r="347" ht="15.75" customHeight="1">
      <c r="A347" s="180"/>
      <c r="C347" s="181"/>
      <c r="D347" s="155"/>
      <c r="E347" s="155"/>
      <c r="F347" s="155"/>
      <c r="G347" s="155"/>
    </row>
    <row r="348" ht="15.75" customHeight="1">
      <c r="A348" s="180"/>
      <c r="C348" s="181"/>
      <c r="D348" s="155"/>
      <c r="E348" s="155"/>
      <c r="F348" s="155"/>
      <c r="G348" s="155"/>
    </row>
    <row r="349" ht="15.75" customHeight="1">
      <c r="A349" s="180"/>
      <c r="C349" s="181"/>
      <c r="D349" s="155"/>
      <c r="E349" s="155"/>
      <c r="F349" s="155"/>
      <c r="G349" s="155"/>
    </row>
    <row r="350" ht="15.75" customHeight="1">
      <c r="A350" s="180"/>
      <c r="C350" s="181"/>
      <c r="D350" s="155"/>
      <c r="E350" s="155"/>
      <c r="F350" s="155"/>
      <c r="G350" s="155"/>
    </row>
    <row r="351" ht="15.75" customHeight="1">
      <c r="A351" s="180"/>
      <c r="C351" s="181"/>
      <c r="D351" s="155"/>
      <c r="E351" s="155"/>
      <c r="F351" s="155"/>
      <c r="G351" s="155"/>
    </row>
    <row r="352" ht="15.75" customHeight="1">
      <c r="A352" s="180"/>
      <c r="C352" s="181"/>
      <c r="D352" s="155"/>
      <c r="E352" s="155"/>
      <c r="F352" s="155"/>
      <c r="G352" s="155"/>
    </row>
    <row r="353" ht="15.75" customHeight="1">
      <c r="A353" s="180"/>
      <c r="C353" s="181"/>
      <c r="D353" s="155"/>
      <c r="E353" s="155"/>
      <c r="F353" s="155"/>
      <c r="G353" s="155"/>
    </row>
    <row r="354" ht="15.75" customHeight="1">
      <c r="A354" s="180"/>
      <c r="C354" s="181"/>
      <c r="D354" s="155"/>
      <c r="E354" s="155"/>
      <c r="F354" s="155"/>
      <c r="G354" s="155"/>
    </row>
    <row r="355" ht="15.75" customHeight="1">
      <c r="A355" s="180"/>
      <c r="C355" s="181"/>
      <c r="D355" s="155"/>
      <c r="E355" s="155"/>
      <c r="F355" s="155"/>
      <c r="G355" s="155"/>
    </row>
    <row r="356" ht="15.75" customHeight="1">
      <c r="A356" s="180"/>
      <c r="C356" s="181"/>
      <c r="D356" s="155"/>
      <c r="E356" s="155"/>
      <c r="F356" s="155"/>
      <c r="G356" s="155"/>
    </row>
    <row r="357" ht="15.75" customHeight="1">
      <c r="A357" s="180"/>
      <c r="C357" s="181"/>
      <c r="D357" s="155"/>
      <c r="E357" s="155"/>
      <c r="F357" s="155"/>
      <c r="G357" s="155"/>
    </row>
    <row r="358" ht="15.75" customHeight="1">
      <c r="A358" s="180"/>
      <c r="C358" s="181"/>
      <c r="D358" s="155"/>
      <c r="E358" s="155"/>
      <c r="F358" s="155"/>
      <c r="G358" s="155"/>
    </row>
    <row r="359" ht="15.75" customHeight="1">
      <c r="A359" s="180"/>
      <c r="C359" s="181"/>
      <c r="D359" s="155"/>
      <c r="E359" s="155"/>
      <c r="F359" s="155"/>
      <c r="G359" s="155"/>
    </row>
    <row r="360" ht="15.75" customHeight="1">
      <c r="A360" s="180"/>
      <c r="C360" s="181"/>
      <c r="D360" s="155"/>
      <c r="E360" s="155"/>
      <c r="F360" s="155"/>
      <c r="G360" s="155"/>
    </row>
    <row r="361" ht="15.75" customHeight="1">
      <c r="A361" s="180"/>
      <c r="C361" s="181"/>
      <c r="D361" s="155"/>
      <c r="E361" s="155"/>
      <c r="F361" s="155"/>
      <c r="G361" s="155"/>
    </row>
    <row r="362" ht="15.75" customHeight="1">
      <c r="A362" s="180"/>
      <c r="C362" s="181"/>
      <c r="D362" s="155"/>
      <c r="E362" s="155"/>
      <c r="F362" s="155"/>
      <c r="G362" s="155"/>
    </row>
    <row r="363" ht="15.75" customHeight="1">
      <c r="A363" s="180"/>
      <c r="C363" s="181"/>
      <c r="D363" s="155"/>
      <c r="E363" s="155"/>
      <c r="F363" s="155"/>
      <c r="G363" s="155"/>
    </row>
    <row r="364" ht="15.75" customHeight="1">
      <c r="A364" s="180"/>
      <c r="C364" s="181"/>
      <c r="D364" s="155"/>
      <c r="E364" s="155"/>
      <c r="F364" s="155"/>
      <c r="G364" s="155"/>
    </row>
    <row r="365" ht="15.75" customHeight="1">
      <c r="A365" s="180"/>
      <c r="C365" s="181"/>
      <c r="D365" s="155"/>
      <c r="E365" s="155"/>
      <c r="F365" s="155"/>
      <c r="G365" s="155"/>
    </row>
    <row r="366" ht="15.75" customHeight="1">
      <c r="A366" s="180"/>
      <c r="C366" s="181"/>
      <c r="D366" s="155"/>
      <c r="E366" s="155"/>
      <c r="F366" s="155"/>
      <c r="G366" s="155"/>
    </row>
    <row r="367" ht="15.75" customHeight="1">
      <c r="A367" s="180"/>
      <c r="C367" s="181"/>
      <c r="D367" s="155"/>
      <c r="E367" s="155"/>
      <c r="F367" s="155"/>
      <c r="G367" s="155"/>
    </row>
    <row r="368" ht="15.75" customHeight="1">
      <c r="A368" s="180"/>
      <c r="C368" s="181"/>
      <c r="D368" s="155"/>
      <c r="E368" s="155"/>
      <c r="F368" s="155"/>
      <c r="G368" s="155"/>
    </row>
    <row r="369" ht="15.75" customHeight="1">
      <c r="A369" s="180"/>
      <c r="C369" s="181"/>
      <c r="D369" s="155"/>
      <c r="E369" s="155"/>
      <c r="F369" s="155"/>
      <c r="G369" s="155"/>
    </row>
    <row r="370" ht="15.75" customHeight="1">
      <c r="A370" s="180"/>
      <c r="C370" s="181"/>
      <c r="D370" s="155"/>
      <c r="E370" s="155"/>
      <c r="F370" s="155"/>
      <c r="G370" s="155"/>
    </row>
    <row r="371" ht="15.75" customHeight="1">
      <c r="A371" s="180"/>
      <c r="C371" s="181"/>
      <c r="D371" s="155"/>
      <c r="E371" s="155"/>
      <c r="F371" s="155"/>
      <c r="G371" s="155"/>
    </row>
    <row r="372" ht="15.75" customHeight="1">
      <c r="A372" s="180"/>
      <c r="C372" s="181"/>
      <c r="D372" s="155"/>
      <c r="E372" s="155"/>
      <c r="F372" s="155"/>
      <c r="G372" s="155"/>
    </row>
    <row r="373" ht="15.75" customHeight="1">
      <c r="A373" s="180"/>
      <c r="C373" s="181"/>
      <c r="D373" s="155"/>
      <c r="E373" s="155"/>
      <c r="F373" s="155"/>
      <c r="G373" s="155"/>
    </row>
    <row r="374" ht="15.75" customHeight="1">
      <c r="A374" s="180"/>
      <c r="C374" s="181"/>
      <c r="D374" s="155"/>
      <c r="E374" s="155"/>
      <c r="F374" s="155"/>
      <c r="G374" s="155"/>
    </row>
    <row r="375" ht="15.75" customHeight="1">
      <c r="A375" s="180"/>
      <c r="C375" s="181"/>
      <c r="D375" s="155"/>
      <c r="E375" s="155"/>
      <c r="F375" s="155"/>
      <c r="G375" s="155"/>
    </row>
    <row r="376" ht="15.75" customHeight="1">
      <c r="A376" s="180"/>
      <c r="C376" s="181"/>
      <c r="D376" s="155"/>
      <c r="E376" s="155"/>
      <c r="F376" s="155"/>
      <c r="G376" s="155"/>
    </row>
    <row r="377" ht="15.75" customHeight="1">
      <c r="A377" s="180"/>
      <c r="C377" s="181"/>
      <c r="D377" s="155"/>
      <c r="E377" s="155"/>
      <c r="F377" s="155"/>
      <c r="G377" s="155"/>
    </row>
    <row r="378" ht="15.75" customHeight="1">
      <c r="A378" s="180"/>
      <c r="C378" s="181"/>
      <c r="D378" s="155"/>
      <c r="E378" s="155"/>
      <c r="F378" s="155"/>
      <c r="G378" s="155"/>
    </row>
    <row r="379" ht="15.75" customHeight="1">
      <c r="A379" s="180"/>
      <c r="C379" s="181"/>
      <c r="D379" s="155"/>
      <c r="E379" s="155"/>
      <c r="F379" s="155"/>
      <c r="G379" s="155"/>
    </row>
    <row r="380" ht="15.75" customHeight="1">
      <c r="A380" s="180"/>
      <c r="C380" s="181"/>
      <c r="D380" s="155"/>
      <c r="E380" s="155"/>
      <c r="F380" s="155"/>
      <c r="G380" s="155"/>
    </row>
    <row r="381" ht="15.75" customHeight="1">
      <c r="A381" s="180"/>
      <c r="C381" s="181"/>
      <c r="D381" s="155"/>
      <c r="E381" s="155"/>
      <c r="F381" s="155"/>
      <c r="G381" s="155"/>
    </row>
    <row r="382" ht="15.75" customHeight="1">
      <c r="A382" s="180"/>
      <c r="C382" s="181"/>
      <c r="D382" s="155"/>
      <c r="E382" s="155"/>
      <c r="F382" s="155"/>
      <c r="G382" s="155"/>
    </row>
    <row r="383" ht="15.75" customHeight="1">
      <c r="A383" s="180"/>
      <c r="C383" s="181"/>
      <c r="D383" s="155"/>
      <c r="E383" s="155"/>
      <c r="F383" s="155"/>
      <c r="G383" s="155"/>
    </row>
    <row r="384" ht="15.75" customHeight="1">
      <c r="A384" s="180"/>
      <c r="C384" s="181"/>
      <c r="D384" s="155"/>
      <c r="E384" s="155"/>
      <c r="F384" s="155"/>
      <c r="G384" s="155"/>
    </row>
    <row r="385" ht="15.75" customHeight="1">
      <c r="A385" s="180"/>
      <c r="C385" s="181"/>
      <c r="D385" s="155"/>
      <c r="E385" s="155"/>
      <c r="F385" s="155"/>
      <c r="G385" s="155"/>
    </row>
    <row r="386" ht="15.75" customHeight="1">
      <c r="A386" s="180"/>
      <c r="C386" s="181"/>
      <c r="D386" s="155"/>
      <c r="E386" s="155"/>
      <c r="F386" s="155"/>
      <c r="G386" s="155"/>
    </row>
    <row r="387" ht="15.75" customHeight="1">
      <c r="A387" s="180"/>
      <c r="C387" s="181"/>
      <c r="D387" s="155"/>
      <c r="E387" s="155"/>
      <c r="F387" s="155"/>
      <c r="G387" s="155"/>
    </row>
    <row r="388" ht="15.75" customHeight="1">
      <c r="A388" s="180"/>
      <c r="C388" s="181"/>
      <c r="D388" s="155"/>
      <c r="E388" s="155"/>
      <c r="F388" s="155"/>
      <c r="G388" s="155"/>
    </row>
    <row r="389" ht="15.75" customHeight="1">
      <c r="A389" s="180"/>
      <c r="C389" s="181"/>
      <c r="D389" s="155"/>
      <c r="E389" s="155"/>
      <c r="F389" s="155"/>
      <c r="G389" s="155"/>
    </row>
    <row r="390" ht="15.75" customHeight="1">
      <c r="A390" s="180"/>
      <c r="C390" s="181"/>
      <c r="D390" s="155"/>
      <c r="E390" s="155"/>
      <c r="F390" s="155"/>
      <c r="G390" s="155"/>
    </row>
    <row r="391" ht="15.75" customHeight="1">
      <c r="A391" s="180"/>
      <c r="C391" s="181"/>
      <c r="D391" s="155"/>
      <c r="E391" s="155"/>
      <c r="F391" s="155"/>
      <c r="G391" s="155"/>
    </row>
    <row r="392" ht="15.75" customHeight="1">
      <c r="A392" s="180"/>
      <c r="C392" s="181"/>
      <c r="D392" s="155"/>
      <c r="E392" s="155"/>
      <c r="F392" s="155"/>
      <c r="G392" s="155"/>
    </row>
    <row r="393" ht="15.75" customHeight="1">
      <c r="A393" s="180"/>
      <c r="C393" s="181"/>
      <c r="D393" s="155"/>
      <c r="E393" s="155"/>
      <c r="F393" s="155"/>
      <c r="G393" s="155"/>
    </row>
    <row r="394" ht="15.75" customHeight="1">
      <c r="A394" s="180"/>
      <c r="C394" s="181"/>
      <c r="D394" s="155"/>
      <c r="E394" s="155"/>
      <c r="F394" s="155"/>
      <c r="G394" s="155"/>
    </row>
    <row r="395" ht="15.75" customHeight="1">
      <c r="A395" s="180"/>
      <c r="C395" s="181"/>
      <c r="D395" s="155"/>
      <c r="E395" s="155"/>
      <c r="F395" s="155"/>
      <c r="G395" s="155"/>
    </row>
    <row r="396" ht="15.75" customHeight="1">
      <c r="A396" s="180"/>
      <c r="C396" s="181"/>
      <c r="D396" s="155"/>
      <c r="E396" s="155"/>
      <c r="F396" s="155"/>
      <c r="G396" s="155"/>
    </row>
    <row r="397" ht="15.75" customHeight="1">
      <c r="A397" s="180"/>
      <c r="C397" s="181"/>
      <c r="D397" s="155"/>
      <c r="E397" s="155"/>
      <c r="F397" s="155"/>
      <c r="G397" s="155"/>
    </row>
    <row r="398" ht="15.75" customHeight="1">
      <c r="A398" s="180"/>
      <c r="C398" s="181"/>
      <c r="D398" s="155"/>
      <c r="E398" s="155"/>
      <c r="F398" s="155"/>
      <c r="G398" s="155"/>
    </row>
    <row r="399" ht="15.75" customHeight="1">
      <c r="A399" s="180"/>
      <c r="C399" s="181"/>
      <c r="D399" s="155"/>
      <c r="E399" s="155"/>
      <c r="F399" s="155"/>
      <c r="G399" s="155"/>
    </row>
    <row r="400" ht="15.75" customHeight="1">
      <c r="A400" s="180"/>
      <c r="C400" s="181"/>
      <c r="D400" s="155"/>
      <c r="E400" s="155"/>
      <c r="F400" s="155"/>
      <c r="G400" s="155"/>
    </row>
    <row r="401" ht="15.75" customHeight="1">
      <c r="A401" s="180"/>
      <c r="C401" s="181"/>
      <c r="D401" s="155"/>
      <c r="E401" s="155"/>
      <c r="F401" s="155"/>
      <c r="G401" s="155"/>
    </row>
    <row r="402" ht="15.75" customHeight="1">
      <c r="A402" s="180"/>
      <c r="C402" s="181"/>
      <c r="D402" s="155"/>
      <c r="E402" s="155"/>
      <c r="F402" s="155"/>
      <c r="G402" s="155"/>
    </row>
    <row r="403" ht="15.75" customHeight="1">
      <c r="A403" s="180"/>
      <c r="C403" s="181"/>
      <c r="D403" s="155"/>
      <c r="E403" s="155"/>
      <c r="F403" s="155"/>
      <c r="G403" s="155"/>
    </row>
    <row r="404" ht="15.75" customHeight="1">
      <c r="A404" s="180"/>
      <c r="C404" s="181"/>
      <c r="D404" s="155"/>
      <c r="E404" s="155"/>
      <c r="F404" s="155"/>
      <c r="G404" s="155"/>
    </row>
    <row r="405" ht="15.75" customHeight="1">
      <c r="A405" s="180"/>
      <c r="C405" s="181"/>
      <c r="D405" s="155"/>
      <c r="E405" s="155"/>
      <c r="F405" s="155"/>
      <c r="G405" s="155"/>
    </row>
    <row r="406" ht="15.75" customHeight="1">
      <c r="A406" s="180"/>
      <c r="C406" s="181"/>
      <c r="D406" s="155"/>
      <c r="E406" s="155"/>
      <c r="F406" s="155"/>
      <c r="G406" s="155"/>
    </row>
    <row r="407" ht="15.75" customHeight="1">
      <c r="A407" s="180"/>
      <c r="C407" s="181"/>
      <c r="D407" s="155"/>
      <c r="E407" s="155"/>
      <c r="F407" s="155"/>
      <c r="G407" s="155"/>
    </row>
    <row r="408" ht="15.75" customHeight="1">
      <c r="A408" s="180"/>
      <c r="C408" s="181"/>
      <c r="D408" s="155"/>
      <c r="E408" s="155"/>
      <c r="F408" s="155"/>
      <c r="G408" s="155"/>
    </row>
    <row r="409" ht="15.75" customHeight="1">
      <c r="A409" s="180"/>
      <c r="C409" s="181"/>
      <c r="D409" s="155"/>
      <c r="E409" s="155"/>
      <c r="F409" s="155"/>
      <c r="G409" s="155"/>
    </row>
    <row r="410" ht="15.75" customHeight="1">
      <c r="A410" s="180"/>
      <c r="C410" s="181"/>
      <c r="D410" s="155"/>
      <c r="E410" s="155"/>
      <c r="F410" s="155"/>
      <c r="G410" s="155"/>
    </row>
    <row r="411" ht="15.75" customHeight="1">
      <c r="A411" s="180"/>
      <c r="C411" s="181"/>
      <c r="D411" s="155"/>
      <c r="E411" s="155"/>
      <c r="F411" s="155"/>
      <c r="G411" s="155"/>
    </row>
    <row r="412" ht="15.75" customHeight="1">
      <c r="A412" s="180"/>
      <c r="C412" s="181"/>
      <c r="D412" s="155"/>
      <c r="E412" s="155"/>
      <c r="F412" s="155"/>
      <c r="G412" s="155"/>
    </row>
    <row r="413" ht="15.75" customHeight="1">
      <c r="A413" s="180"/>
      <c r="C413" s="181"/>
      <c r="D413" s="155"/>
      <c r="E413" s="155"/>
      <c r="F413" s="155"/>
      <c r="G413" s="155"/>
    </row>
    <row r="414" ht="15.75" customHeight="1">
      <c r="A414" s="180"/>
      <c r="C414" s="181"/>
      <c r="D414" s="155"/>
      <c r="E414" s="155"/>
      <c r="F414" s="155"/>
      <c r="G414" s="155"/>
    </row>
    <row r="415" ht="15.75" customHeight="1">
      <c r="A415" s="180"/>
      <c r="C415" s="181"/>
      <c r="D415" s="155"/>
      <c r="E415" s="155"/>
      <c r="F415" s="155"/>
      <c r="G415" s="155"/>
    </row>
    <row r="416" ht="15.75" customHeight="1">
      <c r="A416" s="180"/>
      <c r="C416" s="181"/>
      <c r="D416" s="155"/>
      <c r="E416" s="155"/>
      <c r="F416" s="155"/>
      <c r="G416" s="155"/>
    </row>
    <row r="417" ht="15.75" customHeight="1">
      <c r="A417" s="180"/>
      <c r="C417" s="181"/>
      <c r="D417" s="155"/>
      <c r="E417" s="155"/>
      <c r="F417" s="155"/>
      <c r="G417" s="155"/>
    </row>
    <row r="418" ht="15.75" customHeight="1">
      <c r="A418" s="180"/>
      <c r="C418" s="181"/>
      <c r="D418" s="155"/>
      <c r="E418" s="155"/>
      <c r="F418" s="155"/>
      <c r="G418" s="155"/>
    </row>
    <row r="419" ht="15.75" customHeight="1">
      <c r="A419" s="180"/>
      <c r="C419" s="181"/>
      <c r="D419" s="155"/>
      <c r="E419" s="155"/>
      <c r="F419" s="155"/>
      <c r="G419" s="155"/>
    </row>
    <row r="420" ht="15.75" customHeight="1">
      <c r="A420" s="180"/>
      <c r="C420" s="181"/>
      <c r="D420" s="155"/>
      <c r="E420" s="155"/>
      <c r="F420" s="155"/>
      <c r="G420" s="155"/>
    </row>
    <row r="421" ht="15.75" customHeight="1">
      <c r="A421" s="180"/>
      <c r="C421" s="181"/>
      <c r="D421" s="155"/>
      <c r="E421" s="155"/>
      <c r="F421" s="155"/>
      <c r="G421" s="155"/>
    </row>
    <row r="422" ht="15.75" customHeight="1">
      <c r="A422" s="180"/>
      <c r="C422" s="181"/>
      <c r="D422" s="155"/>
      <c r="E422" s="155"/>
      <c r="F422" s="155"/>
      <c r="G422" s="155"/>
    </row>
    <row r="423" ht="15.75" customHeight="1">
      <c r="A423" s="180"/>
      <c r="C423" s="181"/>
      <c r="D423" s="155"/>
      <c r="E423" s="155"/>
      <c r="F423" s="155"/>
      <c r="G423" s="155"/>
    </row>
    <row r="424" ht="15.75" customHeight="1">
      <c r="A424" s="180"/>
      <c r="C424" s="181"/>
      <c r="D424" s="155"/>
      <c r="E424" s="155"/>
      <c r="F424" s="155"/>
      <c r="G424" s="155"/>
    </row>
    <row r="425" ht="15.75" customHeight="1">
      <c r="A425" s="180"/>
      <c r="C425" s="181"/>
      <c r="D425" s="155"/>
      <c r="E425" s="155"/>
      <c r="F425" s="155"/>
      <c r="G425" s="155"/>
    </row>
    <row r="426" ht="15.75" customHeight="1">
      <c r="A426" s="180"/>
      <c r="C426" s="181"/>
      <c r="D426" s="155"/>
      <c r="E426" s="155"/>
      <c r="F426" s="155"/>
      <c r="G426" s="155"/>
    </row>
    <row r="427" ht="15.75" customHeight="1">
      <c r="A427" s="180"/>
      <c r="C427" s="181"/>
      <c r="D427" s="155"/>
      <c r="E427" s="155"/>
      <c r="F427" s="155"/>
      <c r="G427" s="155"/>
    </row>
    <row r="428" ht="15.75" customHeight="1">
      <c r="A428" s="180"/>
      <c r="C428" s="181"/>
      <c r="D428" s="155"/>
      <c r="E428" s="155"/>
      <c r="F428" s="155"/>
      <c r="G428" s="155"/>
    </row>
    <row r="429" ht="15.75" customHeight="1">
      <c r="A429" s="180"/>
      <c r="C429" s="181"/>
      <c r="D429" s="155"/>
      <c r="E429" s="155"/>
      <c r="F429" s="155"/>
      <c r="G429" s="155"/>
    </row>
    <row r="430" ht="15.75" customHeight="1">
      <c r="A430" s="180"/>
      <c r="C430" s="181"/>
      <c r="D430" s="155"/>
      <c r="E430" s="155"/>
      <c r="F430" s="155"/>
      <c r="G430" s="155"/>
    </row>
    <row r="431" ht="15.75" customHeight="1">
      <c r="A431" s="180"/>
      <c r="C431" s="181"/>
      <c r="D431" s="155"/>
      <c r="E431" s="155"/>
      <c r="F431" s="155"/>
      <c r="G431" s="155"/>
    </row>
    <row r="432" ht="15.75" customHeight="1">
      <c r="A432" s="180"/>
      <c r="C432" s="181"/>
      <c r="D432" s="155"/>
      <c r="E432" s="155"/>
      <c r="F432" s="155"/>
      <c r="G432" s="155"/>
    </row>
    <row r="433" ht="15.75" customHeight="1">
      <c r="A433" s="180"/>
      <c r="C433" s="181"/>
      <c r="D433" s="155"/>
      <c r="E433" s="155"/>
      <c r="F433" s="155"/>
      <c r="G433" s="155"/>
    </row>
    <row r="434" ht="15.75" customHeight="1">
      <c r="A434" s="180"/>
      <c r="C434" s="181"/>
      <c r="D434" s="155"/>
      <c r="E434" s="155"/>
      <c r="F434" s="155"/>
      <c r="G434" s="155"/>
    </row>
    <row r="435" ht="15.75" customHeight="1">
      <c r="A435" s="180"/>
      <c r="C435" s="181"/>
      <c r="D435" s="155"/>
      <c r="E435" s="155"/>
      <c r="F435" s="155"/>
      <c r="G435" s="155"/>
    </row>
    <row r="436" ht="15.75" customHeight="1">
      <c r="A436" s="180"/>
      <c r="C436" s="181"/>
      <c r="D436" s="155"/>
      <c r="E436" s="155"/>
      <c r="F436" s="155"/>
      <c r="G436" s="155"/>
    </row>
    <row r="437" ht="15.75" customHeight="1">
      <c r="A437" s="180"/>
      <c r="C437" s="181"/>
      <c r="D437" s="155"/>
      <c r="E437" s="155"/>
      <c r="F437" s="155"/>
      <c r="G437" s="155"/>
    </row>
    <row r="438" ht="15.75" customHeight="1">
      <c r="A438" s="180"/>
      <c r="C438" s="181"/>
      <c r="D438" s="155"/>
      <c r="E438" s="155"/>
      <c r="F438" s="155"/>
      <c r="G438" s="155"/>
    </row>
    <row r="439" ht="15.75" customHeight="1">
      <c r="A439" s="180"/>
      <c r="C439" s="181"/>
      <c r="D439" s="155"/>
      <c r="E439" s="155"/>
      <c r="F439" s="155"/>
      <c r="G439" s="155"/>
    </row>
    <row r="440" ht="15.75" customHeight="1">
      <c r="A440" s="180"/>
      <c r="C440" s="181"/>
      <c r="D440" s="155"/>
      <c r="E440" s="155"/>
      <c r="F440" s="155"/>
      <c r="G440" s="155"/>
    </row>
    <row r="441" ht="15.75" customHeight="1">
      <c r="A441" s="180"/>
      <c r="C441" s="181"/>
      <c r="D441" s="155"/>
      <c r="E441" s="155"/>
      <c r="F441" s="155"/>
      <c r="G441" s="155"/>
    </row>
    <row r="442" ht="15.75" customHeight="1">
      <c r="A442" s="180"/>
      <c r="C442" s="181"/>
      <c r="D442" s="155"/>
      <c r="E442" s="155"/>
      <c r="F442" s="155"/>
      <c r="G442" s="155"/>
    </row>
    <row r="443" ht="15.75" customHeight="1">
      <c r="A443" s="180"/>
      <c r="C443" s="181"/>
      <c r="D443" s="155"/>
      <c r="E443" s="155"/>
      <c r="F443" s="155"/>
      <c r="G443" s="155"/>
    </row>
    <row r="444" ht="15.75" customHeight="1">
      <c r="A444" s="180"/>
      <c r="C444" s="181"/>
      <c r="D444" s="155"/>
      <c r="E444" s="155"/>
      <c r="F444" s="155"/>
      <c r="G444" s="155"/>
    </row>
    <row r="445" ht="15.75" customHeight="1">
      <c r="A445" s="180"/>
      <c r="C445" s="181"/>
      <c r="D445" s="155"/>
      <c r="E445" s="155"/>
      <c r="F445" s="155"/>
      <c r="G445" s="155"/>
    </row>
    <row r="446" ht="15.75" customHeight="1">
      <c r="A446" s="180"/>
      <c r="C446" s="181"/>
      <c r="D446" s="155"/>
      <c r="E446" s="155"/>
      <c r="F446" s="155"/>
      <c r="G446" s="155"/>
    </row>
    <row r="447" ht="15.75" customHeight="1">
      <c r="A447" s="180"/>
      <c r="C447" s="181"/>
      <c r="D447" s="155"/>
      <c r="E447" s="155"/>
      <c r="F447" s="155"/>
      <c r="G447" s="155"/>
    </row>
    <row r="448" ht="15.75" customHeight="1">
      <c r="A448" s="180"/>
      <c r="C448" s="181"/>
      <c r="D448" s="155"/>
      <c r="E448" s="155"/>
      <c r="F448" s="155"/>
      <c r="G448" s="155"/>
    </row>
    <row r="449" ht="15.75" customHeight="1">
      <c r="A449" s="180"/>
      <c r="C449" s="181"/>
      <c r="D449" s="155"/>
      <c r="E449" s="155"/>
      <c r="F449" s="155"/>
      <c r="G449" s="155"/>
    </row>
    <row r="450" ht="15.75" customHeight="1">
      <c r="A450" s="180"/>
      <c r="C450" s="181"/>
      <c r="D450" s="155"/>
      <c r="E450" s="155"/>
      <c r="F450" s="155"/>
      <c r="G450" s="155"/>
    </row>
    <row r="451" ht="15.75" customHeight="1">
      <c r="A451" s="180"/>
      <c r="C451" s="181"/>
      <c r="D451" s="155"/>
      <c r="E451" s="155"/>
      <c r="F451" s="155"/>
      <c r="G451" s="155"/>
    </row>
    <row r="452" ht="15.75" customHeight="1">
      <c r="A452" s="180"/>
      <c r="C452" s="181"/>
      <c r="D452" s="155"/>
      <c r="E452" s="155"/>
      <c r="F452" s="155"/>
      <c r="G452" s="155"/>
    </row>
    <row r="453" ht="15.75" customHeight="1">
      <c r="A453" s="180"/>
      <c r="C453" s="181"/>
      <c r="D453" s="155"/>
      <c r="E453" s="155"/>
      <c r="F453" s="155"/>
      <c r="G453" s="155"/>
    </row>
    <row r="454" ht="15.75" customHeight="1">
      <c r="A454" s="180"/>
      <c r="C454" s="181"/>
      <c r="D454" s="155"/>
      <c r="E454" s="155"/>
      <c r="F454" s="155"/>
      <c r="G454" s="155"/>
    </row>
    <row r="455" ht="15.75" customHeight="1">
      <c r="A455" s="180"/>
      <c r="C455" s="181"/>
      <c r="D455" s="155"/>
      <c r="E455" s="155"/>
      <c r="F455" s="155"/>
      <c r="G455" s="155"/>
    </row>
    <row r="456" ht="15.75" customHeight="1">
      <c r="A456" s="180"/>
      <c r="C456" s="181"/>
      <c r="D456" s="155"/>
      <c r="E456" s="155"/>
      <c r="F456" s="155"/>
      <c r="G456" s="155"/>
    </row>
    <row r="457" ht="15.75" customHeight="1">
      <c r="A457" s="180"/>
      <c r="C457" s="181"/>
      <c r="D457" s="155"/>
      <c r="E457" s="155"/>
      <c r="F457" s="155"/>
      <c r="G457" s="155"/>
    </row>
    <row r="458" ht="15.75" customHeight="1">
      <c r="A458" s="180"/>
      <c r="C458" s="181"/>
      <c r="D458" s="155"/>
      <c r="E458" s="155"/>
      <c r="F458" s="155"/>
      <c r="G458" s="155"/>
    </row>
    <row r="459" ht="15.75" customHeight="1">
      <c r="A459" s="180"/>
      <c r="C459" s="181"/>
      <c r="D459" s="155"/>
      <c r="E459" s="155"/>
      <c r="F459" s="155"/>
      <c r="G459" s="155"/>
    </row>
    <row r="460" ht="15.75" customHeight="1">
      <c r="A460" s="180"/>
      <c r="C460" s="181"/>
      <c r="D460" s="155"/>
      <c r="E460" s="155"/>
      <c r="F460" s="155"/>
      <c r="G460" s="155"/>
    </row>
    <row r="461" ht="15.75" customHeight="1">
      <c r="A461" s="180"/>
      <c r="C461" s="181"/>
      <c r="D461" s="155"/>
      <c r="E461" s="155"/>
      <c r="F461" s="155"/>
      <c r="G461" s="155"/>
    </row>
    <row r="462" ht="15.75" customHeight="1">
      <c r="A462" s="180"/>
      <c r="C462" s="181"/>
      <c r="D462" s="155"/>
      <c r="E462" s="155"/>
      <c r="F462" s="155"/>
      <c r="G462" s="155"/>
    </row>
    <row r="463" ht="15.75" customHeight="1">
      <c r="A463" s="180"/>
      <c r="C463" s="181"/>
      <c r="D463" s="155"/>
      <c r="E463" s="155"/>
      <c r="F463" s="155"/>
      <c r="G463" s="155"/>
    </row>
    <row r="464" ht="15.75" customHeight="1">
      <c r="A464" s="180"/>
      <c r="C464" s="181"/>
      <c r="D464" s="155"/>
      <c r="E464" s="155"/>
      <c r="F464" s="155"/>
      <c r="G464" s="155"/>
    </row>
    <row r="465" ht="15.75" customHeight="1">
      <c r="A465" s="180"/>
      <c r="C465" s="181"/>
      <c r="D465" s="155"/>
      <c r="E465" s="155"/>
      <c r="F465" s="155"/>
      <c r="G465" s="155"/>
    </row>
    <row r="466" ht="15.75" customHeight="1">
      <c r="A466" s="180"/>
      <c r="C466" s="181"/>
      <c r="D466" s="155"/>
      <c r="E466" s="155"/>
      <c r="F466" s="155"/>
      <c r="G466" s="155"/>
    </row>
    <row r="467" ht="15.75" customHeight="1">
      <c r="A467" s="180"/>
      <c r="C467" s="181"/>
      <c r="D467" s="155"/>
      <c r="E467" s="155"/>
      <c r="F467" s="155"/>
      <c r="G467" s="155"/>
    </row>
    <row r="468" ht="15.75" customHeight="1">
      <c r="A468" s="180"/>
      <c r="C468" s="181"/>
      <c r="D468" s="155"/>
      <c r="E468" s="155"/>
      <c r="F468" s="155"/>
      <c r="G468" s="155"/>
    </row>
    <row r="469" ht="15.75" customHeight="1">
      <c r="A469" s="180"/>
      <c r="C469" s="181"/>
      <c r="D469" s="155"/>
      <c r="E469" s="155"/>
      <c r="F469" s="155"/>
      <c r="G469" s="155"/>
    </row>
    <row r="470" ht="15.75" customHeight="1">
      <c r="A470" s="180"/>
      <c r="C470" s="181"/>
      <c r="D470" s="155"/>
      <c r="E470" s="155"/>
      <c r="F470" s="155"/>
      <c r="G470" s="155"/>
    </row>
    <row r="471" ht="15.75" customHeight="1">
      <c r="A471" s="180"/>
      <c r="C471" s="181"/>
      <c r="D471" s="155"/>
      <c r="E471" s="155"/>
      <c r="F471" s="155"/>
      <c r="G471" s="155"/>
    </row>
    <row r="472" ht="15.75" customHeight="1">
      <c r="A472" s="180"/>
      <c r="C472" s="181"/>
      <c r="D472" s="155"/>
      <c r="E472" s="155"/>
      <c r="F472" s="155"/>
      <c r="G472" s="155"/>
    </row>
    <row r="473" ht="15.75" customHeight="1">
      <c r="A473" s="180"/>
      <c r="C473" s="181"/>
      <c r="D473" s="155"/>
      <c r="E473" s="155"/>
      <c r="F473" s="155"/>
      <c r="G473" s="155"/>
    </row>
    <row r="474" ht="15.75" customHeight="1">
      <c r="A474" s="180"/>
      <c r="C474" s="181"/>
      <c r="D474" s="155"/>
      <c r="E474" s="155"/>
      <c r="F474" s="155"/>
      <c r="G474" s="155"/>
    </row>
    <row r="475" ht="15.75" customHeight="1">
      <c r="A475" s="180"/>
      <c r="C475" s="181"/>
      <c r="D475" s="155"/>
      <c r="E475" s="155"/>
      <c r="F475" s="155"/>
      <c r="G475" s="155"/>
    </row>
    <row r="476" ht="15.75" customHeight="1">
      <c r="A476" s="180"/>
      <c r="C476" s="181"/>
      <c r="D476" s="155"/>
      <c r="E476" s="155"/>
      <c r="F476" s="155"/>
      <c r="G476" s="155"/>
    </row>
    <row r="477" ht="15.75" customHeight="1">
      <c r="A477" s="180"/>
      <c r="C477" s="181"/>
      <c r="D477" s="155"/>
      <c r="E477" s="155"/>
      <c r="F477" s="155"/>
      <c r="G477" s="155"/>
    </row>
    <row r="478" ht="15.75" customHeight="1">
      <c r="A478" s="180"/>
      <c r="C478" s="181"/>
      <c r="D478" s="155"/>
      <c r="E478" s="155"/>
      <c r="F478" s="155"/>
      <c r="G478" s="155"/>
    </row>
    <row r="479" ht="15.75" customHeight="1">
      <c r="A479" s="180"/>
      <c r="C479" s="181"/>
      <c r="D479" s="155"/>
      <c r="E479" s="155"/>
      <c r="F479" s="155"/>
      <c r="G479" s="155"/>
    </row>
    <row r="480" ht="15.75" customHeight="1">
      <c r="A480" s="180"/>
      <c r="C480" s="181"/>
      <c r="D480" s="155"/>
      <c r="E480" s="155"/>
      <c r="F480" s="155"/>
      <c r="G480" s="155"/>
    </row>
    <row r="481" ht="15.75" customHeight="1">
      <c r="A481" s="180"/>
      <c r="C481" s="181"/>
      <c r="D481" s="155"/>
      <c r="E481" s="155"/>
      <c r="F481" s="155"/>
      <c r="G481" s="155"/>
    </row>
    <row r="482" ht="15.75" customHeight="1">
      <c r="A482" s="180"/>
      <c r="C482" s="181"/>
      <c r="D482" s="155"/>
      <c r="E482" s="155"/>
      <c r="F482" s="155"/>
      <c r="G482" s="155"/>
    </row>
    <row r="483" ht="15.75" customHeight="1">
      <c r="A483" s="180"/>
      <c r="C483" s="181"/>
      <c r="D483" s="155"/>
      <c r="E483" s="155"/>
      <c r="F483" s="155"/>
      <c r="G483" s="155"/>
    </row>
    <row r="484" ht="15.75" customHeight="1">
      <c r="A484" s="180"/>
      <c r="C484" s="181"/>
      <c r="D484" s="155"/>
      <c r="E484" s="155"/>
      <c r="F484" s="155"/>
      <c r="G484" s="155"/>
    </row>
    <row r="485" ht="15.75" customHeight="1">
      <c r="A485" s="180"/>
      <c r="C485" s="181"/>
      <c r="D485" s="155"/>
      <c r="E485" s="155"/>
      <c r="F485" s="155"/>
      <c r="G485" s="155"/>
    </row>
    <row r="486" ht="15.75" customHeight="1">
      <c r="A486" s="180"/>
      <c r="C486" s="181"/>
      <c r="D486" s="155"/>
      <c r="E486" s="155"/>
      <c r="F486" s="155"/>
      <c r="G486" s="155"/>
    </row>
    <row r="487" ht="15.75" customHeight="1">
      <c r="A487" s="180"/>
      <c r="C487" s="181"/>
      <c r="D487" s="155"/>
      <c r="E487" s="155"/>
      <c r="F487" s="155"/>
      <c r="G487" s="155"/>
    </row>
    <row r="488" ht="15.75" customHeight="1">
      <c r="A488" s="180"/>
      <c r="C488" s="181"/>
      <c r="D488" s="155"/>
      <c r="E488" s="155"/>
      <c r="F488" s="155"/>
      <c r="G488" s="155"/>
    </row>
    <row r="489" ht="15.75" customHeight="1">
      <c r="A489" s="180"/>
      <c r="C489" s="181"/>
      <c r="D489" s="155"/>
      <c r="E489" s="155"/>
      <c r="F489" s="155"/>
      <c r="G489" s="155"/>
    </row>
    <row r="490" ht="15.75" customHeight="1">
      <c r="A490" s="180"/>
      <c r="C490" s="181"/>
      <c r="D490" s="155"/>
      <c r="E490" s="155"/>
      <c r="F490" s="155"/>
      <c r="G490" s="155"/>
    </row>
    <row r="491" ht="15.75" customHeight="1">
      <c r="A491" s="180"/>
      <c r="C491" s="181"/>
      <c r="D491" s="155"/>
      <c r="E491" s="155"/>
      <c r="F491" s="155"/>
      <c r="G491" s="155"/>
    </row>
    <row r="492" ht="15.75" customHeight="1">
      <c r="A492" s="180"/>
      <c r="C492" s="181"/>
      <c r="D492" s="155"/>
      <c r="E492" s="155"/>
      <c r="F492" s="155"/>
      <c r="G492" s="155"/>
    </row>
    <row r="493" ht="15.75" customHeight="1">
      <c r="A493" s="180"/>
      <c r="C493" s="181"/>
      <c r="D493" s="155"/>
      <c r="E493" s="155"/>
      <c r="F493" s="155"/>
      <c r="G493" s="155"/>
    </row>
    <row r="494" ht="15.75" customHeight="1">
      <c r="A494" s="180"/>
      <c r="C494" s="181"/>
      <c r="D494" s="155"/>
      <c r="E494" s="155"/>
      <c r="F494" s="155"/>
      <c r="G494" s="155"/>
    </row>
    <row r="495" ht="15.75" customHeight="1">
      <c r="A495" s="180"/>
      <c r="C495" s="181"/>
      <c r="D495" s="155"/>
      <c r="E495" s="155"/>
      <c r="F495" s="155"/>
      <c r="G495" s="155"/>
    </row>
    <row r="496" ht="15.75" customHeight="1">
      <c r="A496" s="180"/>
      <c r="C496" s="181"/>
      <c r="D496" s="155"/>
      <c r="E496" s="155"/>
      <c r="F496" s="155"/>
      <c r="G496" s="155"/>
    </row>
    <row r="497" ht="15.75" customHeight="1">
      <c r="A497" s="180"/>
      <c r="C497" s="181"/>
      <c r="D497" s="155"/>
      <c r="E497" s="155"/>
      <c r="F497" s="155"/>
      <c r="G497" s="155"/>
    </row>
    <row r="498" ht="15.75" customHeight="1">
      <c r="A498" s="180"/>
      <c r="C498" s="181"/>
      <c r="D498" s="155"/>
      <c r="E498" s="155"/>
      <c r="F498" s="155"/>
      <c r="G498" s="155"/>
    </row>
    <row r="499" ht="15.75" customHeight="1">
      <c r="A499" s="180"/>
      <c r="C499" s="181"/>
      <c r="D499" s="155"/>
      <c r="E499" s="155"/>
      <c r="F499" s="155"/>
      <c r="G499" s="155"/>
    </row>
    <row r="500" ht="15.75" customHeight="1">
      <c r="A500" s="180"/>
      <c r="C500" s="181"/>
      <c r="D500" s="155"/>
      <c r="E500" s="155"/>
      <c r="F500" s="155"/>
      <c r="G500" s="155"/>
    </row>
    <row r="501" ht="15.75" customHeight="1">
      <c r="A501" s="180"/>
      <c r="C501" s="181"/>
      <c r="D501" s="155"/>
      <c r="E501" s="155"/>
      <c r="F501" s="155"/>
      <c r="G501" s="155"/>
    </row>
    <row r="502" ht="15.75" customHeight="1">
      <c r="A502" s="180"/>
      <c r="C502" s="181"/>
      <c r="D502" s="155"/>
      <c r="E502" s="155"/>
      <c r="F502" s="155"/>
      <c r="G502" s="155"/>
    </row>
    <row r="503" ht="15.75" customHeight="1">
      <c r="A503" s="180"/>
      <c r="C503" s="181"/>
      <c r="D503" s="155"/>
      <c r="E503" s="155"/>
      <c r="F503" s="155"/>
      <c r="G503" s="155"/>
    </row>
    <row r="504" ht="15.75" customHeight="1">
      <c r="A504" s="180"/>
      <c r="C504" s="181"/>
      <c r="D504" s="155"/>
      <c r="E504" s="155"/>
      <c r="F504" s="155"/>
      <c r="G504" s="155"/>
    </row>
    <row r="505" ht="15.75" customHeight="1">
      <c r="A505" s="180"/>
      <c r="C505" s="181"/>
      <c r="D505" s="155"/>
      <c r="E505" s="155"/>
      <c r="F505" s="155"/>
      <c r="G505" s="155"/>
    </row>
    <row r="506" ht="15.75" customHeight="1">
      <c r="A506" s="180"/>
      <c r="C506" s="181"/>
      <c r="D506" s="155"/>
      <c r="E506" s="155"/>
      <c r="F506" s="155"/>
      <c r="G506" s="155"/>
    </row>
    <row r="507" ht="15.75" customHeight="1">
      <c r="A507" s="180"/>
      <c r="C507" s="181"/>
      <c r="D507" s="155"/>
      <c r="E507" s="155"/>
      <c r="F507" s="155"/>
      <c r="G507" s="155"/>
    </row>
    <row r="508" ht="15.75" customHeight="1">
      <c r="A508" s="180"/>
      <c r="C508" s="181"/>
      <c r="D508" s="155"/>
      <c r="E508" s="155"/>
      <c r="F508" s="155"/>
      <c r="G508" s="155"/>
    </row>
    <row r="509" ht="15.75" customHeight="1">
      <c r="A509" s="180"/>
      <c r="C509" s="181"/>
      <c r="D509" s="155"/>
      <c r="E509" s="155"/>
      <c r="F509" s="155"/>
      <c r="G509" s="155"/>
    </row>
    <row r="510" ht="15.75" customHeight="1">
      <c r="A510" s="180"/>
      <c r="C510" s="181"/>
      <c r="D510" s="155"/>
      <c r="E510" s="155"/>
      <c r="F510" s="155"/>
      <c r="G510" s="155"/>
    </row>
    <row r="511" ht="15.75" customHeight="1">
      <c r="A511" s="180"/>
      <c r="C511" s="181"/>
      <c r="D511" s="155"/>
      <c r="E511" s="155"/>
      <c r="F511" s="155"/>
      <c r="G511" s="155"/>
    </row>
    <row r="512" ht="15.75" customHeight="1">
      <c r="A512" s="180"/>
      <c r="C512" s="181"/>
      <c r="D512" s="155"/>
      <c r="E512" s="155"/>
      <c r="F512" s="155"/>
      <c r="G512" s="155"/>
    </row>
    <row r="513" ht="15.75" customHeight="1">
      <c r="A513" s="180"/>
      <c r="C513" s="181"/>
      <c r="D513" s="155"/>
      <c r="E513" s="155"/>
      <c r="F513" s="155"/>
      <c r="G513" s="155"/>
    </row>
    <row r="514" ht="15.75" customHeight="1">
      <c r="A514" s="180"/>
      <c r="C514" s="181"/>
      <c r="D514" s="155"/>
      <c r="E514" s="155"/>
      <c r="F514" s="155"/>
      <c r="G514" s="155"/>
    </row>
    <row r="515" ht="15.75" customHeight="1">
      <c r="A515" s="180"/>
      <c r="C515" s="181"/>
      <c r="D515" s="155"/>
      <c r="E515" s="155"/>
      <c r="F515" s="155"/>
      <c r="G515" s="155"/>
    </row>
    <row r="516" ht="15.75" customHeight="1">
      <c r="A516" s="180"/>
      <c r="C516" s="181"/>
      <c r="D516" s="155"/>
      <c r="E516" s="155"/>
      <c r="F516" s="155"/>
      <c r="G516" s="155"/>
    </row>
    <row r="517" ht="15.75" customHeight="1">
      <c r="A517" s="180"/>
      <c r="C517" s="181"/>
      <c r="D517" s="155"/>
      <c r="E517" s="155"/>
      <c r="F517" s="155"/>
      <c r="G517" s="155"/>
    </row>
    <row r="518" ht="15.75" customHeight="1">
      <c r="A518" s="180"/>
      <c r="C518" s="181"/>
      <c r="D518" s="155"/>
      <c r="E518" s="155"/>
      <c r="F518" s="155"/>
      <c r="G518" s="155"/>
    </row>
    <row r="519" ht="15.75" customHeight="1">
      <c r="A519" s="180"/>
      <c r="C519" s="181"/>
      <c r="D519" s="155"/>
      <c r="E519" s="155"/>
      <c r="F519" s="155"/>
      <c r="G519" s="155"/>
    </row>
    <row r="520" ht="15.75" customHeight="1">
      <c r="A520" s="180"/>
      <c r="C520" s="181"/>
      <c r="D520" s="155"/>
      <c r="E520" s="155"/>
      <c r="F520" s="155"/>
      <c r="G520" s="155"/>
    </row>
    <row r="521" ht="15.75" customHeight="1">
      <c r="A521" s="180"/>
      <c r="C521" s="181"/>
      <c r="D521" s="155"/>
      <c r="E521" s="155"/>
      <c r="F521" s="155"/>
      <c r="G521" s="155"/>
    </row>
    <row r="522" ht="15.75" customHeight="1">
      <c r="A522" s="180"/>
      <c r="C522" s="181"/>
      <c r="D522" s="155"/>
      <c r="E522" s="155"/>
      <c r="F522" s="155"/>
      <c r="G522" s="155"/>
    </row>
    <row r="523" ht="15.75" customHeight="1">
      <c r="A523" s="180"/>
      <c r="C523" s="181"/>
      <c r="D523" s="155"/>
      <c r="E523" s="155"/>
      <c r="F523" s="155"/>
      <c r="G523" s="155"/>
    </row>
    <row r="524" ht="15.75" customHeight="1">
      <c r="A524" s="180"/>
      <c r="C524" s="181"/>
      <c r="D524" s="155"/>
      <c r="E524" s="155"/>
      <c r="F524" s="155"/>
      <c r="G524" s="155"/>
    </row>
    <row r="525" ht="15.75" customHeight="1">
      <c r="A525" s="180"/>
      <c r="C525" s="181"/>
      <c r="D525" s="155"/>
      <c r="E525" s="155"/>
      <c r="F525" s="155"/>
      <c r="G525" s="155"/>
    </row>
    <row r="526" ht="15.75" customHeight="1">
      <c r="A526" s="180"/>
      <c r="C526" s="181"/>
      <c r="D526" s="155"/>
      <c r="E526" s="155"/>
      <c r="F526" s="155"/>
      <c r="G526" s="155"/>
    </row>
    <row r="527" ht="15.75" customHeight="1">
      <c r="A527" s="180"/>
      <c r="C527" s="181"/>
      <c r="D527" s="155"/>
      <c r="E527" s="155"/>
      <c r="F527" s="155"/>
      <c r="G527" s="155"/>
    </row>
    <row r="528" ht="15.75" customHeight="1">
      <c r="A528" s="180"/>
      <c r="C528" s="181"/>
      <c r="D528" s="155"/>
      <c r="E528" s="155"/>
      <c r="F528" s="155"/>
      <c r="G528" s="155"/>
    </row>
    <row r="529" ht="15.75" customHeight="1">
      <c r="A529" s="180"/>
      <c r="C529" s="181"/>
      <c r="D529" s="155"/>
      <c r="E529" s="155"/>
      <c r="F529" s="155"/>
      <c r="G529" s="155"/>
    </row>
    <row r="530" ht="15.75" customHeight="1">
      <c r="A530" s="180"/>
      <c r="C530" s="181"/>
      <c r="D530" s="155"/>
      <c r="E530" s="155"/>
      <c r="F530" s="155"/>
      <c r="G530" s="155"/>
    </row>
    <row r="531" ht="15.75" customHeight="1">
      <c r="A531" s="180"/>
      <c r="C531" s="181"/>
      <c r="D531" s="155"/>
      <c r="E531" s="155"/>
      <c r="F531" s="155"/>
      <c r="G531" s="155"/>
    </row>
    <row r="532" ht="15.75" customHeight="1">
      <c r="A532" s="180"/>
      <c r="C532" s="181"/>
      <c r="D532" s="155"/>
      <c r="E532" s="155"/>
      <c r="F532" s="155"/>
      <c r="G532" s="155"/>
    </row>
    <row r="533" ht="15.75" customHeight="1">
      <c r="A533" s="180"/>
      <c r="C533" s="181"/>
      <c r="D533" s="155"/>
      <c r="E533" s="155"/>
      <c r="F533" s="155"/>
      <c r="G533" s="155"/>
    </row>
    <row r="534" ht="15.75" customHeight="1">
      <c r="A534" s="180"/>
      <c r="C534" s="181"/>
      <c r="D534" s="155"/>
      <c r="E534" s="155"/>
      <c r="F534" s="155"/>
      <c r="G534" s="155"/>
    </row>
    <row r="535" ht="15.75" customHeight="1">
      <c r="A535" s="180"/>
      <c r="C535" s="181"/>
      <c r="D535" s="155"/>
      <c r="E535" s="155"/>
      <c r="F535" s="155"/>
      <c r="G535" s="155"/>
    </row>
    <row r="536" ht="15.75" customHeight="1">
      <c r="A536" s="180"/>
      <c r="C536" s="181"/>
      <c r="D536" s="155"/>
      <c r="E536" s="155"/>
      <c r="F536" s="155"/>
      <c r="G536" s="155"/>
    </row>
    <row r="537" ht="15.75" customHeight="1">
      <c r="A537" s="180"/>
      <c r="C537" s="181"/>
      <c r="D537" s="155"/>
      <c r="E537" s="155"/>
      <c r="F537" s="155"/>
      <c r="G537" s="155"/>
    </row>
    <row r="538" ht="15.75" customHeight="1">
      <c r="A538" s="180"/>
      <c r="C538" s="181"/>
      <c r="D538" s="155"/>
      <c r="E538" s="155"/>
      <c r="F538" s="155"/>
      <c r="G538" s="155"/>
    </row>
    <row r="539" ht="15.75" customHeight="1">
      <c r="A539" s="180"/>
      <c r="C539" s="181"/>
      <c r="D539" s="155"/>
      <c r="E539" s="155"/>
      <c r="F539" s="155"/>
      <c r="G539" s="155"/>
    </row>
    <row r="540" ht="15.75" customHeight="1">
      <c r="A540" s="180"/>
      <c r="C540" s="181"/>
      <c r="D540" s="155"/>
      <c r="E540" s="155"/>
      <c r="F540" s="155"/>
      <c r="G540" s="155"/>
    </row>
    <row r="541" ht="15.75" customHeight="1">
      <c r="A541" s="180"/>
      <c r="C541" s="181"/>
      <c r="D541" s="155"/>
      <c r="E541" s="155"/>
      <c r="F541" s="155"/>
      <c r="G541" s="155"/>
    </row>
    <row r="542" ht="15.75" customHeight="1">
      <c r="A542" s="180"/>
      <c r="C542" s="181"/>
      <c r="D542" s="155"/>
      <c r="E542" s="155"/>
      <c r="F542" s="155"/>
      <c r="G542" s="155"/>
    </row>
    <row r="543" ht="15.75" customHeight="1">
      <c r="A543" s="180"/>
      <c r="C543" s="181"/>
      <c r="D543" s="155"/>
      <c r="E543" s="155"/>
      <c r="F543" s="155"/>
      <c r="G543" s="155"/>
    </row>
    <row r="544" ht="15.75" customHeight="1">
      <c r="A544" s="180"/>
      <c r="C544" s="181"/>
      <c r="D544" s="155"/>
      <c r="E544" s="155"/>
      <c r="F544" s="155"/>
      <c r="G544" s="155"/>
    </row>
    <row r="545" ht="15.75" customHeight="1">
      <c r="A545" s="180"/>
      <c r="C545" s="181"/>
      <c r="D545" s="155"/>
      <c r="E545" s="155"/>
      <c r="F545" s="155"/>
      <c r="G545" s="155"/>
    </row>
    <row r="546" ht="15.75" customHeight="1">
      <c r="A546" s="180"/>
      <c r="C546" s="181"/>
      <c r="D546" s="155"/>
      <c r="E546" s="155"/>
      <c r="F546" s="155"/>
      <c r="G546" s="155"/>
    </row>
    <row r="547" ht="15.75" customHeight="1">
      <c r="A547" s="180"/>
      <c r="C547" s="181"/>
      <c r="D547" s="155"/>
      <c r="E547" s="155"/>
      <c r="F547" s="155"/>
      <c r="G547" s="155"/>
    </row>
    <row r="548" ht="15.75" customHeight="1">
      <c r="A548" s="180"/>
      <c r="C548" s="181"/>
      <c r="D548" s="155"/>
      <c r="E548" s="155"/>
      <c r="F548" s="155"/>
      <c r="G548" s="155"/>
    </row>
    <row r="549" ht="15.75" customHeight="1">
      <c r="A549" s="180"/>
      <c r="C549" s="181"/>
      <c r="D549" s="155"/>
      <c r="E549" s="155"/>
      <c r="F549" s="155"/>
      <c r="G549" s="155"/>
    </row>
    <row r="550" ht="15.75" customHeight="1">
      <c r="A550" s="180"/>
      <c r="C550" s="181"/>
      <c r="D550" s="155"/>
      <c r="E550" s="155"/>
      <c r="F550" s="155"/>
      <c r="G550" s="155"/>
    </row>
    <row r="551" ht="15.75" customHeight="1">
      <c r="A551" s="180"/>
      <c r="C551" s="181"/>
      <c r="D551" s="155"/>
      <c r="E551" s="155"/>
      <c r="F551" s="155"/>
      <c r="G551" s="155"/>
    </row>
    <row r="552" ht="15.75" customHeight="1">
      <c r="A552" s="180"/>
      <c r="C552" s="181"/>
      <c r="D552" s="155"/>
      <c r="E552" s="155"/>
      <c r="F552" s="155"/>
      <c r="G552" s="155"/>
    </row>
    <row r="553" ht="15.75" customHeight="1">
      <c r="A553" s="180"/>
      <c r="C553" s="181"/>
      <c r="D553" s="155"/>
      <c r="E553" s="155"/>
      <c r="F553" s="155"/>
      <c r="G553" s="155"/>
    </row>
    <row r="554" ht="15.75" customHeight="1">
      <c r="A554" s="180"/>
      <c r="C554" s="181"/>
      <c r="D554" s="155"/>
      <c r="E554" s="155"/>
      <c r="F554" s="155"/>
      <c r="G554" s="155"/>
    </row>
    <row r="555" ht="15.75" customHeight="1">
      <c r="A555" s="180"/>
      <c r="C555" s="181"/>
      <c r="D555" s="155"/>
      <c r="E555" s="155"/>
      <c r="F555" s="155"/>
      <c r="G555" s="155"/>
    </row>
    <row r="556" ht="15.75" customHeight="1">
      <c r="A556" s="180"/>
      <c r="C556" s="181"/>
      <c r="D556" s="155"/>
      <c r="E556" s="155"/>
      <c r="F556" s="155"/>
      <c r="G556" s="155"/>
    </row>
    <row r="557" ht="15.75" customHeight="1">
      <c r="A557" s="180"/>
      <c r="C557" s="181"/>
      <c r="D557" s="155"/>
      <c r="E557" s="155"/>
      <c r="F557" s="155"/>
      <c r="G557" s="155"/>
    </row>
    <row r="558" ht="15.75" customHeight="1">
      <c r="A558" s="180"/>
      <c r="C558" s="181"/>
      <c r="D558" s="155"/>
      <c r="E558" s="155"/>
      <c r="F558" s="155"/>
      <c r="G558" s="155"/>
    </row>
    <row r="559" ht="15.75" customHeight="1">
      <c r="A559" s="180"/>
      <c r="C559" s="181"/>
      <c r="D559" s="155"/>
      <c r="E559" s="155"/>
      <c r="F559" s="155"/>
      <c r="G559" s="155"/>
    </row>
    <row r="560" ht="15.75" customHeight="1">
      <c r="A560" s="180"/>
      <c r="C560" s="181"/>
      <c r="D560" s="155"/>
      <c r="E560" s="155"/>
      <c r="F560" s="155"/>
      <c r="G560" s="155"/>
    </row>
    <row r="561" ht="15.75" customHeight="1">
      <c r="A561" s="180"/>
      <c r="C561" s="181"/>
      <c r="D561" s="155"/>
      <c r="E561" s="155"/>
      <c r="F561" s="155"/>
      <c r="G561" s="155"/>
    </row>
    <row r="562" ht="15.75" customHeight="1">
      <c r="A562" s="180"/>
      <c r="C562" s="181"/>
      <c r="D562" s="155"/>
      <c r="E562" s="155"/>
      <c r="F562" s="155"/>
      <c r="G562" s="155"/>
    </row>
    <row r="563" ht="15.75" customHeight="1">
      <c r="A563" s="180"/>
      <c r="C563" s="181"/>
      <c r="D563" s="155"/>
      <c r="E563" s="155"/>
      <c r="F563" s="155"/>
      <c r="G563" s="155"/>
    </row>
    <row r="564" ht="15.75" customHeight="1">
      <c r="A564" s="180"/>
      <c r="C564" s="181"/>
      <c r="D564" s="155"/>
      <c r="E564" s="155"/>
      <c r="F564" s="155"/>
      <c r="G564" s="155"/>
    </row>
    <row r="565" ht="15.75" customHeight="1">
      <c r="A565" s="180"/>
      <c r="C565" s="181"/>
      <c r="D565" s="155"/>
      <c r="E565" s="155"/>
      <c r="F565" s="155"/>
      <c r="G565" s="155"/>
    </row>
    <row r="566" ht="15.75" customHeight="1">
      <c r="A566" s="180"/>
      <c r="C566" s="181"/>
      <c r="D566" s="155"/>
      <c r="E566" s="155"/>
      <c r="F566" s="155"/>
      <c r="G566" s="155"/>
    </row>
    <row r="567" ht="15.75" customHeight="1">
      <c r="A567" s="180"/>
      <c r="C567" s="181"/>
      <c r="D567" s="155"/>
      <c r="E567" s="155"/>
      <c r="F567" s="155"/>
      <c r="G567" s="155"/>
    </row>
    <row r="568" ht="15.75" customHeight="1">
      <c r="A568" s="180"/>
      <c r="C568" s="181"/>
      <c r="D568" s="155"/>
      <c r="E568" s="155"/>
      <c r="F568" s="155"/>
      <c r="G568" s="155"/>
    </row>
    <row r="569" ht="15.75" customHeight="1">
      <c r="A569" s="180"/>
      <c r="C569" s="181"/>
      <c r="D569" s="155"/>
      <c r="E569" s="155"/>
      <c r="F569" s="155"/>
      <c r="G569" s="155"/>
    </row>
    <row r="570" ht="15.75" customHeight="1">
      <c r="A570" s="180"/>
      <c r="C570" s="181"/>
      <c r="D570" s="155"/>
      <c r="E570" s="155"/>
      <c r="F570" s="155"/>
      <c r="G570" s="155"/>
    </row>
    <row r="571" ht="15.75" customHeight="1">
      <c r="A571" s="180"/>
      <c r="C571" s="181"/>
      <c r="D571" s="155"/>
      <c r="E571" s="155"/>
      <c r="F571" s="155"/>
      <c r="G571" s="155"/>
    </row>
    <row r="572" ht="15.75" customHeight="1">
      <c r="A572" s="180"/>
      <c r="C572" s="181"/>
      <c r="D572" s="155"/>
      <c r="E572" s="155"/>
      <c r="F572" s="155"/>
      <c r="G572" s="155"/>
    </row>
    <row r="573" ht="15.75" customHeight="1">
      <c r="A573" s="180"/>
      <c r="C573" s="181"/>
      <c r="D573" s="155"/>
      <c r="E573" s="155"/>
      <c r="F573" s="155"/>
      <c r="G573" s="155"/>
    </row>
    <row r="574" ht="15.75" customHeight="1">
      <c r="A574" s="180"/>
      <c r="C574" s="181"/>
      <c r="D574" s="155"/>
      <c r="E574" s="155"/>
      <c r="F574" s="155"/>
      <c r="G574" s="155"/>
    </row>
    <row r="575" ht="15.75" customHeight="1">
      <c r="A575" s="180"/>
      <c r="C575" s="181"/>
      <c r="D575" s="155"/>
      <c r="E575" s="155"/>
      <c r="F575" s="155"/>
      <c r="G575" s="155"/>
    </row>
    <row r="576" ht="15.75" customHeight="1">
      <c r="A576" s="180"/>
      <c r="C576" s="181"/>
      <c r="D576" s="155"/>
      <c r="E576" s="155"/>
      <c r="F576" s="155"/>
      <c r="G576" s="155"/>
    </row>
    <row r="577" ht="15.75" customHeight="1">
      <c r="A577" s="180"/>
      <c r="C577" s="181"/>
      <c r="D577" s="155"/>
      <c r="E577" s="155"/>
      <c r="F577" s="155"/>
      <c r="G577" s="155"/>
    </row>
    <row r="578" ht="15.75" customHeight="1">
      <c r="A578" s="180"/>
      <c r="C578" s="181"/>
      <c r="D578" s="155"/>
      <c r="E578" s="155"/>
      <c r="F578" s="155"/>
      <c r="G578" s="155"/>
    </row>
    <row r="579" ht="15.75" customHeight="1">
      <c r="A579" s="180"/>
      <c r="C579" s="181"/>
      <c r="D579" s="155"/>
      <c r="E579" s="155"/>
      <c r="F579" s="155"/>
      <c r="G579" s="155"/>
    </row>
    <row r="580" ht="15.75" customHeight="1">
      <c r="A580" s="180"/>
      <c r="C580" s="181"/>
      <c r="D580" s="155"/>
      <c r="E580" s="155"/>
      <c r="F580" s="155"/>
      <c r="G580" s="155"/>
    </row>
    <row r="581" ht="15.75" customHeight="1">
      <c r="A581" s="180"/>
      <c r="C581" s="181"/>
      <c r="D581" s="155"/>
      <c r="E581" s="155"/>
      <c r="F581" s="155"/>
      <c r="G581" s="155"/>
    </row>
    <row r="582" ht="15.75" customHeight="1">
      <c r="A582" s="180"/>
      <c r="C582" s="181"/>
      <c r="D582" s="155"/>
      <c r="E582" s="155"/>
      <c r="F582" s="155"/>
      <c r="G582" s="155"/>
    </row>
    <row r="583" ht="15.75" customHeight="1">
      <c r="A583" s="180"/>
      <c r="C583" s="181"/>
      <c r="D583" s="155"/>
      <c r="E583" s="155"/>
      <c r="F583" s="155"/>
      <c r="G583" s="155"/>
    </row>
    <row r="584" ht="15.75" customHeight="1">
      <c r="A584" s="180"/>
      <c r="C584" s="181"/>
      <c r="D584" s="155"/>
      <c r="E584" s="155"/>
      <c r="F584" s="155"/>
      <c r="G584" s="155"/>
    </row>
    <row r="585" ht="15.75" customHeight="1">
      <c r="A585" s="180"/>
      <c r="C585" s="181"/>
      <c r="D585" s="155"/>
      <c r="E585" s="155"/>
      <c r="F585" s="155"/>
      <c r="G585" s="155"/>
    </row>
    <row r="586" ht="15.75" customHeight="1">
      <c r="A586" s="180"/>
      <c r="C586" s="181"/>
      <c r="D586" s="155"/>
      <c r="E586" s="155"/>
      <c r="F586" s="155"/>
      <c r="G586" s="155"/>
    </row>
    <row r="587" ht="15.75" customHeight="1">
      <c r="A587" s="180"/>
      <c r="C587" s="181"/>
      <c r="D587" s="155"/>
      <c r="E587" s="155"/>
      <c r="F587" s="155"/>
      <c r="G587" s="155"/>
    </row>
    <row r="588" ht="15.75" customHeight="1">
      <c r="A588" s="180"/>
      <c r="C588" s="181"/>
      <c r="D588" s="155"/>
      <c r="E588" s="155"/>
      <c r="F588" s="155"/>
      <c r="G588" s="155"/>
    </row>
    <row r="589" ht="15.75" customHeight="1">
      <c r="A589" s="180"/>
      <c r="C589" s="181"/>
      <c r="D589" s="155"/>
      <c r="E589" s="155"/>
      <c r="F589" s="155"/>
      <c r="G589" s="155"/>
    </row>
    <row r="590" ht="15.75" customHeight="1">
      <c r="A590" s="180"/>
      <c r="C590" s="181"/>
      <c r="D590" s="155"/>
      <c r="E590" s="155"/>
      <c r="F590" s="155"/>
      <c r="G590" s="155"/>
    </row>
    <row r="591" ht="15.75" customHeight="1">
      <c r="A591" s="180"/>
      <c r="C591" s="181"/>
      <c r="D591" s="155"/>
      <c r="E591" s="155"/>
      <c r="F591" s="155"/>
      <c r="G591" s="155"/>
    </row>
    <row r="592" ht="15.75" customHeight="1">
      <c r="A592" s="180"/>
      <c r="C592" s="181"/>
      <c r="D592" s="155"/>
      <c r="E592" s="155"/>
      <c r="F592" s="155"/>
      <c r="G592" s="155"/>
    </row>
    <row r="593" ht="15.75" customHeight="1">
      <c r="A593" s="180"/>
      <c r="C593" s="181"/>
      <c r="D593" s="155"/>
      <c r="E593" s="155"/>
      <c r="F593" s="155"/>
      <c r="G593" s="155"/>
    </row>
    <row r="594" ht="15.75" customHeight="1">
      <c r="A594" s="180"/>
      <c r="C594" s="181"/>
      <c r="D594" s="155"/>
      <c r="E594" s="155"/>
      <c r="F594" s="155"/>
      <c r="G594" s="155"/>
    </row>
    <row r="595" ht="15.75" customHeight="1">
      <c r="A595" s="180"/>
      <c r="C595" s="181"/>
      <c r="D595" s="155"/>
      <c r="E595" s="155"/>
      <c r="F595" s="155"/>
      <c r="G595" s="155"/>
    </row>
    <row r="596" ht="15.75" customHeight="1">
      <c r="A596" s="180"/>
      <c r="C596" s="181"/>
      <c r="D596" s="155"/>
      <c r="E596" s="155"/>
      <c r="F596" s="155"/>
      <c r="G596" s="155"/>
    </row>
    <row r="597" ht="15.75" customHeight="1">
      <c r="A597" s="180"/>
      <c r="C597" s="181"/>
      <c r="D597" s="155"/>
      <c r="E597" s="155"/>
      <c r="F597" s="155"/>
      <c r="G597" s="155"/>
    </row>
    <row r="598" ht="15.75" customHeight="1">
      <c r="A598" s="180"/>
      <c r="C598" s="181"/>
      <c r="D598" s="155"/>
      <c r="E598" s="155"/>
      <c r="F598" s="155"/>
      <c r="G598" s="155"/>
    </row>
    <row r="599" ht="15.75" customHeight="1">
      <c r="A599" s="180"/>
      <c r="C599" s="181"/>
      <c r="D599" s="155"/>
      <c r="E599" s="155"/>
      <c r="F599" s="155"/>
      <c r="G599" s="155"/>
    </row>
    <row r="600" ht="15.75" customHeight="1">
      <c r="A600" s="180"/>
      <c r="C600" s="181"/>
      <c r="D600" s="155"/>
      <c r="E600" s="155"/>
      <c r="F600" s="155"/>
      <c r="G600" s="155"/>
    </row>
    <row r="601" ht="15.75" customHeight="1">
      <c r="A601" s="180"/>
      <c r="C601" s="181"/>
      <c r="D601" s="155"/>
      <c r="E601" s="155"/>
      <c r="F601" s="155"/>
      <c r="G601" s="155"/>
    </row>
    <row r="602" ht="15.75" customHeight="1">
      <c r="A602" s="180"/>
      <c r="C602" s="181"/>
      <c r="D602" s="155"/>
      <c r="E602" s="155"/>
      <c r="F602" s="155"/>
      <c r="G602" s="155"/>
    </row>
    <row r="603" ht="15.75" customHeight="1">
      <c r="A603" s="180"/>
      <c r="C603" s="181"/>
      <c r="D603" s="155"/>
      <c r="E603" s="155"/>
      <c r="F603" s="155"/>
      <c r="G603" s="155"/>
    </row>
    <row r="604" ht="15.75" customHeight="1">
      <c r="A604" s="180"/>
      <c r="C604" s="181"/>
      <c r="D604" s="155"/>
      <c r="E604" s="155"/>
      <c r="F604" s="155"/>
      <c r="G604" s="155"/>
    </row>
    <row r="605" ht="15.75" customHeight="1">
      <c r="A605" s="180"/>
      <c r="C605" s="181"/>
      <c r="D605" s="155"/>
      <c r="E605" s="155"/>
      <c r="F605" s="155"/>
      <c r="G605" s="155"/>
    </row>
    <row r="606" ht="15.75" customHeight="1">
      <c r="A606" s="180"/>
      <c r="C606" s="181"/>
      <c r="D606" s="155"/>
      <c r="E606" s="155"/>
      <c r="F606" s="155"/>
      <c r="G606" s="155"/>
    </row>
    <row r="607" ht="15.75" customHeight="1">
      <c r="A607" s="180"/>
      <c r="C607" s="181"/>
      <c r="D607" s="155"/>
      <c r="E607" s="155"/>
      <c r="F607" s="155"/>
      <c r="G607" s="155"/>
    </row>
    <row r="608" ht="15.75" customHeight="1">
      <c r="A608" s="180"/>
      <c r="C608" s="181"/>
      <c r="D608" s="155"/>
      <c r="E608" s="155"/>
      <c r="F608" s="155"/>
      <c r="G608" s="155"/>
    </row>
    <row r="609" ht="15.75" customHeight="1">
      <c r="A609" s="180"/>
      <c r="C609" s="181"/>
      <c r="D609" s="155"/>
      <c r="E609" s="155"/>
      <c r="F609" s="155"/>
      <c r="G609" s="155"/>
    </row>
    <row r="610" ht="15.75" customHeight="1">
      <c r="A610" s="180"/>
      <c r="C610" s="181"/>
      <c r="D610" s="155"/>
      <c r="E610" s="155"/>
      <c r="F610" s="155"/>
      <c r="G610" s="155"/>
    </row>
    <row r="611" ht="15.75" customHeight="1">
      <c r="A611" s="180"/>
      <c r="C611" s="181"/>
      <c r="D611" s="155"/>
      <c r="E611" s="155"/>
      <c r="F611" s="155"/>
      <c r="G611" s="155"/>
    </row>
    <row r="612" ht="15.75" customHeight="1">
      <c r="A612" s="180"/>
      <c r="C612" s="181"/>
      <c r="D612" s="155"/>
      <c r="E612" s="155"/>
      <c r="F612" s="155"/>
      <c r="G612" s="155"/>
    </row>
    <row r="613" ht="15.75" customHeight="1">
      <c r="A613" s="180"/>
      <c r="C613" s="181"/>
      <c r="D613" s="155"/>
      <c r="E613" s="155"/>
      <c r="F613" s="155"/>
      <c r="G613" s="155"/>
    </row>
    <row r="614" ht="15.75" customHeight="1">
      <c r="A614" s="180"/>
      <c r="C614" s="181"/>
      <c r="D614" s="155"/>
      <c r="E614" s="155"/>
      <c r="F614" s="155"/>
      <c r="G614" s="155"/>
    </row>
    <row r="615" ht="15.75" customHeight="1">
      <c r="A615" s="180"/>
      <c r="C615" s="181"/>
      <c r="D615" s="155"/>
      <c r="E615" s="155"/>
      <c r="F615" s="155"/>
      <c r="G615" s="155"/>
    </row>
    <row r="616" ht="15.75" customHeight="1">
      <c r="A616" s="180"/>
      <c r="C616" s="181"/>
      <c r="D616" s="155"/>
      <c r="E616" s="155"/>
      <c r="F616" s="155"/>
      <c r="G616" s="155"/>
    </row>
    <row r="617" ht="15.75" customHeight="1">
      <c r="A617" s="180"/>
      <c r="C617" s="181"/>
      <c r="D617" s="155"/>
      <c r="E617" s="155"/>
      <c r="F617" s="155"/>
      <c r="G617" s="155"/>
    </row>
    <row r="618" ht="15.75" customHeight="1">
      <c r="A618" s="180"/>
      <c r="C618" s="181"/>
      <c r="D618" s="155"/>
      <c r="E618" s="155"/>
      <c r="F618" s="155"/>
      <c r="G618" s="155"/>
    </row>
    <row r="619" ht="15.75" customHeight="1">
      <c r="A619" s="180"/>
      <c r="C619" s="181"/>
      <c r="D619" s="155"/>
      <c r="E619" s="155"/>
      <c r="F619" s="155"/>
      <c r="G619" s="155"/>
    </row>
    <row r="620" ht="15.75" customHeight="1">
      <c r="A620" s="180"/>
      <c r="C620" s="181"/>
      <c r="D620" s="155"/>
      <c r="E620" s="155"/>
      <c r="F620" s="155"/>
      <c r="G620" s="155"/>
    </row>
    <row r="621" ht="15.75" customHeight="1">
      <c r="A621" s="180"/>
      <c r="C621" s="181"/>
      <c r="D621" s="155"/>
      <c r="E621" s="155"/>
      <c r="F621" s="155"/>
      <c r="G621" s="155"/>
    </row>
    <row r="622" ht="15.75" customHeight="1">
      <c r="A622" s="180"/>
      <c r="C622" s="181"/>
      <c r="D622" s="155"/>
      <c r="E622" s="155"/>
      <c r="F622" s="155"/>
      <c r="G622" s="155"/>
    </row>
    <row r="623" ht="15.75" customHeight="1">
      <c r="A623" s="180"/>
      <c r="C623" s="181"/>
      <c r="D623" s="155"/>
      <c r="E623" s="155"/>
      <c r="F623" s="155"/>
      <c r="G623" s="155"/>
    </row>
    <row r="624" ht="15.75" customHeight="1">
      <c r="A624" s="180"/>
      <c r="C624" s="181"/>
      <c r="D624" s="155"/>
      <c r="E624" s="155"/>
      <c r="F624" s="155"/>
      <c r="G624" s="155"/>
    </row>
    <row r="625" ht="15.75" customHeight="1">
      <c r="A625" s="180"/>
      <c r="C625" s="181"/>
      <c r="D625" s="155"/>
      <c r="E625" s="155"/>
      <c r="F625" s="155"/>
      <c r="G625" s="155"/>
    </row>
    <row r="626" ht="15.75" customHeight="1">
      <c r="A626" s="180"/>
      <c r="C626" s="181"/>
      <c r="D626" s="155"/>
      <c r="E626" s="155"/>
      <c r="F626" s="155"/>
      <c r="G626" s="155"/>
    </row>
    <row r="627" ht="15.75" customHeight="1">
      <c r="A627" s="180"/>
      <c r="C627" s="181"/>
      <c r="D627" s="155"/>
      <c r="E627" s="155"/>
      <c r="F627" s="155"/>
      <c r="G627" s="155"/>
    </row>
    <row r="628" ht="15.75" customHeight="1">
      <c r="A628" s="180"/>
      <c r="C628" s="181"/>
      <c r="D628" s="155"/>
      <c r="E628" s="155"/>
      <c r="F628" s="155"/>
      <c r="G628" s="155"/>
    </row>
    <row r="629" ht="15.75" customHeight="1">
      <c r="A629" s="180"/>
      <c r="C629" s="181"/>
      <c r="D629" s="155"/>
      <c r="E629" s="155"/>
      <c r="F629" s="155"/>
      <c r="G629" s="155"/>
    </row>
    <row r="630" ht="15.75" customHeight="1">
      <c r="A630" s="180"/>
      <c r="C630" s="181"/>
      <c r="D630" s="155"/>
      <c r="E630" s="155"/>
      <c r="F630" s="155"/>
      <c r="G630" s="155"/>
    </row>
    <row r="631" ht="15.75" customHeight="1">
      <c r="A631" s="180"/>
      <c r="C631" s="181"/>
      <c r="D631" s="155"/>
      <c r="E631" s="155"/>
      <c r="F631" s="155"/>
      <c r="G631" s="155"/>
    </row>
    <row r="632" ht="15.75" customHeight="1">
      <c r="A632" s="180"/>
      <c r="C632" s="181"/>
      <c r="D632" s="155"/>
      <c r="E632" s="155"/>
      <c r="F632" s="155"/>
      <c r="G632" s="155"/>
    </row>
    <row r="633" ht="15.75" customHeight="1">
      <c r="A633" s="180"/>
      <c r="C633" s="181"/>
      <c r="D633" s="155"/>
      <c r="E633" s="155"/>
      <c r="F633" s="155"/>
      <c r="G633" s="155"/>
    </row>
    <row r="634" ht="15.75" customHeight="1">
      <c r="A634" s="180"/>
      <c r="C634" s="181"/>
      <c r="D634" s="155"/>
      <c r="E634" s="155"/>
      <c r="F634" s="155"/>
      <c r="G634" s="155"/>
    </row>
    <row r="635" ht="15.75" customHeight="1">
      <c r="A635" s="180"/>
      <c r="C635" s="181"/>
      <c r="D635" s="155"/>
      <c r="E635" s="155"/>
      <c r="F635" s="155"/>
      <c r="G635" s="155"/>
    </row>
    <row r="636" ht="15.75" customHeight="1">
      <c r="A636" s="180"/>
      <c r="C636" s="181"/>
      <c r="D636" s="155"/>
      <c r="E636" s="155"/>
      <c r="F636" s="155"/>
      <c r="G636" s="155"/>
    </row>
    <row r="637" ht="15.75" customHeight="1">
      <c r="A637" s="180"/>
      <c r="C637" s="181"/>
      <c r="D637" s="155"/>
      <c r="E637" s="155"/>
      <c r="F637" s="155"/>
      <c r="G637" s="155"/>
    </row>
    <row r="638" ht="15.75" customHeight="1">
      <c r="A638" s="180"/>
      <c r="C638" s="181"/>
      <c r="D638" s="155"/>
      <c r="E638" s="155"/>
      <c r="F638" s="155"/>
      <c r="G638" s="155"/>
    </row>
    <row r="639" ht="15.75" customHeight="1">
      <c r="A639" s="180"/>
      <c r="C639" s="181"/>
      <c r="D639" s="155"/>
      <c r="E639" s="155"/>
      <c r="F639" s="155"/>
      <c r="G639" s="155"/>
    </row>
    <row r="640" ht="15.75" customHeight="1">
      <c r="A640" s="180"/>
      <c r="C640" s="181"/>
      <c r="D640" s="155"/>
      <c r="E640" s="155"/>
      <c r="F640" s="155"/>
      <c r="G640" s="155"/>
    </row>
    <row r="641" ht="15.75" customHeight="1">
      <c r="A641" s="180"/>
      <c r="C641" s="181"/>
      <c r="D641" s="155"/>
      <c r="E641" s="155"/>
      <c r="F641" s="155"/>
      <c r="G641" s="155"/>
    </row>
    <row r="642" ht="15.75" customHeight="1">
      <c r="A642" s="180"/>
      <c r="C642" s="181"/>
      <c r="D642" s="155"/>
      <c r="E642" s="155"/>
      <c r="F642" s="155"/>
      <c r="G642" s="155"/>
    </row>
    <row r="643" ht="15.75" customHeight="1">
      <c r="A643" s="180"/>
      <c r="C643" s="181"/>
      <c r="D643" s="155"/>
      <c r="E643" s="155"/>
      <c r="F643" s="155"/>
      <c r="G643" s="155"/>
    </row>
    <row r="644" ht="15.75" customHeight="1">
      <c r="A644" s="180"/>
      <c r="C644" s="181"/>
      <c r="D644" s="155"/>
      <c r="E644" s="155"/>
      <c r="F644" s="155"/>
      <c r="G644" s="155"/>
    </row>
    <row r="645" ht="15.75" customHeight="1">
      <c r="A645" s="180"/>
      <c r="C645" s="181"/>
      <c r="D645" s="155"/>
      <c r="E645" s="155"/>
      <c r="F645" s="155"/>
      <c r="G645" s="155"/>
    </row>
    <row r="646" ht="15.75" customHeight="1">
      <c r="A646" s="180"/>
      <c r="C646" s="181"/>
      <c r="D646" s="155"/>
      <c r="E646" s="155"/>
      <c r="F646" s="155"/>
      <c r="G646" s="155"/>
    </row>
    <row r="647" ht="15.75" customHeight="1">
      <c r="A647" s="180"/>
      <c r="C647" s="181"/>
      <c r="D647" s="155"/>
      <c r="E647" s="155"/>
      <c r="F647" s="155"/>
      <c r="G647" s="155"/>
    </row>
    <row r="648" ht="15.75" customHeight="1">
      <c r="A648" s="180"/>
      <c r="C648" s="181"/>
      <c r="D648" s="155"/>
      <c r="E648" s="155"/>
      <c r="F648" s="155"/>
      <c r="G648" s="155"/>
    </row>
    <row r="649" ht="15.75" customHeight="1">
      <c r="A649" s="180"/>
      <c r="C649" s="181"/>
      <c r="D649" s="155"/>
      <c r="E649" s="155"/>
      <c r="F649" s="155"/>
      <c r="G649" s="155"/>
    </row>
    <row r="650" ht="15.75" customHeight="1">
      <c r="A650" s="180"/>
      <c r="C650" s="181"/>
      <c r="D650" s="155"/>
      <c r="E650" s="155"/>
      <c r="F650" s="155"/>
      <c r="G650" s="155"/>
    </row>
    <row r="651" ht="15.75" customHeight="1">
      <c r="A651" s="180"/>
      <c r="C651" s="181"/>
      <c r="D651" s="155"/>
      <c r="E651" s="155"/>
      <c r="F651" s="155"/>
      <c r="G651" s="155"/>
    </row>
    <row r="652" ht="15.75" customHeight="1">
      <c r="A652" s="180"/>
      <c r="C652" s="181"/>
      <c r="D652" s="155"/>
      <c r="E652" s="155"/>
      <c r="F652" s="155"/>
      <c r="G652" s="155"/>
    </row>
    <row r="653" ht="15.75" customHeight="1">
      <c r="A653" s="180"/>
      <c r="C653" s="181"/>
      <c r="D653" s="155"/>
      <c r="E653" s="155"/>
      <c r="F653" s="155"/>
      <c r="G653" s="155"/>
    </row>
    <row r="654" ht="15.75" customHeight="1">
      <c r="A654" s="180"/>
      <c r="C654" s="181"/>
      <c r="D654" s="155"/>
      <c r="E654" s="155"/>
      <c r="F654" s="155"/>
      <c r="G654" s="155"/>
    </row>
    <row r="655" ht="15.75" customHeight="1">
      <c r="A655" s="180"/>
      <c r="C655" s="181"/>
      <c r="D655" s="155"/>
      <c r="E655" s="155"/>
      <c r="F655" s="155"/>
      <c r="G655" s="155"/>
    </row>
    <row r="656" ht="15.75" customHeight="1">
      <c r="A656" s="180"/>
      <c r="C656" s="181"/>
      <c r="D656" s="155"/>
      <c r="E656" s="155"/>
      <c r="F656" s="155"/>
      <c r="G656" s="155"/>
    </row>
    <row r="657" ht="15.75" customHeight="1">
      <c r="A657" s="180"/>
      <c r="C657" s="181"/>
      <c r="D657" s="155"/>
      <c r="E657" s="155"/>
      <c r="F657" s="155"/>
      <c r="G657" s="155"/>
    </row>
    <row r="658" ht="15.75" customHeight="1">
      <c r="A658" s="180"/>
      <c r="C658" s="181"/>
      <c r="D658" s="155"/>
      <c r="E658" s="155"/>
      <c r="F658" s="155"/>
      <c r="G658" s="155"/>
    </row>
    <row r="659" ht="15.75" customHeight="1">
      <c r="A659" s="180"/>
      <c r="C659" s="181"/>
      <c r="D659" s="155"/>
      <c r="E659" s="155"/>
      <c r="F659" s="155"/>
      <c r="G659" s="155"/>
    </row>
    <row r="660" ht="15.75" customHeight="1">
      <c r="A660" s="180"/>
      <c r="C660" s="181"/>
      <c r="D660" s="155"/>
      <c r="E660" s="155"/>
      <c r="F660" s="155"/>
      <c r="G660" s="155"/>
    </row>
    <row r="661" ht="15.75" customHeight="1">
      <c r="A661" s="180"/>
      <c r="C661" s="181"/>
      <c r="D661" s="155"/>
      <c r="E661" s="155"/>
      <c r="F661" s="155"/>
      <c r="G661" s="155"/>
    </row>
    <row r="662" ht="15.75" customHeight="1">
      <c r="A662" s="180"/>
      <c r="C662" s="181"/>
      <c r="D662" s="155"/>
      <c r="E662" s="155"/>
      <c r="F662" s="155"/>
      <c r="G662" s="155"/>
    </row>
    <row r="663" ht="15.75" customHeight="1">
      <c r="A663" s="180"/>
      <c r="C663" s="181"/>
      <c r="D663" s="155"/>
      <c r="E663" s="155"/>
      <c r="F663" s="155"/>
      <c r="G663" s="155"/>
    </row>
    <row r="664" ht="15.75" customHeight="1">
      <c r="A664" s="180"/>
      <c r="C664" s="181"/>
      <c r="D664" s="155"/>
      <c r="E664" s="155"/>
      <c r="F664" s="155"/>
      <c r="G664" s="155"/>
    </row>
    <row r="665" ht="15.75" customHeight="1">
      <c r="A665" s="180"/>
      <c r="C665" s="181"/>
      <c r="D665" s="155"/>
      <c r="E665" s="155"/>
      <c r="F665" s="155"/>
      <c r="G665" s="155"/>
    </row>
    <row r="666" ht="15.75" customHeight="1">
      <c r="A666" s="180"/>
      <c r="C666" s="181"/>
      <c r="D666" s="155"/>
      <c r="E666" s="155"/>
      <c r="F666" s="155"/>
      <c r="G666" s="155"/>
    </row>
    <row r="667" ht="15.75" customHeight="1">
      <c r="A667" s="180"/>
      <c r="C667" s="181"/>
      <c r="D667" s="155"/>
      <c r="E667" s="155"/>
      <c r="F667" s="155"/>
      <c r="G667" s="155"/>
    </row>
    <row r="668" ht="15.75" customHeight="1">
      <c r="A668" s="180"/>
      <c r="C668" s="181"/>
      <c r="D668" s="155"/>
      <c r="E668" s="155"/>
      <c r="F668" s="155"/>
      <c r="G668" s="155"/>
    </row>
    <row r="669" ht="15.75" customHeight="1">
      <c r="A669" s="180"/>
      <c r="C669" s="181"/>
      <c r="D669" s="155"/>
      <c r="E669" s="155"/>
      <c r="F669" s="155"/>
      <c r="G669" s="155"/>
    </row>
    <row r="670" ht="15.75" customHeight="1">
      <c r="A670" s="180"/>
      <c r="C670" s="181"/>
      <c r="D670" s="155"/>
      <c r="E670" s="155"/>
      <c r="F670" s="155"/>
      <c r="G670" s="155"/>
    </row>
    <row r="671" ht="15.75" customHeight="1">
      <c r="A671" s="180"/>
      <c r="C671" s="181"/>
      <c r="D671" s="155"/>
      <c r="E671" s="155"/>
      <c r="F671" s="155"/>
      <c r="G671" s="155"/>
    </row>
    <row r="672" ht="15.75" customHeight="1">
      <c r="A672" s="180"/>
      <c r="C672" s="181"/>
      <c r="D672" s="155"/>
      <c r="E672" s="155"/>
      <c r="F672" s="155"/>
      <c r="G672" s="155"/>
    </row>
    <row r="673" ht="15.75" customHeight="1">
      <c r="A673" s="180"/>
      <c r="C673" s="181"/>
      <c r="D673" s="155"/>
      <c r="E673" s="155"/>
      <c r="F673" s="155"/>
      <c r="G673" s="155"/>
    </row>
    <row r="674" ht="15.75" customHeight="1">
      <c r="A674" s="180"/>
      <c r="C674" s="181"/>
      <c r="D674" s="155"/>
      <c r="E674" s="155"/>
      <c r="F674" s="155"/>
      <c r="G674" s="155"/>
    </row>
    <row r="675" ht="15.75" customHeight="1">
      <c r="A675" s="180"/>
      <c r="C675" s="181"/>
      <c r="D675" s="155"/>
      <c r="E675" s="155"/>
      <c r="F675" s="155"/>
      <c r="G675" s="155"/>
    </row>
    <row r="676" ht="15.75" customHeight="1">
      <c r="A676" s="180"/>
      <c r="C676" s="181"/>
      <c r="D676" s="155"/>
      <c r="E676" s="155"/>
      <c r="F676" s="155"/>
      <c r="G676" s="155"/>
    </row>
    <row r="677" ht="15.75" customHeight="1">
      <c r="A677" s="180"/>
      <c r="C677" s="181"/>
      <c r="D677" s="155"/>
      <c r="E677" s="155"/>
      <c r="F677" s="155"/>
      <c r="G677" s="155"/>
    </row>
    <row r="678" ht="15.75" customHeight="1">
      <c r="A678" s="180"/>
      <c r="C678" s="181"/>
      <c r="D678" s="155"/>
      <c r="E678" s="155"/>
      <c r="F678" s="155"/>
      <c r="G678" s="155"/>
    </row>
    <row r="679" ht="15.75" customHeight="1">
      <c r="A679" s="180"/>
      <c r="C679" s="181"/>
      <c r="D679" s="155"/>
      <c r="E679" s="155"/>
      <c r="F679" s="155"/>
      <c r="G679" s="155"/>
    </row>
    <row r="680" ht="15.75" customHeight="1">
      <c r="A680" s="180"/>
      <c r="C680" s="181"/>
      <c r="D680" s="155"/>
      <c r="E680" s="155"/>
      <c r="F680" s="155"/>
      <c r="G680" s="155"/>
    </row>
    <row r="681" ht="15.75" customHeight="1">
      <c r="A681" s="180"/>
      <c r="C681" s="181"/>
      <c r="D681" s="155"/>
      <c r="E681" s="155"/>
      <c r="F681" s="155"/>
      <c r="G681" s="155"/>
    </row>
    <row r="682" ht="15.75" customHeight="1">
      <c r="A682" s="180"/>
      <c r="C682" s="181"/>
      <c r="D682" s="155"/>
      <c r="E682" s="155"/>
      <c r="F682" s="155"/>
      <c r="G682" s="155"/>
    </row>
    <row r="683" ht="15.75" customHeight="1">
      <c r="A683" s="180"/>
      <c r="C683" s="181"/>
      <c r="D683" s="155"/>
      <c r="E683" s="155"/>
      <c r="F683" s="155"/>
      <c r="G683" s="155"/>
    </row>
    <row r="684" ht="15.75" customHeight="1">
      <c r="A684" s="180"/>
      <c r="C684" s="181"/>
      <c r="D684" s="155"/>
      <c r="E684" s="155"/>
      <c r="F684" s="155"/>
      <c r="G684" s="155"/>
    </row>
    <row r="685" ht="15.75" customHeight="1">
      <c r="A685" s="180"/>
      <c r="C685" s="181"/>
      <c r="D685" s="155"/>
      <c r="E685" s="155"/>
      <c r="F685" s="155"/>
      <c r="G685" s="155"/>
    </row>
    <row r="686" ht="15.75" customHeight="1">
      <c r="A686" s="180"/>
      <c r="C686" s="181"/>
      <c r="D686" s="155"/>
      <c r="E686" s="155"/>
      <c r="F686" s="155"/>
      <c r="G686" s="155"/>
    </row>
    <row r="687" ht="15.75" customHeight="1">
      <c r="A687" s="180"/>
      <c r="C687" s="181"/>
      <c r="D687" s="155"/>
      <c r="E687" s="155"/>
      <c r="F687" s="155"/>
      <c r="G687" s="155"/>
    </row>
    <row r="688" ht="15.75" customHeight="1">
      <c r="A688" s="180"/>
      <c r="C688" s="181"/>
      <c r="D688" s="155"/>
      <c r="E688" s="155"/>
      <c r="F688" s="155"/>
      <c r="G688" s="155"/>
    </row>
    <row r="689" ht="15.75" customHeight="1">
      <c r="A689" s="180"/>
      <c r="C689" s="181"/>
      <c r="D689" s="155"/>
      <c r="E689" s="155"/>
      <c r="F689" s="155"/>
      <c r="G689" s="155"/>
    </row>
    <row r="690" ht="15.75" customHeight="1">
      <c r="A690" s="180"/>
      <c r="C690" s="181"/>
      <c r="D690" s="155"/>
      <c r="E690" s="155"/>
      <c r="F690" s="155"/>
      <c r="G690" s="155"/>
    </row>
    <row r="691" ht="15.75" customHeight="1">
      <c r="A691" s="180"/>
      <c r="C691" s="181"/>
      <c r="D691" s="155"/>
      <c r="E691" s="155"/>
      <c r="F691" s="155"/>
      <c r="G691" s="155"/>
    </row>
    <row r="692" ht="15.75" customHeight="1">
      <c r="A692" s="180"/>
      <c r="C692" s="181"/>
      <c r="D692" s="155"/>
      <c r="E692" s="155"/>
      <c r="F692" s="155"/>
      <c r="G692" s="155"/>
    </row>
    <row r="693" ht="15.75" customHeight="1">
      <c r="A693" s="180"/>
      <c r="C693" s="181"/>
      <c r="D693" s="155"/>
      <c r="E693" s="155"/>
      <c r="F693" s="155"/>
      <c r="G693" s="155"/>
    </row>
    <row r="694" ht="15.75" customHeight="1">
      <c r="A694" s="180"/>
      <c r="C694" s="181"/>
      <c r="D694" s="155"/>
      <c r="E694" s="155"/>
      <c r="F694" s="155"/>
      <c r="G694" s="155"/>
    </row>
    <row r="695" ht="15.75" customHeight="1">
      <c r="A695" s="180"/>
      <c r="C695" s="181"/>
      <c r="D695" s="155"/>
      <c r="E695" s="155"/>
      <c r="F695" s="155"/>
      <c r="G695" s="155"/>
    </row>
    <row r="696" ht="15.75" customHeight="1">
      <c r="A696" s="180"/>
      <c r="C696" s="181"/>
      <c r="D696" s="155"/>
      <c r="E696" s="155"/>
      <c r="F696" s="155"/>
      <c r="G696" s="155"/>
    </row>
    <row r="697" ht="15.75" customHeight="1">
      <c r="A697" s="180"/>
      <c r="C697" s="181"/>
      <c r="D697" s="155"/>
      <c r="E697" s="155"/>
      <c r="F697" s="155"/>
      <c r="G697" s="155"/>
    </row>
    <row r="698" ht="15.75" customHeight="1">
      <c r="A698" s="180"/>
      <c r="C698" s="181"/>
      <c r="D698" s="155"/>
      <c r="E698" s="155"/>
      <c r="F698" s="155"/>
      <c r="G698" s="155"/>
    </row>
    <row r="699" ht="15.75" customHeight="1">
      <c r="A699" s="180"/>
      <c r="C699" s="181"/>
      <c r="D699" s="155"/>
      <c r="E699" s="155"/>
      <c r="F699" s="155"/>
      <c r="G699" s="155"/>
    </row>
    <row r="700" ht="15.75" customHeight="1">
      <c r="A700" s="180"/>
      <c r="C700" s="181"/>
      <c r="D700" s="155"/>
      <c r="E700" s="155"/>
      <c r="F700" s="155"/>
      <c r="G700" s="155"/>
    </row>
    <row r="701" ht="15.75" customHeight="1">
      <c r="A701" s="180"/>
      <c r="C701" s="181"/>
      <c r="D701" s="155"/>
      <c r="E701" s="155"/>
      <c r="F701" s="155"/>
      <c r="G701" s="155"/>
    </row>
    <row r="702" ht="15.75" customHeight="1">
      <c r="A702" s="180"/>
      <c r="C702" s="181"/>
      <c r="D702" s="155"/>
      <c r="E702" s="155"/>
      <c r="F702" s="155"/>
      <c r="G702" s="155"/>
    </row>
    <row r="703" ht="15.75" customHeight="1">
      <c r="A703" s="180"/>
      <c r="C703" s="181"/>
      <c r="D703" s="155"/>
      <c r="E703" s="155"/>
      <c r="F703" s="155"/>
      <c r="G703" s="155"/>
    </row>
    <row r="704" ht="15.75" customHeight="1">
      <c r="A704" s="180"/>
      <c r="C704" s="181"/>
      <c r="D704" s="155"/>
      <c r="E704" s="155"/>
      <c r="F704" s="155"/>
      <c r="G704" s="155"/>
    </row>
    <row r="705" ht="15.75" customHeight="1">
      <c r="A705" s="180"/>
      <c r="C705" s="181"/>
      <c r="D705" s="155"/>
      <c r="E705" s="155"/>
      <c r="F705" s="155"/>
      <c r="G705" s="155"/>
    </row>
    <row r="706" ht="15.75" customHeight="1">
      <c r="A706" s="180"/>
      <c r="C706" s="181"/>
      <c r="D706" s="155"/>
      <c r="E706" s="155"/>
      <c r="F706" s="155"/>
      <c r="G706" s="155"/>
    </row>
    <row r="707" ht="15.75" customHeight="1">
      <c r="A707" s="180"/>
      <c r="C707" s="181"/>
      <c r="D707" s="155"/>
      <c r="E707" s="155"/>
      <c r="F707" s="155"/>
      <c r="G707" s="155"/>
    </row>
    <row r="708" ht="15.75" customHeight="1">
      <c r="A708" s="180"/>
      <c r="C708" s="181"/>
      <c r="D708" s="155"/>
      <c r="E708" s="155"/>
      <c r="F708" s="155"/>
      <c r="G708" s="155"/>
    </row>
    <row r="709" ht="15.75" customHeight="1">
      <c r="A709" s="180"/>
      <c r="C709" s="181"/>
      <c r="D709" s="155"/>
      <c r="E709" s="155"/>
      <c r="F709" s="155"/>
      <c r="G709" s="155"/>
    </row>
    <row r="710" ht="15.75" customHeight="1">
      <c r="A710" s="180"/>
      <c r="C710" s="181"/>
      <c r="D710" s="155"/>
      <c r="E710" s="155"/>
      <c r="F710" s="155"/>
      <c r="G710" s="155"/>
    </row>
    <row r="711" ht="15.75" customHeight="1">
      <c r="A711" s="180"/>
      <c r="C711" s="181"/>
      <c r="D711" s="155"/>
      <c r="E711" s="155"/>
      <c r="F711" s="155"/>
      <c r="G711" s="155"/>
    </row>
    <row r="712" ht="15.75" customHeight="1">
      <c r="A712" s="180"/>
      <c r="C712" s="181"/>
      <c r="D712" s="155"/>
      <c r="E712" s="155"/>
      <c r="F712" s="155"/>
      <c r="G712" s="155"/>
    </row>
    <row r="713" ht="15.75" customHeight="1">
      <c r="A713" s="180"/>
      <c r="C713" s="181"/>
      <c r="D713" s="155"/>
      <c r="E713" s="155"/>
      <c r="F713" s="155"/>
      <c r="G713" s="155"/>
    </row>
    <row r="714" ht="15.75" customHeight="1">
      <c r="A714" s="180"/>
      <c r="C714" s="181"/>
      <c r="D714" s="155"/>
      <c r="E714" s="155"/>
      <c r="F714" s="155"/>
      <c r="G714" s="155"/>
    </row>
    <row r="715" ht="15.75" customHeight="1">
      <c r="A715" s="180"/>
      <c r="C715" s="181"/>
      <c r="D715" s="155"/>
      <c r="E715" s="155"/>
      <c r="F715" s="155"/>
      <c r="G715" s="155"/>
    </row>
    <row r="716" ht="15.75" customHeight="1">
      <c r="A716" s="180"/>
      <c r="C716" s="181"/>
      <c r="D716" s="155"/>
      <c r="E716" s="155"/>
      <c r="F716" s="155"/>
      <c r="G716" s="155"/>
    </row>
    <row r="717" ht="15.75" customHeight="1">
      <c r="A717" s="180"/>
      <c r="C717" s="181"/>
      <c r="D717" s="155"/>
      <c r="E717" s="155"/>
      <c r="F717" s="155"/>
      <c r="G717" s="155"/>
    </row>
    <row r="718" ht="15.75" customHeight="1">
      <c r="A718" s="180"/>
      <c r="C718" s="181"/>
      <c r="D718" s="155"/>
      <c r="E718" s="155"/>
      <c r="F718" s="155"/>
      <c r="G718" s="155"/>
    </row>
    <row r="719" ht="15.75" customHeight="1">
      <c r="A719" s="180"/>
      <c r="C719" s="181"/>
      <c r="D719" s="155"/>
      <c r="E719" s="155"/>
      <c r="F719" s="155"/>
      <c r="G719" s="155"/>
    </row>
    <row r="720" ht="15.75" customHeight="1">
      <c r="A720" s="180"/>
      <c r="C720" s="181"/>
      <c r="D720" s="155"/>
      <c r="E720" s="155"/>
      <c r="F720" s="155"/>
      <c r="G720" s="155"/>
    </row>
    <row r="721" ht="15.75" customHeight="1">
      <c r="A721" s="180"/>
      <c r="C721" s="181"/>
      <c r="D721" s="155"/>
      <c r="E721" s="155"/>
      <c r="F721" s="155"/>
      <c r="G721" s="155"/>
    </row>
    <row r="722" ht="15.75" customHeight="1">
      <c r="A722" s="180"/>
      <c r="C722" s="181"/>
      <c r="D722" s="155"/>
      <c r="E722" s="155"/>
      <c r="F722" s="155"/>
      <c r="G722" s="155"/>
    </row>
    <row r="723" ht="15.75" customHeight="1">
      <c r="A723" s="180"/>
      <c r="C723" s="181"/>
      <c r="D723" s="155"/>
      <c r="E723" s="155"/>
      <c r="F723" s="155"/>
      <c r="G723" s="155"/>
    </row>
    <row r="724" ht="15.75" customHeight="1">
      <c r="A724" s="180"/>
      <c r="C724" s="181"/>
      <c r="D724" s="155"/>
      <c r="E724" s="155"/>
      <c r="F724" s="155"/>
      <c r="G724" s="155"/>
    </row>
    <row r="725" ht="15.75" customHeight="1">
      <c r="A725" s="180"/>
      <c r="C725" s="181"/>
      <c r="D725" s="155"/>
      <c r="E725" s="155"/>
      <c r="F725" s="155"/>
      <c r="G725" s="155"/>
    </row>
    <row r="726" ht="15.75" customHeight="1">
      <c r="A726" s="180"/>
      <c r="C726" s="181"/>
      <c r="D726" s="155"/>
      <c r="E726" s="155"/>
      <c r="F726" s="155"/>
      <c r="G726" s="155"/>
    </row>
    <row r="727" ht="15.75" customHeight="1">
      <c r="A727" s="180"/>
      <c r="C727" s="181"/>
      <c r="D727" s="155"/>
      <c r="E727" s="155"/>
      <c r="F727" s="155"/>
      <c r="G727" s="155"/>
    </row>
    <row r="728" ht="15.75" customHeight="1">
      <c r="A728" s="180"/>
      <c r="C728" s="181"/>
      <c r="D728" s="155"/>
      <c r="E728" s="155"/>
      <c r="F728" s="155"/>
      <c r="G728" s="155"/>
    </row>
    <row r="729" ht="15.75" customHeight="1">
      <c r="A729" s="180"/>
      <c r="C729" s="181"/>
      <c r="D729" s="155"/>
      <c r="E729" s="155"/>
      <c r="F729" s="155"/>
      <c r="G729" s="155"/>
    </row>
    <row r="730" ht="15.75" customHeight="1">
      <c r="A730" s="180"/>
      <c r="C730" s="181"/>
      <c r="D730" s="155"/>
      <c r="E730" s="155"/>
      <c r="F730" s="155"/>
      <c r="G730" s="155"/>
    </row>
    <row r="731" ht="15.75" customHeight="1">
      <c r="A731" s="180"/>
      <c r="C731" s="181"/>
      <c r="D731" s="155"/>
      <c r="E731" s="155"/>
      <c r="F731" s="155"/>
      <c r="G731" s="155"/>
    </row>
    <row r="732" ht="15.75" customHeight="1">
      <c r="A732" s="180"/>
      <c r="C732" s="181"/>
      <c r="D732" s="155"/>
      <c r="E732" s="155"/>
      <c r="F732" s="155"/>
      <c r="G732" s="155"/>
    </row>
    <row r="733" ht="15.75" customHeight="1">
      <c r="A733" s="180"/>
      <c r="C733" s="181"/>
      <c r="D733" s="155"/>
      <c r="E733" s="155"/>
      <c r="F733" s="155"/>
      <c r="G733" s="155"/>
    </row>
    <row r="734" ht="15.75" customHeight="1">
      <c r="A734" s="180"/>
      <c r="C734" s="181"/>
      <c r="D734" s="155"/>
      <c r="E734" s="155"/>
      <c r="F734" s="155"/>
      <c r="G734" s="155"/>
    </row>
    <row r="735" ht="15.75" customHeight="1">
      <c r="A735" s="180"/>
      <c r="C735" s="181"/>
      <c r="D735" s="155"/>
      <c r="E735" s="155"/>
      <c r="F735" s="155"/>
      <c r="G735" s="155"/>
    </row>
    <row r="736" ht="15.75" customHeight="1">
      <c r="A736" s="180"/>
      <c r="C736" s="181"/>
      <c r="D736" s="155"/>
      <c r="E736" s="155"/>
      <c r="F736" s="155"/>
      <c r="G736" s="155"/>
    </row>
    <row r="737" ht="15.75" customHeight="1">
      <c r="A737" s="180"/>
      <c r="C737" s="181"/>
      <c r="D737" s="155"/>
      <c r="E737" s="155"/>
      <c r="F737" s="155"/>
      <c r="G737" s="155"/>
    </row>
    <row r="738" ht="15.75" customHeight="1">
      <c r="A738" s="180"/>
      <c r="C738" s="181"/>
      <c r="D738" s="155"/>
      <c r="E738" s="155"/>
      <c r="F738" s="155"/>
      <c r="G738" s="155"/>
    </row>
    <row r="739" ht="15.75" customHeight="1">
      <c r="A739" s="180"/>
      <c r="C739" s="181"/>
      <c r="D739" s="155"/>
      <c r="E739" s="155"/>
      <c r="F739" s="155"/>
      <c r="G739" s="155"/>
    </row>
    <row r="740" ht="15.75" customHeight="1">
      <c r="A740" s="180"/>
      <c r="C740" s="181"/>
      <c r="D740" s="155"/>
      <c r="E740" s="155"/>
      <c r="F740" s="155"/>
      <c r="G740" s="155"/>
    </row>
    <row r="741" ht="15.75" customHeight="1">
      <c r="A741" s="180"/>
      <c r="C741" s="181"/>
      <c r="D741" s="155"/>
      <c r="E741" s="155"/>
      <c r="F741" s="155"/>
      <c r="G741" s="155"/>
    </row>
    <row r="742" ht="15.75" customHeight="1">
      <c r="A742" s="180"/>
      <c r="C742" s="181"/>
      <c r="D742" s="155"/>
      <c r="E742" s="155"/>
      <c r="F742" s="155"/>
      <c r="G742" s="155"/>
    </row>
    <row r="743" ht="15.75" customHeight="1">
      <c r="A743" s="180"/>
      <c r="C743" s="181"/>
      <c r="D743" s="155"/>
      <c r="E743" s="155"/>
      <c r="F743" s="155"/>
      <c r="G743" s="155"/>
    </row>
    <row r="744" ht="15.75" customHeight="1">
      <c r="A744" s="180"/>
      <c r="C744" s="181"/>
      <c r="D744" s="155"/>
      <c r="E744" s="155"/>
      <c r="F744" s="155"/>
      <c r="G744" s="155"/>
    </row>
    <row r="745" ht="15.75" customHeight="1">
      <c r="A745" s="180"/>
      <c r="C745" s="181"/>
      <c r="D745" s="155"/>
      <c r="E745" s="155"/>
      <c r="F745" s="155"/>
      <c r="G745" s="155"/>
    </row>
    <row r="746" ht="15.75" customHeight="1">
      <c r="A746" s="180"/>
      <c r="C746" s="181"/>
      <c r="D746" s="155"/>
      <c r="E746" s="155"/>
      <c r="F746" s="155"/>
      <c r="G746" s="155"/>
    </row>
    <row r="747" ht="15.75" customHeight="1">
      <c r="A747" s="180"/>
      <c r="C747" s="181"/>
      <c r="D747" s="155"/>
      <c r="E747" s="155"/>
      <c r="F747" s="155"/>
      <c r="G747" s="155"/>
    </row>
    <row r="748" ht="15.75" customHeight="1">
      <c r="A748" s="180"/>
      <c r="C748" s="181"/>
      <c r="D748" s="155"/>
      <c r="E748" s="155"/>
      <c r="F748" s="155"/>
      <c r="G748" s="155"/>
    </row>
    <row r="749" ht="15.75" customHeight="1">
      <c r="A749" s="180"/>
      <c r="C749" s="181"/>
      <c r="D749" s="155"/>
      <c r="E749" s="155"/>
      <c r="F749" s="155"/>
      <c r="G749" s="155"/>
    </row>
    <row r="750" ht="15.75" customHeight="1">
      <c r="A750" s="180"/>
      <c r="C750" s="181"/>
      <c r="D750" s="155"/>
      <c r="E750" s="155"/>
      <c r="F750" s="155"/>
      <c r="G750" s="155"/>
    </row>
    <row r="751" ht="15.75" customHeight="1">
      <c r="A751" s="180"/>
      <c r="C751" s="181"/>
      <c r="D751" s="155"/>
      <c r="E751" s="155"/>
      <c r="F751" s="155"/>
      <c r="G751" s="155"/>
    </row>
    <row r="752" ht="15.75" customHeight="1">
      <c r="A752" s="180"/>
      <c r="C752" s="181"/>
      <c r="D752" s="155"/>
      <c r="E752" s="155"/>
      <c r="F752" s="155"/>
      <c r="G752" s="155"/>
    </row>
    <row r="753" ht="15.75" customHeight="1">
      <c r="A753" s="180"/>
      <c r="C753" s="181"/>
      <c r="D753" s="155"/>
      <c r="E753" s="155"/>
      <c r="F753" s="155"/>
      <c r="G753" s="155"/>
    </row>
    <row r="754" ht="15.75" customHeight="1">
      <c r="A754" s="180"/>
      <c r="C754" s="181"/>
      <c r="D754" s="155"/>
      <c r="E754" s="155"/>
      <c r="F754" s="155"/>
      <c r="G754" s="155"/>
    </row>
    <row r="755" ht="15.75" customHeight="1">
      <c r="A755" s="180"/>
      <c r="C755" s="181"/>
      <c r="D755" s="155"/>
      <c r="E755" s="155"/>
      <c r="F755" s="155"/>
      <c r="G755" s="155"/>
    </row>
    <row r="756" ht="15.75" customHeight="1">
      <c r="A756" s="180"/>
      <c r="C756" s="181"/>
      <c r="D756" s="155"/>
      <c r="E756" s="155"/>
      <c r="F756" s="155"/>
      <c r="G756" s="155"/>
    </row>
    <row r="757" ht="15.75" customHeight="1">
      <c r="A757" s="180"/>
      <c r="C757" s="181"/>
      <c r="D757" s="155"/>
      <c r="E757" s="155"/>
      <c r="F757" s="155"/>
      <c r="G757" s="155"/>
    </row>
    <row r="758" ht="15.75" customHeight="1">
      <c r="A758" s="180"/>
      <c r="C758" s="181"/>
      <c r="D758" s="155"/>
      <c r="E758" s="155"/>
      <c r="F758" s="155"/>
      <c r="G758" s="155"/>
    </row>
    <row r="759" ht="15.75" customHeight="1">
      <c r="A759" s="180"/>
      <c r="C759" s="181"/>
      <c r="D759" s="155"/>
      <c r="E759" s="155"/>
      <c r="F759" s="155"/>
      <c r="G759" s="155"/>
    </row>
    <row r="760" ht="15.75" customHeight="1">
      <c r="A760" s="180"/>
      <c r="C760" s="181"/>
      <c r="D760" s="155"/>
      <c r="E760" s="155"/>
      <c r="F760" s="155"/>
      <c r="G760" s="155"/>
    </row>
    <row r="761" ht="15.75" customHeight="1">
      <c r="A761" s="180"/>
      <c r="C761" s="181"/>
      <c r="D761" s="155"/>
      <c r="E761" s="155"/>
      <c r="F761" s="155"/>
      <c r="G761" s="155"/>
    </row>
    <row r="762" ht="15.75" customHeight="1">
      <c r="A762" s="180"/>
      <c r="C762" s="181"/>
      <c r="D762" s="155"/>
      <c r="E762" s="155"/>
      <c r="F762" s="155"/>
      <c r="G762" s="155"/>
    </row>
    <row r="763" ht="15.75" customHeight="1">
      <c r="A763" s="180"/>
      <c r="C763" s="181"/>
      <c r="D763" s="155"/>
      <c r="E763" s="155"/>
      <c r="F763" s="155"/>
      <c r="G763" s="155"/>
    </row>
    <row r="764" ht="15.75" customHeight="1">
      <c r="A764" s="180"/>
      <c r="C764" s="181"/>
      <c r="D764" s="155"/>
      <c r="E764" s="155"/>
      <c r="F764" s="155"/>
      <c r="G764" s="155"/>
    </row>
    <row r="765" ht="15.75" customHeight="1">
      <c r="A765" s="180"/>
      <c r="C765" s="181"/>
      <c r="D765" s="155"/>
      <c r="E765" s="155"/>
      <c r="F765" s="155"/>
      <c r="G765" s="155"/>
    </row>
    <row r="766" ht="15.75" customHeight="1">
      <c r="A766" s="180"/>
      <c r="C766" s="181"/>
      <c r="D766" s="155"/>
      <c r="E766" s="155"/>
      <c r="F766" s="155"/>
      <c r="G766" s="155"/>
    </row>
    <row r="767" ht="15.75" customHeight="1">
      <c r="A767" s="180"/>
      <c r="C767" s="181"/>
      <c r="D767" s="155"/>
      <c r="E767" s="155"/>
      <c r="F767" s="155"/>
      <c r="G767" s="155"/>
    </row>
    <row r="768" ht="15.75" customHeight="1">
      <c r="A768" s="180"/>
      <c r="C768" s="181"/>
      <c r="D768" s="155"/>
      <c r="E768" s="155"/>
      <c r="F768" s="155"/>
      <c r="G768" s="155"/>
    </row>
    <row r="769" ht="15.75" customHeight="1">
      <c r="A769" s="180"/>
      <c r="C769" s="181"/>
      <c r="D769" s="155"/>
      <c r="E769" s="155"/>
      <c r="F769" s="155"/>
      <c r="G769" s="155"/>
    </row>
    <row r="770" ht="15.75" customHeight="1">
      <c r="A770" s="180"/>
      <c r="C770" s="181"/>
      <c r="D770" s="155"/>
      <c r="E770" s="155"/>
      <c r="F770" s="155"/>
      <c r="G770" s="155"/>
    </row>
    <row r="771" ht="15.75" customHeight="1">
      <c r="A771" s="180"/>
      <c r="C771" s="181"/>
      <c r="D771" s="155"/>
      <c r="E771" s="155"/>
      <c r="F771" s="155"/>
      <c r="G771" s="155"/>
    </row>
    <row r="772" ht="15.75" customHeight="1">
      <c r="A772" s="180"/>
      <c r="C772" s="181"/>
      <c r="D772" s="155"/>
      <c r="E772" s="155"/>
      <c r="F772" s="155"/>
      <c r="G772" s="155"/>
    </row>
    <row r="773" ht="15.75" customHeight="1">
      <c r="A773" s="180"/>
      <c r="C773" s="181"/>
      <c r="D773" s="155"/>
      <c r="E773" s="155"/>
      <c r="F773" s="155"/>
      <c r="G773" s="155"/>
    </row>
    <row r="774" ht="15.75" customHeight="1">
      <c r="A774" s="180"/>
      <c r="C774" s="181"/>
      <c r="D774" s="155"/>
      <c r="E774" s="155"/>
      <c r="F774" s="155"/>
      <c r="G774" s="155"/>
    </row>
    <row r="775" ht="15.75" customHeight="1">
      <c r="A775" s="180"/>
      <c r="C775" s="181"/>
      <c r="D775" s="155"/>
      <c r="E775" s="155"/>
      <c r="F775" s="155"/>
      <c r="G775" s="155"/>
    </row>
    <row r="776" ht="15.75" customHeight="1">
      <c r="A776" s="180"/>
      <c r="C776" s="181"/>
      <c r="D776" s="155"/>
      <c r="E776" s="155"/>
      <c r="F776" s="155"/>
      <c r="G776" s="155"/>
    </row>
    <row r="777" ht="15.75" customHeight="1">
      <c r="A777" s="180"/>
      <c r="C777" s="181"/>
      <c r="D777" s="155"/>
      <c r="E777" s="155"/>
      <c r="F777" s="155"/>
      <c r="G777" s="155"/>
    </row>
    <row r="778" ht="15.75" customHeight="1">
      <c r="A778" s="180"/>
      <c r="C778" s="181"/>
      <c r="D778" s="155"/>
      <c r="E778" s="155"/>
      <c r="F778" s="155"/>
      <c r="G778" s="155"/>
    </row>
    <row r="779" ht="15.75" customHeight="1">
      <c r="A779" s="180"/>
      <c r="C779" s="181"/>
      <c r="D779" s="155"/>
      <c r="E779" s="155"/>
      <c r="F779" s="155"/>
      <c r="G779" s="155"/>
    </row>
    <row r="780" ht="15.75" customHeight="1">
      <c r="A780" s="180"/>
      <c r="C780" s="181"/>
      <c r="D780" s="155"/>
      <c r="E780" s="155"/>
      <c r="F780" s="155"/>
      <c r="G780" s="155"/>
    </row>
    <row r="781" ht="15.75" customHeight="1">
      <c r="A781" s="180"/>
      <c r="C781" s="181"/>
      <c r="D781" s="155"/>
      <c r="E781" s="155"/>
      <c r="F781" s="155"/>
      <c r="G781" s="155"/>
    </row>
    <row r="782" ht="15.75" customHeight="1">
      <c r="A782" s="180"/>
      <c r="C782" s="181"/>
      <c r="D782" s="155"/>
      <c r="E782" s="155"/>
      <c r="F782" s="155"/>
      <c r="G782" s="155"/>
    </row>
    <row r="783" ht="15.75" customHeight="1">
      <c r="A783" s="180"/>
      <c r="C783" s="181"/>
      <c r="D783" s="155"/>
      <c r="E783" s="155"/>
      <c r="F783" s="155"/>
      <c r="G783" s="155"/>
    </row>
    <row r="784" ht="15.75" customHeight="1">
      <c r="A784" s="180"/>
      <c r="C784" s="181"/>
      <c r="D784" s="155"/>
      <c r="E784" s="155"/>
      <c r="F784" s="155"/>
      <c r="G784" s="155"/>
    </row>
    <row r="785" ht="15.75" customHeight="1">
      <c r="A785" s="180"/>
      <c r="C785" s="181"/>
      <c r="D785" s="155"/>
      <c r="E785" s="155"/>
      <c r="F785" s="155"/>
      <c r="G785" s="155"/>
    </row>
    <row r="786" ht="15.75" customHeight="1">
      <c r="A786" s="180"/>
      <c r="C786" s="181"/>
      <c r="D786" s="155"/>
      <c r="E786" s="155"/>
      <c r="F786" s="155"/>
      <c r="G786" s="155"/>
    </row>
    <row r="787" ht="15.75" customHeight="1">
      <c r="A787" s="180"/>
      <c r="C787" s="181"/>
      <c r="D787" s="155"/>
      <c r="E787" s="155"/>
      <c r="F787" s="155"/>
      <c r="G787" s="155"/>
    </row>
    <row r="788" ht="15.75" customHeight="1">
      <c r="A788" s="180"/>
      <c r="C788" s="181"/>
      <c r="D788" s="155"/>
      <c r="E788" s="155"/>
      <c r="F788" s="155"/>
      <c r="G788" s="155"/>
    </row>
    <row r="789" ht="15.75" customHeight="1">
      <c r="A789" s="180"/>
      <c r="C789" s="181"/>
      <c r="D789" s="155"/>
      <c r="E789" s="155"/>
      <c r="F789" s="155"/>
      <c r="G789" s="155"/>
    </row>
    <row r="790" ht="15.75" customHeight="1">
      <c r="A790" s="180"/>
      <c r="C790" s="181"/>
      <c r="D790" s="155"/>
      <c r="E790" s="155"/>
      <c r="F790" s="155"/>
      <c r="G790" s="155"/>
    </row>
    <row r="791" ht="15.75" customHeight="1">
      <c r="A791" s="180"/>
      <c r="C791" s="181"/>
      <c r="D791" s="155"/>
      <c r="E791" s="155"/>
      <c r="F791" s="155"/>
      <c r="G791" s="155"/>
    </row>
    <row r="792" ht="15.75" customHeight="1">
      <c r="A792" s="180"/>
      <c r="C792" s="181"/>
      <c r="D792" s="155"/>
      <c r="E792" s="155"/>
      <c r="F792" s="155"/>
      <c r="G792" s="155"/>
    </row>
    <row r="793" ht="15.75" customHeight="1">
      <c r="A793" s="180"/>
      <c r="C793" s="181"/>
      <c r="D793" s="155"/>
      <c r="E793" s="155"/>
      <c r="F793" s="155"/>
      <c r="G793" s="155"/>
    </row>
    <row r="794" ht="15.75" customHeight="1">
      <c r="A794" s="180"/>
      <c r="C794" s="181"/>
      <c r="D794" s="155"/>
      <c r="E794" s="155"/>
      <c r="F794" s="155"/>
      <c r="G794" s="155"/>
    </row>
    <row r="795" ht="15.75" customHeight="1">
      <c r="A795" s="180"/>
      <c r="C795" s="181"/>
      <c r="D795" s="155"/>
      <c r="E795" s="155"/>
      <c r="F795" s="155"/>
      <c r="G795" s="155"/>
    </row>
    <row r="796" ht="15.75" customHeight="1">
      <c r="A796" s="180"/>
      <c r="C796" s="181"/>
      <c r="D796" s="155"/>
      <c r="E796" s="155"/>
      <c r="F796" s="155"/>
      <c r="G796" s="155"/>
    </row>
    <row r="797" ht="15.75" customHeight="1">
      <c r="A797" s="180"/>
      <c r="C797" s="181"/>
      <c r="D797" s="155"/>
      <c r="E797" s="155"/>
      <c r="F797" s="155"/>
      <c r="G797" s="155"/>
    </row>
    <row r="798" ht="15.75" customHeight="1">
      <c r="A798" s="180"/>
      <c r="C798" s="181"/>
      <c r="D798" s="155"/>
      <c r="E798" s="155"/>
      <c r="F798" s="155"/>
      <c r="G798" s="155"/>
    </row>
    <row r="799" ht="15.75" customHeight="1">
      <c r="A799" s="180"/>
      <c r="C799" s="181"/>
      <c r="D799" s="155"/>
      <c r="E799" s="155"/>
      <c r="F799" s="155"/>
      <c r="G799" s="155"/>
    </row>
    <row r="800" ht="15.75" customHeight="1">
      <c r="A800" s="180"/>
      <c r="C800" s="181"/>
      <c r="D800" s="155"/>
      <c r="E800" s="155"/>
      <c r="F800" s="155"/>
      <c r="G800" s="155"/>
    </row>
    <row r="801" ht="15.75" customHeight="1">
      <c r="A801" s="180"/>
      <c r="C801" s="181"/>
      <c r="D801" s="155"/>
      <c r="E801" s="155"/>
      <c r="F801" s="155"/>
      <c r="G801" s="155"/>
    </row>
    <row r="802" ht="15.75" customHeight="1">
      <c r="A802" s="180"/>
      <c r="C802" s="181"/>
      <c r="D802" s="155"/>
      <c r="E802" s="155"/>
      <c r="F802" s="155"/>
      <c r="G802" s="155"/>
    </row>
    <row r="803" ht="15.75" customHeight="1">
      <c r="A803" s="180"/>
      <c r="C803" s="181"/>
      <c r="D803" s="155"/>
      <c r="E803" s="155"/>
      <c r="F803" s="155"/>
      <c r="G803" s="155"/>
    </row>
    <row r="804" ht="15.75" customHeight="1">
      <c r="A804" s="180"/>
      <c r="C804" s="181"/>
      <c r="D804" s="155"/>
      <c r="E804" s="155"/>
      <c r="F804" s="155"/>
      <c r="G804" s="155"/>
    </row>
    <row r="805" ht="15.75" customHeight="1">
      <c r="A805" s="180"/>
      <c r="C805" s="181"/>
      <c r="D805" s="155"/>
      <c r="E805" s="155"/>
      <c r="F805" s="155"/>
      <c r="G805" s="155"/>
    </row>
    <row r="806" ht="15.75" customHeight="1">
      <c r="A806" s="180"/>
      <c r="C806" s="181"/>
      <c r="D806" s="155"/>
      <c r="E806" s="155"/>
      <c r="F806" s="155"/>
      <c r="G806" s="155"/>
    </row>
    <row r="807" ht="15.75" customHeight="1">
      <c r="A807" s="180"/>
      <c r="C807" s="181"/>
      <c r="D807" s="155"/>
      <c r="E807" s="155"/>
      <c r="F807" s="155"/>
      <c r="G807" s="155"/>
    </row>
    <row r="808" ht="15.75" customHeight="1">
      <c r="A808" s="180"/>
      <c r="C808" s="181"/>
      <c r="D808" s="155"/>
      <c r="E808" s="155"/>
      <c r="F808" s="155"/>
      <c r="G808" s="155"/>
    </row>
    <row r="809" ht="15.75" customHeight="1">
      <c r="A809" s="180"/>
      <c r="C809" s="181"/>
      <c r="D809" s="155"/>
      <c r="E809" s="155"/>
      <c r="F809" s="155"/>
      <c r="G809" s="155"/>
    </row>
    <row r="810" ht="15.75" customHeight="1">
      <c r="A810" s="180"/>
      <c r="C810" s="181"/>
      <c r="D810" s="155"/>
      <c r="E810" s="155"/>
      <c r="F810" s="155"/>
      <c r="G810" s="155"/>
    </row>
    <row r="811" ht="15.75" customHeight="1">
      <c r="A811" s="180"/>
      <c r="C811" s="181"/>
      <c r="D811" s="155"/>
      <c r="E811" s="155"/>
      <c r="F811" s="155"/>
      <c r="G811" s="155"/>
    </row>
    <row r="812" ht="15.75" customHeight="1">
      <c r="A812" s="180"/>
      <c r="C812" s="181"/>
      <c r="D812" s="155"/>
      <c r="E812" s="155"/>
      <c r="F812" s="155"/>
      <c r="G812" s="155"/>
    </row>
    <row r="813" ht="15.75" customHeight="1">
      <c r="A813" s="180"/>
      <c r="C813" s="181"/>
      <c r="D813" s="155"/>
      <c r="E813" s="155"/>
      <c r="F813" s="155"/>
      <c r="G813" s="155"/>
    </row>
    <row r="814" ht="15.75" customHeight="1">
      <c r="A814" s="180"/>
      <c r="C814" s="181"/>
      <c r="D814" s="155"/>
      <c r="E814" s="155"/>
      <c r="F814" s="155"/>
      <c r="G814" s="155"/>
    </row>
    <row r="815" ht="15.75" customHeight="1">
      <c r="A815" s="180"/>
      <c r="C815" s="181"/>
      <c r="D815" s="155"/>
      <c r="E815" s="155"/>
      <c r="F815" s="155"/>
      <c r="G815" s="155"/>
    </row>
    <row r="816" ht="15.75" customHeight="1">
      <c r="A816" s="180"/>
      <c r="C816" s="181"/>
      <c r="D816" s="155"/>
      <c r="E816" s="155"/>
      <c r="F816" s="155"/>
      <c r="G816" s="155"/>
    </row>
    <row r="817" ht="15.75" customHeight="1">
      <c r="A817" s="180"/>
      <c r="C817" s="181"/>
      <c r="D817" s="155"/>
      <c r="E817" s="155"/>
      <c r="F817" s="155"/>
      <c r="G817" s="155"/>
    </row>
    <row r="818" ht="15.75" customHeight="1">
      <c r="A818" s="180"/>
      <c r="C818" s="181"/>
      <c r="D818" s="155"/>
      <c r="E818" s="155"/>
      <c r="F818" s="155"/>
      <c r="G818" s="155"/>
    </row>
    <row r="819" ht="15.75" customHeight="1">
      <c r="A819" s="180"/>
      <c r="C819" s="181"/>
      <c r="D819" s="155"/>
      <c r="E819" s="155"/>
      <c r="F819" s="155"/>
      <c r="G819" s="155"/>
    </row>
    <row r="820" ht="15.75" customHeight="1">
      <c r="A820" s="180"/>
      <c r="C820" s="181"/>
      <c r="D820" s="155"/>
      <c r="E820" s="155"/>
      <c r="F820" s="155"/>
      <c r="G820" s="155"/>
    </row>
    <row r="821" ht="15.75" customHeight="1">
      <c r="A821" s="180"/>
      <c r="C821" s="181"/>
      <c r="D821" s="155"/>
      <c r="E821" s="155"/>
      <c r="F821" s="155"/>
      <c r="G821" s="155"/>
    </row>
    <row r="822" ht="15.75" customHeight="1">
      <c r="A822" s="180"/>
      <c r="C822" s="181"/>
      <c r="D822" s="155"/>
      <c r="E822" s="155"/>
      <c r="F822" s="155"/>
      <c r="G822" s="155"/>
    </row>
    <row r="823" ht="15.75" customHeight="1">
      <c r="A823" s="180"/>
      <c r="C823" s="181"/>
      <c r="D823" s="155"/>
      <c r="E823" s="155"/>
      <c r="F823" s="155"/>
      <c r="G823" s="155"/>
    </row>
    <row r="824" ht="15.75" customHeight="1">
      <c r="A824" s="180"/>
      <c r="C824" s="181"/>
      <c r="D824" s="155"/>
      <c r="E824" s="155"/>
      <c r="F824" s="155"/>
      <c r="G824" s="155"/>
    </row>
    <row r="825" ht="15.75" customHeight="1">
      <c r="A825" s="180"/>
      <c r="C825" s="181"/>
      <c r="D825" s="155"/>
      <c r="E825" s="155"/>
      <c r="F825" s="155"/>
      <c r="G825" s="155"/>
    </row>
    <row r="826" ht="15.75" customHeight="1">
      <c r="A826" s="180"/>
      <c r="C826" s="181"/>
      <c r="D826" s="155"/>
      <c r="E826" s="155"/>
      <c r="F826" s="155"/>
      <c r="G826" s="155"/>
    </row>
    <row r="827" ht="15.75" customHeight="1">
      <c r="A827" s="180"/>
      <c r="C827" s="181"/>
      <c r="D827" s="155"/>
      <c r="E827" s="155"/>
      <c r="F827" s="155"/>
      <c r="G827" s="155"/>
    </row>
    <row r="828" ht="15.75" customHeight="1">
      <c r="A828" s="180"/>
      <c r="C828" s="181"/>
      <c r="D828" s="155"/>
      <c r="E828" s="155"/>
      <c r="F828" s="155"/>
      <c r="G828" s="155"/>
    </row>
    <row r="829" ht="15.75" customHeight="1">
      <c r="A829" s="180"/>
      <c r="C829" s="181"/>
      <c r="D829" s="155"/>
      <c r="E829" s="155"/>
      <c r="F829" s="155"/>
      <c r="G829" s="155"/>
    </row>
    <row r="830" ht="15.75" customHeight="1">
      <c r="A830" s="180"/>
      <c r="C830" s="181"/>
      <c r="D830" s="155"/>
      <c r="E830" s="155"/>
      <c r="F830" s="155"/>
      <c r="G830" s="155"/>
    </row>
    <row r="831" ht="15.75" customHeight="1">
      <c r="A831" s="180"/>
      <c r="C831" s="181"/>
      <c r="D831" s="155"/>
      <c r="E831" s="155"/>
      <c r="F831" s="155"/>
      <c r="G831" s="155"/>
    </row>
    <row r="832" ht="15.75" customHeight="1">
      <c r="A832" s="180"/>
      <c r="C832" s="181"/>
      <c r="D832" s="155"/>
      <c r="E832" s="155"/>
      <c r="F832" s="155"/>
      <c r="G832" s="155"/>
    </row>
    <row r="833" ht="15.75" customHeight="1">
      <c r="A833" s="180"/>
      <c r="C833" s="181"/>
      <c r="D833" s="155"/>
      <c r="E833" s="155"/>
      <c r="F833" s="155"/>
      <c r="G833" s="155"/>
    </row>
    <row r="834" ht="15.75" customHeight="1">
      <c r="A834" s="180"/>
      <c r="C834" s="181"/>
      <c r="D834" s="155"/>
      <c r="E834" s="155"/>
      <c r="F834" s="155"/>
      <c r="G834" s="155"/>
    </row>
    <row r="835" ht="15.75" customHeight="1">
      <c r="A835" s="180"/>
      <c r="C835" s="181"/>
      <c r="D835" s="155"/>
      <c r="E835" s="155"/>
      <c r="F835" s="155"/>
      <c r="G835" s="155"/>
    </row>
    <row r="836" ht="15.75" customHeight="1">
      <c r="A836" s="180"/>
      <c r="C836" s="181"/>
      <c r="D836" s="155"/>
      <c r="E836" s="155"/>
      <c r="F836" s="155"/>
      <c r="G836" s="155"/>
    </row>
    <row r="837" ht="15.75" customHeight="1">
      <c r="A837" s="180"/>
      <c r="C837" s="181"/>
      <c r="D837" s="155"/>
      <c r="E837" s="155"/>
      <c r="F837" s="155"/>
      <c r="G837" s="155"/>
    </row>
    <row r="838" ht="15.75" customHeight="1">
      <c r="A838" s="180"/>
      <c r="C838" s="181"/>
      <c r="D838" s="155"/>
      <c r="E838" s="155"/>
      <c r="F838" s="155"/>
      <c r="G838" s="155"/>
    </row>
    <row r="839" ht="15.75" customHeight="1">
      <c r="A839" s="180"/>
      <c r="C839" s="181"/>
      <c r="D839" s="155"/>
      <c r="E839" s="155"/>
      <c r="F839" s="155"/>
      <c r="G839" s="155"/>
    </row>
    <row r="840" ht="15.75" customHeight="1">
      <c r="A840" s="180"/>
      <c r="C840" s="181"/>
      <c r="D840" s="155"/>
      <c r="E840" s="155"/>
      <c r="F840" s="155"/>
      <c r="G840" s="155"/>
    </row>
    <row r="841" ht="15.75" customHeight="1">
      <c r="A841" s="180"/>
      <c r="C841" s="181"/>
      <c r="D841" s="155"/>
      <c r="E841" s="155"/>
      <c r="F841" s="155"/>
      <c r="G841" s="155"/>
    </row>
    <row r="842" ht="15.75" customHeight="1">
      <c r="A842" s="180"/>
      <c r="C842" s="181"/>
      <c r="D842" s="155"/>
      <c r="E842" s="155"/>
      <c r="F842" s="155"/>
      <c r="G842" s="155"/>
    </row>
    <row r="843" ht="15.75" customHeight="1">
      <c r="A843" s="180"/>
      <c r="C843" s="181"/>
      <c r="D843" s="155"/>
      <c r="E843" s="155"/>
      <c r="F843" s="155"/>
      <c r="G843" s="155"/>
    </row>
    <row r="844" ht="15.75" customHeight="1">
      <c r="A844" s="180"/>
      <c r="C844" s="181"/>
      <c r="D844" s="155"/>
      <c r="E844" s="155"/>
      <c r="F844" s="155"/>
      <c r="G844" s="155"/>
    </row>
    <row r="845" ht="15.75" customHeight="1">
      <c r="A845" s="180"/>
      <c r="C845" s="181"/>
      <c r="D845" s="155"/>
      <c r="E845" s="155"/>
      <c r="F845" s="155"/>
      <c r="G845" s="155"/>
    </row>
    <row r="846" ht="15.75" customHeight="1">
      <c r="A846" s="180"/>
      <c r="C846" s="181"/>
      <c r="D846" s="155"/>
      <c r="E846" s="155"/>
      <c r="F846" s="155"/>
      <c r="G846" s="155"/>
    </row>
    <row r="847" ht="15.75" customHeight="1">
      <c r="A847" s="180"/>
      <c r="C847" s="181"/>
      <c r="D847" s="155"/>
      <c r="E847" s="155"/>
      <c r="F847" s="155"/>
      <c r="G847" s="155"/>
    </row>
    <row r="848" ht="15.75" customHeight="1">
      <c r="A848" s="180"/>
      <c r="C848" s="181"/>
      <c r="D848" s="155"/>
      <c r="E848" s="155"/>
      <c r="F848" s="155"/>
      <c r="G848" s="155"/>
    </row>
    <row r="849" ht="15.75" customHeight="1">
      <c r="A849" s="180"/>
      <c r="C849" s="181"/>
      <c r="D849" s="155"/>
      <c r="E849" s="155"/>
      <c r="F849" s="155"/>
      <c r="G849" s="155"/>
    </row>
    <row r="850" ht="15.75" customHeight="1">
      <c r="A850" s="180"/>
      <c r="C850" s="181"/>
      <c r="D850" s="155"/>
      <c r="E850" s="155"/>
      <c r="F850" s="155"/>
      <c r="G850" s="155"/>
    </row>
    <row r="851" ht="15.75" customHeight="1">
      <c r="A851" s="180"/>
      <c r="C851" s="181"/>
      <c r="D851" s="155"/>
      <c r="E851" s="155"/>
      <c r="F851" s="155"/>
      <c r="G851" s="155"/>
    </row>
    <row r="852" ht="15.75" customHeight="1">
      <c r="A852" s="180"/>
      <c r="C852" s="181"/>
      <c r="D852" s="155"/>
      <c r="E852" s="155"/>
      <c r="F852" s="155"/>
      <c r="G852" s="155"/>
    </row>
    <row r="853" ht="15.75" customHeight="1">
      <c r="A853" s="180"/>
      <c r="C853" s="181"/>
      <c r="D853" s="155"/>
      <c r="E853" s="155"/>
      <c r="F853" s="155"/>
      <c r="G853" s="155"/>
    </row>
    <row r="854" ht="15.75" customHeight="1">
      <c r="A854" s="180"/>
      <c r="C854" s="181"/>
      <c r="D854" s="155"/>
      <c r="E854" s="155"/>
      <c r="F854" s="155"/>
      <c r="G854" s="155"/>
    </row>
    <row r="855" ht="15.75" customHeight="1">
      <c r="A855" s="180"/>
      <c r="C855" s="181"/>
      <c r="D855" s="155"/>
      <c r="E855" s="155"/>
      <c r="F855" s="155"/>
      <c r="G855" s="155"/>
    </row>
    <row r="856" ht="15.75" customHeight="1">
      <c r="A856" s="180"/>
      <c r="C856" s="181"/>
      <c r="D856" s="155"/>
      <c r="E856" s="155"/>
      <c r="F856" s="155"/>
      <c r="G856" s="155"/>
    </row>
    <row r="857" ht="15.75" customHeight="1">
      <c r="A857" s="180"/>
      <c r="C857" s="181"/>
      <c r="D857" s="155"/>
      <c r="E857" s="155"/>
      <c r="F857" s="155"/>
      <c r="G857" s="155"/>
    </row>
    <row r="858" ht="15.75" customHeight="1">
      <c r="A858" s="180"/>
      <c r="C858" s="181"/>
      <c r="D858" s="155"/>
      <c r="E858" s="155"/>
      <c r="F858" s="155"/>
      <c r="G858" s="155"/>
    </row>
    <row r="859" ht="15.75" customHeight="1">
      <c r="A859" s="180"/>
      <c r="C859" s="181"/>
      <c r="D859" s="155"/>
      <c r="E859" s="155"/>
      <c r="F859" s="155"/>
      <c r="G859" s="155"/>
    </row>
    <row r="860" ht="15.75" customHeight="1">
      <c r="A860" s="180"/>
      <c r="C860" s="181"/>
      <c r="D860" s="155"/>
      <c r="E860" s="155"/>
      <c r="F860" s="155"/>
      <c r="G860" s="155"/>
    </row>
    <row r="861" ht="15.75" customHeight="1">
      <c r="A861" s="180"/>
      <c r="C861" s="181"/>
      <c r="D861" s="155"/>
      <c r="E861" s="155"/>
      <c r="F861" s="155"/>
      <c r="G861" s="155"/>
    </row>
    <row r="862" ht="15.75" customHeight="1">
      <c r="A862" s="180"/>
      <c r="C862" s="181"/>
      <c r="D862" s="155"/>
      <c r="E862" s="155"/>
      <c r="F862" s="155"/>
      <c r="G862" s="155"/>
    </row>
    <row r="863" ht="15.75" customHeight="1">
      <c r="A863" s="180"/>
      <c r="C863" s="181"/>
      <c r="D863" s="155"/>
      <c r="E863" s="155"/>
      <c r="F863" s="155"/>
      <c r="G863" s="155"/>
    </row>
    <row r="864" ht="15.75" customHeight="1">
      <c r="A864" s="180"/>
      <c r="C864" s="181"/>
      <c r="D864" s="155"/>
      <c r="E864" s="155"/>
      <c r="F864" s="155"/>
      <c r="G864" s="155"/>
    </row>
    <row r="865" ht="15.75" customHeight="1">
      <c r="A865" s="180"/>
      <c r="C865" s="181"/>
      <c r="D865" s="155"/>
      <c r="E865" s="155"/>
      <c r="F865" s="155"/>
      <c r="G865" s="155"/>
    </row>
    <row r="866" ht="15.75" customHeight="1">
      <c r="A866" s="180"/>
      <c r="C866" s="181"/>
      <c r="D866" s="155"/>
      <c r="E866" s="155"/>
      <c r="F866" s="155"/>
      <c r="G866" s="155"/>
    </row>
    <row r="867" ht="15.75" customHeight="1">
      <c r="A867" s="180"/>
      <c r="C867" s="181"/>
      <c r="D867" s="155"/>
      <c r="E867" s="155"/>
      <c r="F867" s="155"/>
      <c r="G867" s="155"/>
    </row>
    <row r="868" ht="15.75" customHeight="1">
      <c r="A868" s="180"/>
      <c r="C868" s="181"/>
      <c r="D868" s="155"/>
      <c r="E868" s="155"/>
      <c r="F868" s="155"/>
      <c r="G868" s="155"/>
    </row>
    <row r="869" ht="15.75" customHeight="1">
      <c r="A869" s="180"/>
      <c r="C869" s="181"/>
      <c r="D869" s="155"/>
      <c r="E869" s="155"/>
      <c r="F869" s="155"/>
      <c r="G869" s="155"/>
    </row>
    <row r="870" ht="15.75" customHeight="1">
      <c r="A870" s="180"/>
      <c r="C870" s="181"/>
      <c r="D870" s="155"/>
      <c r="E870" s="155"/>
      <c r="F870" s="155"/>
      <c r="G870" s="155"/>
    </row>
    <row r="871" ht="15.75" customHeight="1">
      <c r="A871" s="180"/>
      <c r="C871" s="181"/>
      <c r="D871" s="155"/>
      <c r="E871" s="155"/>
      <c r="F871" s="155"/>
      <c r="G871" s="155"/>
    </row>
    <row r="872" ht="15.75" customHeight="1">
      <c r="A872" s="180"/>
      <c r="C872" s="181"/>
      <c r="D872" s="155"/>
      <c r="E872" s="155"/>
      <c r="F872" s="155"/>
      <c r="G872" s="155"/>
    </row>
    <row r="873" ht="15.75" customHeight="1">
      <c r="A873" s="180"/>
      <c r="C873" s="181"/>
      <c r="D873" s="155"/>
      <c r="E873" s="155"/>
      <c r="F873" s="155"/>
      <c r="G873" s="155"/>
    </row>
    <row r="874" ht="15.75" customHeight="1">
      <c r="A874" s="180"/>
      <c r="C874" s="181"/>
      <c r="D874" s="155"/>
      <c r="E874" s="155"/>
      <c r="F874" s="155"/>
      <c r="G874" s="155"/>
    </row>
    <row r="875" ht="15.75" customHeight="1">
      <c r="A875" s="180"/>
      <c r="C875" s="181"/>
      <c r="D875" s="155"/>
      <c r="E875" s="155"/>
      <c r="F875" s="155"/>
      <c r="G875" s="155"/>
    </row>
    <row r="876" ht="15.75" customHeight="1">
      <c r="A876" s="180"/>
      <c r="C876" s="181"/>
      <c r="D876" s="155"/>
      <c r="E876" s="155"/>
      <c r="F876" s="155"/>
      <c r="G876" s="155"/>
    </row>
    <row r="877" ht="15.75" customHeight="1">
      <c r="A877" s="180"/>
      <c r="C877" s="181"/>
      <c r="D877" s="155"/>
      <c r="E877" s="155"/>
      <c r="F877" s="155"/>
      <c r="G877" s="155"/>
    </row>
    <row r="878" ht="15.75" customHeight="1">
      <c r="A878" s="180"/>
      <c r="C878" s="181"/>
      <c r="D878" s="155"/>
      <c r="E878" s="155"/>
      <c r="F878" s="155"/>
      <c r="G878" s="155"/>
    </row>
    <row r="879" ht="15.75" customHeight="1">
      <c r="A879" s="180"/>
      <c r="C879" s="181"/>
      <c r="D879" s="155"/>
      <c r="E879" s="155"/>
      <c r="F879" s="155"/>
      <c r="G879" s="155"/>
    </row>
    <row r="880" ht="15.75" customHeight="1">
      <c r="A880" s="180"/>
      <c r="C880" s="181"/>
      <c r="D880" s="155"/>
      <c r="E880" s="155"/>
      <c r="F880" s="155"/>
      <c r="G880" s="155"/>
    </row>
    <row r="881" ht="15.75" customHeight="1">
      <c r="A881" s="180"/>
      <c r="C881" s="181"/>
      <c r="D881" s="155"/>
      <c r="E881" s="155"/>
      <c r="F881" s="155"/>
      <c r="G881" s="155"/>
    </row>
    <row r="882" ht="15.75" customHeight="1">
      <c r="A882" s="180"/>
      <c r="C882" s="181"/>
      <c r="D882" s="155"/>
      <c r="E882" s="155"/>
      <c r="F882" s="155"/>
      <c r="G882" s="155"/>
    </row>
    <row r="883" ht="15.75" customHeight="1">
      <c r="A883" s="180"/>
      <c r="C883" s="181"/>
      <c r="D883" s="155"/>
      <c r="E883" s="155"/>
      <c r="F883" s="155"/>
      <c r="G883" s="155"/>
    </row>
    <row r="884" ht="15.75" customHeight="1">
      <c r="A884" s="180"/>
      <c r="C884" s="181"/>
      <c r="D884" s="155"/>
      <c r="E884" s="155"/>
      <c r="F884" s="155"/>
      <c r="G884" s="155"/>
    </row>
    <row r="885" ht="15.75" customHeight="1">
      <c r="A885" s="180"/>
      <c r="C885" s="181"/>
      <c r="D885" s="155"/>
      <c r="E885" s="155"/>
      <c r="F885" s="155"/>
      <c r="G885" s="155"/>
    </row>
    <row r="886" ht="15.75" customHeight="1">
      <c r="A886" s="180"/>
      <c r="C886" s="181"/>
      <c r="D886" s="155"/>
      <c r="E886" s="155"/>
      <c r="F886" s="155"/>
      <c r="G886" s="155"/>
    </row>
    <row r="887" ht="15.75" customHeight="1">
      <c r="A887" s="180"/>
      <c r="C887" s="181"/>
      <c r="D887" s="155"/>
      <c r="E887" s="155"/>
      <c r="F887" s="155"/>
      <c r="G887" s="155"/>
    </row>
    <row r="888" ht="15.75" customHeight="1">
      <c r="A888" s="180"/>
      <c r="C888" s="181"/>
      <c r="D888" s="155"/>
      <c r="E888" s="155"/>
      <c r="F888" s="155"/>
      <c r="G888" s="155"/>
    </row>
    <row r="889" ht="15.75" customHeight="1">
      <c r="A889" s="180"/>
      <c r="C889" s="181"/>
      <c r="D889" s="155"/>
      <c r="E889" s="155"/>
      <c r="F889" s="155"/>
      <c r="G889" s="155"/>
    </row>
    <row r="890" ht="15.75" customHeight="1">
      <c r="A890" s="180"/>
      <c r="C890" s="181"/>
      <c r="D890" s="155"/>
      <c r="E890" s="155"/>
      <c r="F890" s="155"/>
      <c r="G890" s="155"/>
    </row>
    <row r="891" ht="15.75" customHeight="1">
      <c r="A891" s="180"/>
      <c r="C891" s="181"/>
      <c r="D891" s="155"/>
      <c r="E891" s="155"/>
      <c r="F891" s="155"/>
      <c r="G891" s="155"/>
    </row>
    <row r="892" ht="15.75" customHeight="1">
      <c r="A892" s="180"/>
      <c r="C892" s="181"/>
      <c r="D892" s="155"/>
      <c r="E892" s="155"/>
      <c r="F892" s="155"/>
      <c r="G892" s="155"/>
    </row>
    <row r="893" ht="15.75" customHeight="1">
      <c r="A893" s="180"/>
      <c r="C893" s="181"/>
      <c r="D893" s="155"/>
      <c r="E893" s="155"/>
      <c r="F893" s="155"/>
      <c r="G893" s="155"/>
    </row>
    <row r="894" ht="15.75" customHeight="1">
      <c r="A894" s="180"/>
      <c r="C894" s="181"/>
      <c r="D894" s="155"/>
      <c r="E894" s="155"/>
      <c r="F894" s="155"/>
      <c r="G894" s="155"/>
    </row>
    <row r="895" ht="15.75" customHeight="1">
      <c r="A895" s="180"/>
      <c r="C895" s="181"/>
      <c r="D895" s="155"/>
      <c r="E895" s="155"/>
      <c r="F895" s="155"/>
      <c r="G895" s="155"/>
    </row>
    <row r="896" ht="15.75" customHeight="1">
      <c r="A896" s="180"/>
      <c r="C896" s="181"/>
      <c r="D896" s="155"/>
      <c r="E896" s="155"/>
      <c r="F896" s="155"/>
      <c r="G896" s="155"/>
    </row>
    <row r="897" ht="15.75" customHeight="1">
      <c r="A897" s="180"/>
      <c r="C897" s="181"/>
      <c r="D897" s="155"/>
      <c r="E897" s="155"/>
      <c r="F897" s="155"/>
      <c r="G897" s="155"/>
    </row>
    <row r="898" ht="15.75" customHeight="1">
      <c r="A898" s="180"/>
      <c r="C898" s="181"/>
      <c r="D898" s="155"/>
      <c r="E898" s="155"/>
      <c r="F898" s="155"/>
      <c r="G898" s="155"/>
    </row>
    <row r="899" ht="15.75" customHeight="1">
      <c r="A899" s="180"/>
      <c r="C899" s="181"/>
      <c r="D899" s="155"/>
      <c r="E899" s="155"/>
      <c r="F899" s="155"/>
      <c r="G899" s="155"/>
    </row>
    <row r="900" ht="15.75" customHeight="1">
      <c r="A900" s="180"/>
      <c r="C900" s="181"/>
      <c r="D900" s="155"/>
      <c r="E900" s="155"/>
      <c r="F900" s="155"/>
      <c r="G900" s="155"/>
    </row>
    <row r="901" ht="15.75" customHeight="1">
      <c r="A901" s="180"/>
      <c r="C901" s="181"/>
      <c r="D901" s="155"/>
      <c r="E901" s="155"/>
      <c r="F901" s="155"/>
      <c r="G901" s="155"/>
    </row>
    <row r="902" ht="15.75" customHeight="1">
      <c r="A902" s="180"/>
      <c r="C902" s="181"/>
      <c r="D902" s="155"/>
      <c r="E902" s="155"/>
      <c r="F902" s="155"/>
      <c r="G902" s="155"/>
    </row>
    <row r="903" ht="15.75" customHeight="1">
      <c r="A903" s="180"/>
      <c r="C903" s="181"/>
      <c r="D903" s="155"/>
      <c r="E903" s="155"/>
      <c r="F903" s="155"/>
      <c r="G903" s="155"/>
    </row>
    <row r="904" ht="15.75" customHeight="1">
      <c r="A904" s="180"/>
      <c r="C904" s="181"/>
      <c r="D904" s="155"/>
      <c r="E904" s="155"/>
      <c r="F904" s="155"/>
      <c r="G904" s="155"/>
    </row>
    <row r="905" ht="15.75" customHeight="1">
      <c r="A905" s="180"/>
      <c r="C905" s="181"/>
      <c r="D905" s="155"/>
      <c r="E905" s="155"/>
      <c r="F905" s="155"/>
      <c r="G905" s="155"/>
    </row>
    <row r="906" ht="15.75" customHeight="1">
      <c r="A906" s="180"/>
      <c r="C906" s="181"/>
      <c r="D906" s="155"/>
      <c r="E906" s="155"/>
      <c r="F906" s="155"/>
      <c r="G906" s="155"/>
    </row>
    <row r="907" ht="15.75" customHeight="1">
      <c r="A907" s="180"/>
      <c r="C907" s="181"/>
      <c r="D907" s="155"/>
      <c r="E907" s="155"/>
      <c r="F907" s="155"/>
      <c r="G907" s="155"/>
    </row>
    <row r="908" ht="15.75" customHeight="1">
      <c r="A908" s="180"/>
      <c r="C908" s="181"/>
      <c r="D908" s="155"/>
      <c r="E908" s="155"/>
      <c r="F908" s="155"/>
      <c r="G908" s="155"/>
    </row>
    <row r="909" ht="15.75" customHeight="1">
      <c r="A909" s="180"/>
      <c r="C909" s="181"/>
      <c r="D909" s="155"/>
      <c r="E909" s="155"/>
      <c r="F909" s="155"/>
      <c r="G909" s="155"/>
    </row>
    <row r="910" ht="15.75" customHeight="1">
      <c r="A910" s="180"/>
      <c r="C910" s="181"/>
      <c r="D910" s="155"/>
      <c r="E910" s="155"/>
      <c r="F910" s="155"/>
      <c r="G910" s="155"/>
    </row>
    <row r="911" ht="15.75" customHeight="1">
      <c r="A911" s="180"/>
      <c r="C911" s="181"/>
      <c r="D911" s="155"/>
      <c r="E911" s="155"/>
      <c r="F911" s="155"/>
      <c r="G911" s="155"/>
    </row>
    <row r="912" ht="15.75" customHeight="1">
      <c r="A912" s="180"/>
      <c r="C912" s="181"/>
      <c r="D912" s="155"/>
      <c r="E912" s="155"/>
      <c r="F912" s="155"/>
      <c r="G912" s="155"/>
    </row>
    <row r="913" ht="15.75" customHeight="1">
      <c r="A913" s="180"/>
      <c r="C913" s="181"/>
      <c r="D913" s="155"/>
      <c r="E913" s="155"/>
      <c r="F913" s="155"/>
      <c r="G913" s="155"/>
    </row>
    <row r="914" ht="15.75" customHeight="1">
      <c r="A914" s="180"/>
      <c r="C914" s="181"/>
      <c r="D914" s="155"/>
      <c r="E914" s="155"/>
      <c r="F914" s="155"/>
      <c r="G914" s="155"/>
    </row>
    <row r="915" ht="15.75" customHeight="1">
      <c r="A915" s="180"/>
      <c r="C915" s="181"/>
      <c r="D915" s="155"/>
      <c r="E915" s="155"/>
      <c r="F915" s="155"/>
      <c r="G915" s="155"/>
    </row>
    <row r="916" ht="15.75" customHeight="1">
      <c r="A916" s="180"/>
      <c r="C916" s="181"/>
      <c r="D916" s="155"/>
      <c r="E916" s="155"/>
      <c r="F916" s="155"/>
      <c r="G916" s="155"/>
    </row>
    <row r="917" ht="15.75" customHeight="1">
      <c r="A917" s="180"/>
      <c r="C917" s="181"/>
      <c r="D917" s="155"/>
      <c r="E917" s="155"/>
      <c r="F917" s="155"/>
      <c r="G917" s="155"/>
    </row>
    <row r="918" ht="15.75" customHeight="1">
      <c r="A918" s="180"/>
      <c r="C918" s="181"/>
      <c r="D918" s="155"/>
      <c r="E918" s="155"/>
      <c r="F918" s="155"/>
      <c r="G918" s="155"/>
    </row>
    <row r="919" ht="15.75" customHeight="1">
      <c r="A919" s="180"/>
      <c r="C919" s="181"/>
      <c r="D919" s="155"/>
      <c r="E919" s="155"/>
      <c r="F919" s="155"/>
      <c r="G919" s="155"/>
    </row>
    <row r="920" ht="15.75" customHeight="1">
      <c r="A920" s="180"/>
      <c r="C920" s="181"/>
      <c r="D920" s="155"/>
      <c r="E920" s="155"/>
      <c r="F920" s="155"/>
      <c r="G920" s="155"/>
    </row>
    <row r="921" ht="15.75" customHeight="1">
      <c r="A921" s="180"/>
      <c r="C921" s="181"/>
      <c r="D921" s="155"/>
      <c r="E921" s="155"/>
      <c r="F921" s="155"/>
      <c r="G921" s="155"/>
    </row>
    <row r="922" ht="15.75" customHeight="1">
      <c r="A922" s="180"/>
      <c r="C922" s="181"/>
      <c r="D922" s="155"/>
      <c r="E922" s="155"/>
      <c r="F922" s="155"/>
      <c r="G922" s="155"/>
    </row>
    <row r="923" ht="15.75" customHeight="1">
      <c r="A923" s="180"/>
      <c r="C923" s="181"/>
      <c r="D923" s="155"/>
      <c r="E923" s="155"/>
      <c r="F923" s="155"/>
      <c r="G923" s="155"/>
    </row>
    <row r="924" ht="15.75" customHeight="1">
      <c r="A924" s="180"/>
      <c r="C924" s="181"/>
      <c r="D924" s="155"/>
      <c r="E924" s="155"/>
      <c r="F924" s="155"/>
      <c r="G924" s="155"/>
    </row>
    <row r="925" ht="15.75" customHeight="1">
      <c r="A925" s="180"/>
      <c r="C925" s="181"/>
      <c r="D925" s="155"/>
      <c r="E925" s="155"/>
      <c r="F925" s="155"/>
      <c r="G925" s="155"/>
    </row>
    <row r="926" ht="15.75" customHeight="1">
      <c r="A926" s="180"/>
      <c r="C926" s="181"/>
      <c r="D926" s="155"/>
      <c r="E926" s="155"/>
      <c r="F926" s="155"/>
      <c r="G926" s="155"/>
    </row>
    <row r="927" ht="15.75" customHeight="1">
      <c r="A927" s="180"/>
      <c r="C927" s="181"/>
      <c r="D927" s="155"/>
      <c r="E927" s="155"/>
      <c r="F927" s="155"/>
      <c r="G927" s="155"/>
    </row>
    <row r="928" ht="15.75" customHeight="1">
      <c r="A928" s="180"/>
      <c r="C928" s="181"/>
      <c r="D928" s="155"/>
      <c r="E928" s="155"/>
      <c r="F928" s="155"/>
      <c r="G928" s="155"/>
    </row>
    <row r="929" ht="15.75" customHeight="1">
      <c r="A929" s="180"/>
      <c r="C929" s="181"/>
      <c r="D929" s="155"/>
      <c r="E929" s="155"/>
      <c r="F929" s="155"/>
      <c r="G929" s="155"/>
    </row>
    <row r="930" ht="15.75" customHeight="1">
      <c r="A930" s="180"/>
      <c r="C930" s="181"/>
      <c r="D930" s="155"/>
      <c r="E930" s="155"/>
      <c r="F930" s="155"/>
      <c r="G930" s="155"/>
    </row>
    <row r="931" ht="15.75" customHeight="1">
      <c r="A931" s="180"/>
      <c r="C931" s="181"/>
      <c r="D931" s="155"/>
      <c r="E931" s="155"/>
      <c r="F931" s="155"/>
      <c r="G931" s="155"/>
    </row>
    <row r="932" ht="15.75" customHeight="1">
      <c r="A932" s="180"/>
      <c r="C932" s="181"/>
      <c r="D932" s="155"/>
      <c r="E932" s="155"/>
      <c r="F932" s="155"/>
      <c r="G932" s="155"/>
    </row>
    <row r="933" ht="15.75" customHeight="1">
      <c r="A933" s="180"/>
      <c r="C933" s="181"/>
      <c r="D933" s="155"/>
      <c r="E933" s="155"/>
      <c r="F933" s="155"/>
      <c r="G933" s="155"/>
    </row>
    <row r="934" ht="15.75" customHeight="1">
      <c r="A934" s="180"/>
      <c r="C934" s="181"/>
      <c r="D934" s="155"/>
      <c r="E934" s="155"/>
      <c r="F934" s="155"/>
      <c r="G934" s="155"/>
    </row>
    <row r="935" ht="15.75" customHeight="1">
      <c r="A935" s="180"/>
      <c r="C935" s="181"/>
      <c r="D935" s="155"/>
      <c r="E935" s="155"/>
      <c r="F935" s="155"/>
      <c r="G935" s="155"/>
    </row>
    <row r="936" ht="15.75" customHeight="1">
      <c r="A936" s="180"/>
      <c r="C936" s="181"/>
      <c r="D936" s="155"/>
      <c r="E936" s="155"/>
      <c r="F936" s="155"/>
      <c r="G936" s="155"/>
    </row>
    <row r="937" ht="15.75" customHeight="1">
      <c r="A937" s="180"/>
      <c r="C937" s="181"/>
      <c r="D937" s="155"/>
      <c r="E937" s="155"/>
      <c r="F937" s="155"/>
      <c r="G937" s="155"/>
    </row>
    <row r="938" ht="15.75" customHeight="1">
      <c r="A938" s="180"/>
      <c r="C938" s="181"/>
      <c r="D938" s="155"/>
      <c r="E938" s="155"/>
      <c r="F938" s="155"/>
      <c r="G938" s="155"/>
    </row>
    <row r="939" ht="15.75" customHeight="1">
      <c r="A939" s="180"/>
      <c r="C939" s="181"/>
      <c r="D939" s="155"/>
      <c r="E939" s="155"/>
      <c r="F939" s="155"/>
      <c r="G939" s="155"/>
    </row>
    <row r="940" ht="15.75" customHeight="1">
      <c r="A940" s="180"/>
      <c r="C940" s="181"/>
      <c r="D940" s="155"/>
      <c r="E940" s="155"/>
      <c r="F940" s="155"/>
      <c r="G940" s="155"/>
    </row>
    <row r="941" ht="15.75" customHeight="1">
      <c r="A941" s="180"/>
      <c r="C941" s="181"/>
      <c r="D941" s="155"/>
      <c r="E941" s="155"/>
      <c r="F941" s="155"/>
      <c r="G941" s="155"/>
    </row>
    <row r="942" ht="15.75" customHeight="1">
      <c r="A942" s="180"/>
      <c r="C942" s="181"/>
      <c r="D942" s="155"/>
      <c r="E942" s="155"/>
      <c r="F942" s="155"/>
      <c r="G942" s="155"/>
    </row>
    <row r="943" ht="15.75" customHeight="1">
      <c r="A943" s="180"/>
      <c r="C943" s="181"/>
      <c r="D943" s="155"/>
      <c r="E943" s="155"/>
      <c r="F943" s="155"/>
      <c r="G943" s="155"/>
    </row>
    <row r="944" ht="15.75" customHeight="1">
      <c r="A944" s="180"/>
      <c r="C944" s="181"/>
      <c r="D944" s="155"/>
      <c r="E944" s="155"/>
      <c r="F944" s="155"/>
      <c r="G944" s="155"/>
    </row>
    <row r="945" ht="15.75" customHeight="1">
      <c r="A945" s="180"/>
      <c r="C945" s="181"/>
      <c r="D945" s="155"/>
      <c r="E945" s="155"/>
      <c r="F945" s="155"/>
      <c r="G945" s="155"/>
    </row>
    <row r="946" ht="15.75" customHeight="1">
      <c r="A946" s="180"/>
      <c r="C946" s="181"/>
      <c r="D946" s="155"/>
      <c r="E946" s="155"/>
      <c r="F946" s="155"/>
      <c r="G946" s="155"/>
    </row>
    <row r="947" ht="15.75" customHeight="1">
      <c r="A947" s="180"/>
      <c r="C947" s="181"/>
      <c r="D947" s="155"/>
      <c r="E947" s="155"/>
      <c r="F947" s="155"/>
      <c r="G947" s="155"/>
    </row>
    <row r="948" ht="15.75" customHeight="1">
      <c r="A948" s="180"/>
      <c r="C948" s="181"/>
      <c r="D948" s="155"/>
      <c r="E948" s="155"/>
      <c r="F948" s="155"/>
      <c r="G948" s="155"/>
    </row>
    <row r="949" ht="15.75" customHeight="1">
      <c r="A949" s="180"/>
      <c r="C949" s="181"/>
      <c r="D949" s="155"/>
      <c r="E949" s="155"/>
      <c r="F949" s="155"/>
      <c r="G949" s="155"/>
    </row>
    <row r="950" ht="15.75" customHeight="1">
      <c r="A950" s="180"/>
      <c r="C950" s="181"/>
      <c r="D950" s="155"/>
      <c r="E950" s="155"/>
      <c r="F950" s="155"/>
      <c r="G950" s="155"/>
    </row>
    <row r="951" ht="15.75" customHeight="1">
      <c r="A951" s="180"/>
      <c r="C951" s="181"/>
      <c r="D951" s="155"/>
      <c r="E951" s="155"/>
      <c r="F951" s="155"/>
      <c r="G951" s="155"/>
    </row>
    <row r="952" ht="15.75" customHeight="1">
      <c r="A952" s="180"/>
      <c r="C952" s="181"/>
      <c r="D952" s="155"/>
      <c r="E952" s="155"/>
      <c r="F952" s="155"/>
      <c r="G952" s="155"/>
    </row>
    <row r="953" ht="15.75" customHeight="1">
      <c r="A953" s="180"/>
      <c r="C953" s="181"/>
      <c r="D953" s="155"/>
      <c r="E953" s="155"/>
      <c r="F953" s="155"/>
      <c r="G953" s="155"/>
    </row>
    <row r="954" ht="15.75" customHeight="1">
      <c r="A954" s="180"/>
      <c r="C954" s="181"/>
      <c r="D954" s="155"/>
      <c r="E954" s="155"/>
      <c r="F954" s="155"/>
      <c r="G954" s="155"/>
    </row>
    <row r="955" ht="15.75" customHeight="1">
      <c r="A955" s="180"/>
      <c r="C955" s="181"/>
      <c r="D955" s="155"/>
      <c r="E955" s="155"/>
      <c r="F955" s="155"/>
      <c r="G955" s="155"/>
    </row>
    <row r="956" ht="15.75" customHeight="1">
      <c r="A956" s="180"/>
      <c r="C956" s="181"/>
      <c r="D956" s="155"/>
      <c r="E956" s="155"/>
      <c r="F956" s="155"/>
      <c r="G956" s="155"/>
    </row>
    <row r="957" ht="15.75" customHeight="1">
      <c r="A957" s="180"/>
      <c r="C957" s="181"/>
      <c r="D957" s="155"/>
      <c r="E957" s="155"/>
      <c r="F957" s="155"/>
      <c r="G957" s="155"/>
    </row>
    <row r="958" ht="15.75" customHeight="1">
      <c r="A958" s="180"/>
      <c r="C958" s="181"/>
      <c r="D958" s="155"/>
      <c r="E958" s="155"/>
      <c r="F958" s="155"/>
      <c r="G958" s="155"/>
    </row>
    <row r="959" ht="15.75" customHeight="1">
      <c r="A959" s="180"/>
      <c r="C959" s="181"/>
      <c r="D959" s="155"/>
      <c r="E959" s="155"/>
      <c r="F959" s="155"/>
      <c r="G959" s="155"/>
    </row>
    <row r="960" ht="15.75" customHeight="1">
      <c r="A960" s="180"/>
      <c r="C960" s="181"/>
      <c r="D960" s="155"/>
      <c r="E960" s="155"/>
      <c r="F960" s="155"/>
      <c r="G960" s="155"/>
    </row>
    <row r="961" ht="15.75" customHeight="1">
      <c r="A961" s="180"/>
      <c r="C961" s="181"/>
      <c r="D961" s="155"/>
      <c r="E961" s="155"/>
      <c r="F961" s="155"/>
      <c r="G961" s="155"/>
    </row>
    <row r="962" ht="15.75" customHeight="1">
      <c r="A962" s="180"/>
      <c r="C962" s="181"/>
      <c r="D962" s="155"/>
      <c r="E962" s="155"/>
      <c r="F962" s="155"/>
      <c r="G962" s="155"/>
    </row>
    <row r="963" ht="15.75" customHeight="1">
      <c r="A963" s="180"/>
      <c r="C963" s="181"/>
      <c r="D963" s="155"/>
      <c r="E963" s="155"/>
      <c r="F963" s="155"/>
      <c r="G963" s="155"/>
    </row>
    <row r="964" ht="15.75" customHeight="1">
      <c r="A964" s="180"/>
      <c r="C964" s="181"/>
      <c r="D964" s="155"/>
      <c r="E964" s="155"/>
      <c r="F964" s="155"/>
      <c r="G964" s="155"/>
    </row>
    <row r="965" ht="15.75" customHeight="1">
      <c r="A965" s="180"/>
      <c r="C965" s="181"/>
      <c r="D965" s="155"/>
      <c r="E965" s="155"/>
      <c r="F965" s="155"/>
      <c r="G965" s="155"/>
    </row>
    <row r="966" ht="15.75" customHeight="1">
      <c r="A966" s="180"/>
      <c r="C966" s="181"/>
      <c r="D966" s="155"/>
      <c r="E966" s="155"/>
      <c r="F966" s="155"/>
      <c r="G966" s="155"/>
    </row>
    <row r="967" ht="15.75" customHeight="1">
      <c r="A967" s="180"/>
      <c r="C967" s="181"/>
      <c r="D967" s="155"/>
      <c r="E967" s="155"/>
      <c r="F967" s="155"/>
      <c r="G967" s="155"/>
    </row>
    <row r="968" ht="15.75" customHeight="1">
      <c r="A968" s="180"/>
      <c r="C968" s="181"/>
      <c r="D968" s="155"/>
      <c r="E968" s="155"/>
      <c r="F968" s="155"/>
      <c r="G968" s="155"/>
    </row>
    <row r="969" ht="15.75" customHeight="1">
      <c r="A969" s="180"/>
      <c r="C969" s="181"/>
      <c r="D969" s="155"/>
      <c r="E969" s="155"/>
      <c r="F969" s="155"/>
      <c r="G969" s="155"/>
    </row>
    <row r="970" ht="15.75" customHeight="1">
      <c r="A970" s="180"/>
      <c r="C970" s="181"/>
      <c r="D970" s="155"/>
      <c r="E970" s="155"/>
      <c r="F970" s="155"/>
      <c r="G970" s="155"/>
    </row>
    <row r="971" ht="15.75" customHeight="1">
      <c r="A971" s="180"/>
      <c r="C971" s="181"/>
      <c r="D971" s="155"/>
      <c r="E971" s="155"/>
      <c r="F971" s="155"/>
      <c r="G971" s="155"/>
    </row>
    <row r="972" ht="15.75" customHeight="1">
      <c r="A972" s="180"/>
      <c r="C972" s="181"/>
      <c r="D972" s="155"/>
      <c r="E972" s="155"/>
      <c r="F972" s="155"/>
      <c r="G972" s="155"/>
    </row>
    <row r="973" ht="15.75" customHeight="1">
      <c r="A973" s="180"/>
      <c r="C973" s="181"/>
      <c r="D973" s="155"/>
      <c r="E973" s="155"/>
      <c r="F973" s="155"/>
      <c r="G973" s="155"/>
    </row>
    <row r="974" ht="15.75" customHeight="1">
      <c r="A974" s="180"/>
      <c r="C974" s="181"/>
      <c r="D974" s="155"/>
      <c r="E974" s="155"/>
      <c r="F974" s="155"/>
      <c r="G974" s="155"/>
    </row>
    <row r="975" ht="15.75" customHeight="1">
      <c r="A975" s="180"/>
      <c r="C975" s="181"/>
      <c r="D975" s="155"/>
      <c r="E975" s="155"/>
      <c r="F975" s="155"/>
      <c r="G975" s="155"/>
    </row>
    <row r="976" ht="15.75" customHeight="1">
      <c r="A976" s="180"/>
      <c r="C976" s="181"/>
      <c r="D976" s="155"/>
      <c r="E976" s="155"/>
      <c r="F976" s="155"/>
      <c r="G976" s="155"/>
    </row>
    <row r="977" ht="15.75" customHeight="1">
      <c r="A977" s="180"/>
      <c r="C977" s="181"/>
      <c r="D977" s="155"/>
      <c r="E977" s="155"/>
      <c r="F977" s="155"/>
      <c r="G977" s="155"/>
    </row>
    <row r="978" ht="15.75" customHeight="1">
      <c r="A978" s="180"/>
      <c r="C978" s="181"/>
      <c r="D978" s="155"/>
      <c r="E978" s="155"/>
      <c r="F978" s="155"/>
      <c r="G978" s="155"/>
    </row>
    <row r="979" ht="15.75" customHeight="1">
      <c r="A979" s="180"/>
      <c r="C979" s="181"/>
      <c r="D979" s="155"/>
      <c r="E979" s="155"/>
      <c r="F979" s="155"/>
      <c r="G979" s="155"/>
    </row>
    <row r="980" ht="15.75" customHeight="1">
      <c r="A980" s="180"/>
      <c r="C980" s="181"/>
      <c r="D980" s="155"/>
      <c r="E980" s="155"/>
      <c r="F980" s="155"/>
      <c r="G980" s="155"/>
    </row>
    <row r="981" ht="15.75" customHeight="1">
      <c r="A981" s="180"/>
      <c r="C981" s="181"/>
      <c r="D981" s="155"/>
      <c r="E981" s="155"/>
      <c r="F981" s="155"/>
      <c r="G981" s="155"/>
    </row>
    <row r="982" ht="15.75" customHeight="1">
      <c r="A982" s="180"/>
      <c r="C982" s="181"/>
      <c r="D982" s="155"/>
      <c r="E982" s="155"/>
      <c r="F982" s="155"/>
      <c r="G982" s="155"/>
    </row>
    <row r="983" ht="15.75" customHeight="1">
      <c r="A983" s="180"/>
      <c r="C983" s="181"/>
      <c r="D983" s="155"/>
      <c r="E983" s="155"/>
      <c r="F983" s="155"/>
      <c r="G983" s="155"/>
    </row>
    <row r="984" ht="15.75" customHeight="1">
      <c r="A984" s="180"/>
      <c r="C984" s="181"/>
      <c r="D984" s="155"/>
      <c r="E984" s="155"/>
      <c r="F984" s="155"/>
      <c r="G984" s="155"/>
    </row>
    <row r="985" ht="15.75" customHeight="1">
      <c r="A985" s="180"/>
      <c r="C985" s="181"/>
      <c r="D985" s="155"/>
      <c r="E985" s="155"/>
      <c r="F985" s="155"/>
      <c r="G985" s="155"/>
    </row>
    <row r="986" ht="15.75" customHeight="1">
      <c r="A986" s="180"/>
      <c r="C986" s="181"/>
      <c r="D986" s="155"/>
      <c r="E986" s="155"/>
      <c r="F986" s="155"/>
      <c r="G986" s="155"/>
    </row>
    <row r="987" ht="15.75" customHeight="1">
      <c r="A987" s="180"/>
      <c r="C987" s="181"/>
      <c r="D987" s="155"/>
      <c r="E987" s="155"/>
      <c r="F987" s="155"/>
      <c r="G987" s="155"/>
    </row>
    <row r="988" ht="15.75" customHeight="1">
      <c r="A988" s="180"/>
      <c r="C988" s="181"/>
      <c r="D988" s="155"/>
      <c r="E988" s="155"/>
      <c r="F988" s="155"/>
      <c r="G988" s="155"/>
    </row>
    <row r="989" ht="15.75" customHeight="1">
      <c r="A989" s="180"/>
      <c r="C989" s="181"/>
      <c r="D989" s="155"/>
      <c r="E989" s="155"/>
      <c r="F989" s="155"/>
      <c r="G989" s="155"/>
    </row>
    <row r="990" ht="15.75" customHeight="1">
      <c r="A990" s="180"/>
      <c r="C990" s="181"/>
      <c r="D990" s="155"/>
      <c r="E990" s="155"/>
      <c r="F990" s="155"/>
      <c r="G990" s="155"/>
    </row>
    <row r="991" ht="15.75" customHeight="1">
      <c r="A991" s="180"/>
      <c r="C991" s="181"/>
      <c r="D991" s="155"/>
      <c r="E991" s="155"/>
      <c r="F991" s="155"/>
      <c r="G991" s="155"/>
    </row>
    <row r="992" ht="15.75" customHeight="1">
      <c r="A992" s="180"/>
      <c r="C992" s="181"/>
      <c r="D992" s="155"/>
      <c r="E992" s="155"/>
      <c r="F992" s="155"/>
      <c r="G992" s="155"/>
    </row>
    <row r="993" ht="15.75" customHeight="1">
      <c r="A993" s="180"/>
      <c r="C993" s="181"/>
      <c r="D993" s="155"/>
      <c r="E993" s="155"/>
      <c r="F993" s="155"/>
      <c r="G993" s="155"/>
    </row>
    <row r="994" ht="15.75" customHeight="1">
      <c r="A994" s="180"/>
      <c r="C994" s="181"/>
      <c r="D994" s="155"/>
      <c r="E994" s="155"/>
      <c r="F994" s="155"/>
      <c r="G994" s="155"/>
    </row>
    <row r="995" ht="15.75" customHeight="1">
      <c r="A995" s="180"/>
      <c r="C995" s="181"/>
      <c r="D995" s="155"/>
      <c r="E995" s="155"/>
      <c r="F995" s="155"/>
      <c r="G995" s="155"/>
    </row>
    <row r="996" ht="15.75" customHeight="1">
      <c r="A996" s="180"/>
      <c r="C996" s="181"/>
      <c r="D996" s="155"/>
      <c r="E996" s="155"/>
      <c r="F996" s="155"/>
      <c r="G996" s="155"/>
    </row>
    <row r="997" ht="15.75" customHeight="1">
      <c r="A997" s="180"/>
      <c r="C997" s="181"/>
      <c r="D997" s="155"/>
      <c r="E997" s="155"/>
      <c r="F997" s="155"/>
      <c r="G997" s="155"/>
    </row>
    <row r="998" ht="15.75" customHeight="1">
      <c r="A998" s="180"/>
      <c r="C998" s="181"/>
      <c r="D998" s="155"/>
      <c r="E998" s="155"/>
      <c r="F998" s="155"/>
      <c r="G998" s="155"/>
    </row>
    <row r="999" ht="15.75" customHeight="1">
      <c r="A999" s="180"/>
      <c r="C999" s="181"/>
      <c r="D999" s="155"/>
      <c r="E999" s="155"/>
      <c r="F999" s="155"/>
      <c r="G999" s="155"/>
    </row>
    <row r="1000" ht="15.75" customHeight="1">
      <c r="A1000" s="180"/>
      <c r="C1000" s="181"/>
      <c r="D1000" s="155"/>
      <c r="E1000" s="155"/>
      <c r="F1000" s="155"/>
      <c r="G1000" s="155"/>
    </row>
    <row r="1001" ht="15.75" customHeight="1">
      <c r="A1001" s="180"/>
      <c r="C1001" s="181"/>
      <c r="D1001" s="155"/>
      <c r="E1001" s="155"/>
      <c r="F1001" s="155"/>
      <c r="G1001" s="155"/>
    </row>
    <row r="1002" ht="15.75" customHeight="1">
      <c r="A1002" s="180"/>
      <c r="C1002" s="181"/>
      <c r="D1002" s="155"/>
      <c r="E1002" s="155"/>
      <c r="F1002" s="155"/>
      <c r="G1002" s="155"/>
    </row>
    <row r="1003" ht="15.75" customHeight="1">
      <c r="A1003" s="180"/>
      <c r="C1003" s="181"/>
      <c r="D1003" s="155"/>
      <c r="E1003" s="155"/>
      <c r="F1003" s="155"/>
      <c r="G1003" s="155"/>
    </row>
    <row r="1004" ht="15.75" customHeight="1">
      <c r="A1004" s="180"/>
      <c r="C1004" s="181"/>
      <c r="D1004" s="155"/>
      <c r="E1004" s="155"/>
      <c r="F1004" s="155"/>
      <c r="G1004" s="155"/>
    </row>
    <row r="1005" ht="15.75" customHeight="1">
      <c r="A1005" s="180"/>
      <c r="C1005" s="181"/>
      <c r="D1005" s="155"/>
      <c r="E1005" s="155"/>
      <c r="F1005" s="155"/>
      <c r="G1005" s="155"/>
    </row>
    <row r="1006" ht="15.75" customHeight="1">
      <c r="A1006" s="180"/>
      <c r="C1006" s="181"/>
      <c r="D1006" s="155"/>
      <c r="E1006" s="155"/>
      <c r="F1006" s="155"/>
      <c r="G1006" s="155"/>
    </row>
    <row r="1007" ht="15.75" customHeight="1">
      <c r="A1007" s="180"/>
      <c r="C1007" s="181"/>
      <c r="D1007" s="155"/>
      <c r="E1007" s="155"/>
      <c r="F1007" s="155"/>
      <c r="G1007" s="155"/>
    </row>
  </sheetData>
  <mergeCells count="7">
    <mergeCell ref="A2:A5"/>
    <mergeCell ref="A7:A10"/>
    <mergeCell ref="A11:A21"/>
    <mergeCell ref="A22:A25"/>
    <mergeCell ref="A26:A29"/>
    <mergeCell ref="A31:A34"/>
    <mergeCell ref="A35:A41"/>
  </mergeCells>
  <dataValidations>
    <dataValidation type="list" allowBlank="1" showErrorMessage="1" sqref="E2:E41">
      <formula1>"Yes,No"</formula1>
    </dataValidation>
    <dataValidation type="list" allowBlank="1" showErrorMessage="1" sqref="D2 D5:D11 D18:D20 D22 D24:D25 D35:D41">
      <formula1>"Text,Numeric,Image,Single select,Multiple select,Autocapture,Allow only Text not number"</formula1>
    </dataValidation>
    <dataValidation type="list" allowBlank="1" showErrorMessage="1" sqref="D3:D4 D12:D17 D21 D23 D26:D34">
      <formula1>"Text,Numeric,Single select,Multiselect,Image,Date,Auto calculate,Autocapture"</formula1>
    </dataValidation>
  </dataValidations>
  <printOptions/>
  <pageMargins bottom="0.75" footer="0.0" header="0.0" left="0.7" right="0.7" top="0.75"/>
  <pageSetup orientation="landscape"/>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1" width="30.63"/>
    <col customWidth="1" min="2" max="2" width="9.38"/>
    <col customWidth="1" min="3" max="3" width="39.38"/>
    <col customWidth="1" min="4" max="4" width="19.75"/>
    <col customWidth="1" min="5" max="5" width="11.88"/>
    <col customWidth="1" min="6" max="6" width="19.75"/>
    <col customWidth="1" min="7" max="7" width="11.25"/>
    <col customWidth="1" min="9" max="9" width="9.13"/>
    <col customWidth="1" min="10" max="10" width="42.38"/>
    <col customWidth="1" min="11" max="11" width="48.0"/>
    <col customWidth="1" min="12" max="12" width="27.63"/>
    <col customWidth="1" min="14" max="14" width="19.5"/>
    <col customWidth="1" min="15" max="15" width="16.63"/>
  </cols>
  <sheetData>
    <row r="1" ht="15.75" customHeight="1">
      <c r="A1" s="183" t="s">
        <v>631</v>
      </c>
      <c r="B1" s="147" t="s">
        <v>632</v>
      </c>
      <c r="C1" s="147" t="s">
        <v>633</v>
      </c>
      <c r="D1" s="147" t="s">
        <v>634</v>
      </c>
      <c r="E1" s="147" t="s">
        <v>635</v>
      </c>
      <c r="F1" s="147" t="s">
        <v>637</v>
      </c>
      <c r="G1" s="147" t="s">
        <v>638</v>
      </c>
      <c r="H1" s="147" t="s">
        <v>639</v>
      </c>
      <c r="I1" s="147" t="s">
        <v>640</v>
      </c>
      <c r="J1" s="147" t="s">
        <v>641</v>
      </c>
      <c r="K1" s="147" t="s">
        <v>642</v>
      </c>
      <c r="L1" s="184" t="s">
        <v>722</v>
      </c>
      <c r="M1" s="184" t="s">
        <v>723</v>
      </c>
      <c r="N1" s="184" t="s">
        <v>724</v>
      </c>
      <c r="O1" s="184" t="s">
        <v>725</v>
      </c>
      <c r="P1" s="149"/>
      <c r="Q1" s="149"/>
      <c r="R1" s="149"/>
      <c r="S1" s="149"/>
      <c r="T1" s="149"/>
      <c r="U1" s="149"/>
      <c r="V1" s="149"/>
      <c r="W1" s="149"/>
      <c r="X1" s="149"/>
      <c r="Y1" s="149"/>
      <c r="Z1" s="149"/>
      <c r="AA1" s="149"/>
    </row>
    <row r="2" ht="15.75" customHeight="1">
      <c r="A2" s="185" t="s">
        <v>726</v>
      </c>
      <c r="B2" s="156">
        <v>1.0</v>
      </c>
      <c r="C2" s="134" t="s">
        <v>727</v>
      </c>
      <c r="D2" s="156" t="s">
        <v>655</v>
      </c>
      <c r="E2" s="156" t="s">
        <v>728</v>
      </c>
      <c r="F2" s="151"/>
      <c r="G2" s="151"/>
      <c r="H2" s="151"/>
      <c r="I2" s="151"/>
      <c r="J2" s="156" t="s">
        <v>673</v>
      </c>
      <c r="K2" s="151"/>
      <c r="L2" s="151"/>
    </row>
    <row r="3" ht="15.75" customHeight="1">
      <c r="A3" s="26"/>
      <c r="B3" s="156">
        <v>2.0</v>
      </c>
      <c r="C3" s="134" t="s">
        <v>729</v>
      </c>
      <c r="D3" s="156" t="s">
        <v>689</v>
      </c>
      <c r="E3" s="156" t="s">
        <v>730</v>
      </c>
      <c r="F3" s="156" t="s">
        <v>731</v>
      </c>
      <c r="G3" s="151"/>
      <c r="H3" s="151"/>
      <c r="I3" s="151"/>
      <c r="J3" s="156"/>
      <c r="K3" s="156" t="s">
        <v>732</v>
      </c>
      <c r="L3" s="151"/>
    </row>
    <row r="4" ht="15.75" customHeight="1">
      <c r="A4" s="26"/>
      <c r="B4" s="156">
        <v>3.0</v>
      </c>
      <c r="C4" s="186" t="s">
        <v>733</v>
      </c>
      <c r="D4" s="156" t="s">
        <v>689</v>
      </c>
      <c r="E4" s="156" t="s">
        <v>728</v>
      </c>
      <c r="F4" s="156" t="s">
        <v>731</v>
      </c>
      <c r="G4" s="151"/>
      <c r="H4" s="151"/>
      <c r="I4" s="151"/>
      <c r="J4" s="151"/>
      <c r="K4" s="162" t="s">
        <v>734</v>
      </c>
      <c r="L4" s="187"/>
    </row>
    <row r="5" ht="15.75" customHeight="1">
      <c r="A5" s="26"/>
      <c r="B5" s="188">
        <v>4.0</v>
      </c>
      <c r="C5" s="189" t="s">
        <v>735</v>
      </c>
      <c r="D5" s="190" t="s">
        <v>649</v>
      </c>
      <c r="E5" s="190" t="s">
        <v>728</v>
      </c>
      <c r="F5" s="190"/>
      <c r="G5" s="191"/>
      <c r="H5" s="191"/>
      <c r="I5" s="191"/>
      <c r="J5" s="187"/>
      <c r="K5" s="192" t="s">
        <v>736</v>
      </c>
      <c r="L5" s="187"/>
    </row>
    <row r="6" ht="15.75" customHeight="1">
      <c r="A6" s="26"/>
      <c r="B6" s="188">
        <v>5.0</v>
      </c>
      <c r="C6" s="189" t="s">
        <v>737</v>
      </c>
      <c r="D6" s="190" t="s">
        <v>738</v>
      </c>
      <c r="E6" s="190" t="s">
        <v>728</v>
      </c>
      <c r="F6" s="190"/>
      <c r="G6" s="191"/>
      <c r="H6" s="191"/>
      <c r="I6" s="191"/>
      <c r="J6" s="187"/>
      <c r="K6" s="192"/>
      <c r="L6" s="187"/>
    </row>
    <row r="7" ht="15.75" customHeight="1">
      <c r="A7" s="26"/>
      <c r="B7" s="162">
        <v>6.0</v>
      </c>
      <c r="C7" s="193" t="s">
        <v>739</v>
      </c>
      <c r="D7" s="162" t="s">
        <v>738</v>
      </c>
      <c r="E7" s="162" t="s">
        <v>728</v>
      </c>
      <c r="F7" s="162" t="s">
        <v>740</v>
      </c>
      <c r="G7" s="158"/>
      <c r="H7" s="158"/>
      <c r="I7" s="158"/>
      <c r="J7" s="151"/>
      <c r="K7" s="162" t="s">
        <v>741</v>
      </c>
      <c r="L7" s="151"/>
    </row>
    <row r="8" ht="15.75" customHeight="1">
      <c r="A8" s="26"/>
      <c r="B8" s="156">
        <v>7.0</v>
      </c>
      <c r="C8" s="186" t="s">
        <v>742</v>
      </c>
      <c r="D8" s="156" t="s">
        <v>689</v>
      </c>
      <c r="E8" s="156" t="s">
        <v>728</v>
      </c>
      <c r="F8" s="151"/>
      <c r="G8" s="151"/>
      <c r="H8" s="151"/>
      <c r="I8" s="151"/>
      <c r="J8" s="151"/>
      <c r="K8" s="156"/>
      <c r="L8" s="151"/>
    </row>
    <row r="9" ht="15.75" customHeight="1">
      <c r="A9" s="26"/>
      <c r="B9" s="156">
        <v>8.0</v>
      </c>
      <c r="C9" s="134" t="s">
        <v>743</v>
      </c>
      <c r="D9" s="156" t="s">
        <v>655</v>
      </c>
      <c r="E9" s="156" t="s">
        <v>728</v>
      </c>
      <c r="F9" s="151"/>
      <c r="G9" s="151"/>
      <c r="H9" s="151"/>
      <c r="I9" s="151"/>
      <c r="J9" s="186" t="s">
        <v>744</v>
      </c>
      <c r="K9" s="151"/>
      <c r="L9" s="151"/>
    </row>
    <row r="10" ht="15.75" customHeight="1">
      <c r="A10" s="26"/>
      <c r="B10" s="156">
        <v>9.0</v>
      </c>
      <c r="C10" s="194" t="s">
        <v>745</v>
      </c>
      <c r="D10" s="156" t="s">
        <v>655</v>
      </c>
      <c r="E10" s="151" t="s">
        <v>728</v>
      </c>
      <c r="F10" s="151"/>
      <c r="G10" s="151"/>
      <c r="H10" s="151"/>
      <c r="I10" s="151"/>
      <c r="J10" s="156" t="s">
        <v>746</v>
      </c>
      <c r="K10" s="151"/>
      <c r="L10" s="151"/>
    </row>
    <row r="11" ht="15.75" customHeight="1">
      <c r="A11" s="26"/>
      <c r="B11" s="162">
        <v>10.0</v>
      </c>
      <c r="C11" s="195" t="s">
        <v>747</v>
      </c>
      <c r="D11" s="162" t="s">
        <v>738</v>
      </c>
      <c r="E11" s="158" t="s">
        <v>728</v>
      </c>
      <c r="F11" s="162" t="s">
        <v>748</v>
      </c>
      <c r="G11" s="151"/>
      <c r="H11" s="151"/>
      <c r="I11" s="151"/>
      <c r="J11" s="156" t="s">
        <v>749</v>
      </c>
      <c r="K11" s="151"/>
      <c r="L11" s="151"/>
    </row>
    <row r="12" ht="15.75" customHeight="1">
      <c r="A12" s="26"/>
      <c r="B12" s="171">
        <v>9.0</v>
      </c>
      <c r="C12" s="196" t="s">
        <v>735</v>
      </c>
      <c r="D12" s="171" t="s">
        <v>649</v>
      </c>
      <c r="E12" s="166" t="s">
        <v>728</v>
      </c>
      <c r="F12" s="166"/>
      <c r="G12" s="166"/>
      <c r="H12" s="166"/>
      <c r="I12" s="166"/>
      <c r="J12" s="166"/>
      <c r="K12" s="171" t="s">
        <v>736</v>
      </c>
      <c r="L12" s="166"/>
    </row>
    <row r="13" ht="15.75" customHeight="1">
      <c r="A13" s="26"/>
      <c r="B13" s="171">
        <v>10.0</v>
      </c>
      <c r="C13" s="196" t="s">
        <v>737</v>
      </c>
      <c r="D13" s="171" t="s">
        <v>738</v>
      </c>
      <c r="E13" s="166" t="s">
        <v>728</v>
      </c>
      <c r="F13" s="166"/>
      <c r="G13" s="166"/>
      <c r="H13" s="166"/>
      <c r="I13" s="166"/>
      <c r="J13" s="166"/>
      <c r="K13" s="171"/>
      <c r="L13" s="166"/>
    </row>
    <row r="14" ht="15.75" customHeight="1">
      <c r="A14" s="26"/>
      <c r="B14" s="171">
        <v>11.0</v>
      </c>
      <c r="C14" s="196" t="s">
        <v>750</v>
      </c>
      <c r="D14" s="171" t="s">
        <v>649</v>
      </c>
      <c r="E14" s="171" t="s">
        <v>728</v>
      </c>
      <c r="F14" s="171" t="s">
        <v>751</v>
      </c>
      <c r="G14" s="166"/>
      <c r="H14" s="166"/>
      <c r="I14" s="166"/>
      <c r="J14" s="166"/>
      <c r="K14" s="171"/>
      <c r="L14" s="166"/>
      <c r="M14" s="170"/>
      <c r="N14" s="170"/>
      <c r="O14" s="170"/>
      <c r="P14" s="170"/>
      <c r="Q14" s="170"/>
      <c r="R14" s="170"/>
      <c r="S14" s="170"/>
      <c r="T14" s="170"/>
      <c r="U14" s="170"/>
      <c r="V14" s="170"/>
      <c r="W14" s="170"/>
      <c r="X14" s="170"/>
      <c r="Y14" s="170"/>
      <c r="Z14" s="170"/>
      <c r="AA14" s="170"/>
    </row>
    <row r="15" ht="15.75" customHeight="1">
      <c r="A15" s="26"/>
      <c r="B15" s="156">
        <v>12.0</v>
      </c>
      <c r="C15" s="194" t="s">
        <v>752</v>
      </c>
      <c r="D15" s="151" t="s">
        <v>655</v>
      </c>
      <c r="E15" s="151" t="s">
        <v>728</v>
      </c>
      <c r="F15" s="151"/>
      <c r="G15" s="151"/>
      <c r="H15" s="151"/>
      <c r="I15" s="151"/>
      <c r="J15" s="151" t="s">
        <v>753</v>
      </c>
      <c r="K15" s="151"/>
      <c r="L15" s="151"/>
    </row>
    <row r="16" ht="88.5" customHeight="1">
      <c r="A16" s="26"/>
      <c r="B16" s="156">
        <v>13.0</v>
      </c>
      <c r="C16" s="134" t="s">
        <v>754</v>
      </c>
      <c r="D16" s="151" t="s">
        <v>689</v>
      </c>
      <c r="E16" s="151" t="s">
        <v>728</v>
      </c>
      <c r="F16" s="156" t="s">
        <v>755</v>
      </c>
      <c r="G16" s="151"/>
      <c r="H16" s="151"/>
      <c r="I16" s="151"/>
      <c r="J16" s="151"/>
      <c r="K16" s="197" t="s">
        <v>756</v>
      </c>
      <c r="L16" s="151"/>
    </row>
    <row r="17" ht="15.75" customHeight="1">
      <c r="A17" s="26"/>
      <c r="B17" s="156">
        <v>14.0</v>
      </c>
      <c r="C17" s="194" t="s">
        <v>757</v>
      </c>
      <c r="D17" s="151" t="s">
        <v>689</v>
      </c>
      <c r="E17" s="151" t="s">
        <v>728</v>
      </c>
      <c r="F17" s="151"/>
      <c r="G17" s="151"/>
      <c r="H17" s="151"/>
      <c r="I17" s="151"/>
      <c r="J17" s="151"/>
      <c r="K17" s="197" t="s">
        <v>758</v>
      </c>
      <c r="L17" s="151"/>
    </row>
    <row r="18" ht="15.75" customHeight="1">
      <c r="A18" s="26"/>
      <c r="B18" s="156">
        <v>15.0</v>
      </c>
      <c r="C18" s="194" t="s">
        <v>759</v>
      </c>
      <c r="D18" s="151" t="s">
        <v>689</v>
      </c>
      <c r="E18" s="151" t="s">
        <v>728</v>
      </c>
      <c r="F18" s="151"/>
      <c r="G18" s="151"/>
      <c r="H18" s="151"/>
      <c r="I18" s="151"/>
      <c r="J18" s="151"/>
      <c r="K18" s="197" t="s">
        <v>758</v>
      </c>
      <c r="L18" s="151"/>
    </row>
    <row r="19" ht="15.75" customHeight="1">
      <c r="A19" s="26"/>
      <c r="B19" s="156">
        <v>16.0</v>
      </c>
      <c r="C19" s="40" t="s">
        <v>760</v>
      </c>
      <c r="D19" s="156" t="s">
        <v>689</v>
      </c>
      <c r="E19" s="156" t="s">
        <v>728</v>
      </c>
      <c r="F19" s="151"/>
      <c r="G19" s="151"/>
      <c r="H19" s="151"/>
      <c r="I19" s="151"/>
      <c r="J19" s="151"/>
      <c r="K19" s="197" t="s">
        <v>758</v>
      </c>
      <c r="L19" s="151"/>
    </row>
    <row r="20" ht="15.75" customHeight="1">
      <c r="A20" s="26"/>
      <c r="B20" s="156">
        <v>17.0</v>
      </c>
      <c r="C20" s="186" t="s">
        <v>761</v>
      </c>
      <c r="D20" s="151" t="s">
        <v>689</v>
      </c>
      <c r="E20" s="151" t="s">
        <v>728</v>
      </c>
      <c r="F20" s="156"/>
      <c r="G20" s="156"/>
      <c r="H20" s="156"/>
      <c r="I20" s="156"/>
      <c r="J20" s="151"/>
      <c r="K20" s="42" t="s">
        <v>762</v>
      </c>
      <c r="M20" s="149" t="s">
        <v>763</v>
      </c>
      <c r="N20" s="149" t="s">
        <v>764</v>
      </c>
      <c r="O20" s="149" t="s">
        <v>765</v>
      </c>
    </row>
    <row r="21" ht="15.75" customHeight="1">
      <c r="A21" s="26"/>
      <c r="B21" s="156">
        <v>18.0</v>
      </c>
      <c r="C21" s="186" t="s">
        <v>766</v>
      </c>
      <c r="D21" s="151" t="s">
        <v>689</v>
      </c>
      <c r="E21" s="151" t="s">
        <v>728</v>
      </c>
      <c r="F21" s="151"/>
      <c r="G21" s="151"/>
      <c r="H21" s="151"/>
      <c r="I21" s="151"/>
      <c r="J21" s="151"/>
      <c r="K21" s="151"/>
      <c r="M21" s="149" t="s">
        <v>767</v>
      </c>
      <c r="N21" s="149" t="s">
        <v>768</v>
      </c>
      <c r="O21" s="149" t="s">
        <v>769</v>
      </c>
    </row>
    <row r="22" ht="15.75" customHeight="1">
      <c r="A22" s="26"/>
      <c r="B22" s="156">
        <v>25.0</v>
      </c>
      <c r="C22" s="186" t="s">
        <v>770</v>
      </c>
      <c r="D22" s="156" t="s">
        <v>738</v>
      </c>
      <c r="E22" s="156" t="s">
        <v>728</v>
      </c>
      <c r="F22" s="151"/>
      <c r="G22" s="151"/>
      <c r="H22" s="151"/>
      <c r="I22" s="151"/>
      <c r="J22" s="40" t="s">
        <v>771</v>
      </c>
      <c r="K22" s="40" t="s">
        <v>772</v>
      </c>
      <c r="L22" s="156" t="s">
        <v>773</v>
      </c>
    </row>
    <row r="23" ht="15.75" customHeight="1">
      <c r="A23" s="26"/>
      <c r="B23" s="156">
        <v>19.0</v>
      </c>
      <c r="C23" s="134" t="s">
        <v>774</v>
      </c>
      <c r="D23" s="156" t="s">
        <v>655</v>
      </c>
      <c r="E23" s="156" t="s">
        <v>728</v>
      </c>
      <c r="F23" s="151"/>
      <c r="G23" s="151"/>
      <c r="H23" s="151"/>
      <c r="I23" s="151"/>
      <c r="J23" s="156" t="s">
        <v>673</v>
      </c>
      <c r="K23" s="151"/>
      <c r="L23" s="151"/>
    </row>
    <row r="24" ht="15.75" customHeight="1">
      <c r="A24" s="26"/>
      <c r="B24" s="156">
        <v>20.0</v>
      </c>
      <c r="C24" s="134" t="s">
        <v>775</v>
      </c>
      <c r="D24" s="156" t="s">
        <v>655</v>
      </c>
      <c r="E24" s="151" t="s">
        <v>728</v>
      </c>
      <c r="F24" s="156" t="s">
        <v>776</v>
      </c>
      <c r="G24" s="151"/>
      <c r="H24" s="151"/>
      <c r="I24" s="151"/>
      <c r="J24" s="156" t="s">
        <v>673</v>
      </c>
      <c r="L24" s="151"/>
    </row>
    <row r="25" ht="15.75" customHeight="1">
      <c r="A25" s="26"/>
      <c r="B25" s="156">
        <v>21.0</v>
      </c>
      <c r="C25" s="194" t="s">
        <v>777</v>
      </c>
      <c r="D25" s="156" t="s">
        <v>655</v>
      </c>
      <c r="E25" s="151" t="s">
        <v>728</v>
      </c>
      <c r="F25" s="156" t="s">
        <v>778</v>
      </c>
      <c r="G25" s="151"/>
      <c r="H25" s="151"/>
      <c r="I25" s="151"/>
      <c r="J25" s="156" t="s">
        <v>673</v>
      </c>
      <c r="K25" s="151"/>
      <c r="L25" s="151"/>
    </row>
    <row r="26" ht="15.75" customHeight="1">
      <c r="A26" s="26"/>
      <c r="B26" s="156">
        <v>22.0</v>
      </c>
      <c r="C26" s="194" t="s">
        <v>779</v>
      </c>
      <c r="D26" s="156" t="s">
        <v>655</v>
      </c>
      <c r="E26" s="151" t="s">
        <v>728</v>
      </c>
      <c r="F26" s="156" t="s">
        <v>778</v>
      </c>
      <c r="G26" s="151"/>
      <c r="H26" s="151"/>
      <c r="I26" s="151"/>
      <c r="J26" s="156" t="s">
        <v>673</v>
      </c>
      <c r="K26" s="151"/>
      <c r="L26" s="151"/>
    </row>
    <row r="27" ht="15.75" customHeight="1">
      <c r="A27" s="26"/>
      <c r="B27" s="156">
        <v>23.0</v>
      </c>
      <c r="C27" s="194" t="s">
        <v>780</v>
      </c>
      <c r="D27" s="151" t="s">
        <v>655</v>
      </c>
      <c r="E27" s="151" t="s">
        <v>728</v>
      </c>
      <c r="F27" s="151"/>
      <c r="G27" s="151"/>
      <c r="H27" s="151"/>
      <c r="I27" s="151"/>
      <c r="J27" s="186" t="s">
        <v>781</v>
      </c>
      <c r="K27" s="151"/>
      <c r="L27" s="151"/>
    </row>
    <row r="28" ht="15.75" customHeight="1">
      <c r="A28" s="26"/>
      <c r="B28" s="156">
        <v>24.0</v>
      </c>
      <c r="C28" s="194" t="s">
        <v>782</v>
      </c>
      <c r="D28" s="151" t="s">
        <v>655</v>
      </c>
      <c r="E28" s="151" t="s">
        <v>728</v>
      </c>
      <c r="F28" s="151"/>
      <c r="G28" s="151"/>
      <c r="H28" s="151"/>
      <c r="I28" s="151"/>
      <c r="J28" s="186" t="s">
        <v>781</v>
      </c>
      <c r="K28" s="151"/>
      <c r="L28" s="151"/>
    </row>
    <row r="29" ht="15.75" customHeight="1">
      <c r="A29" s="198"/>
    </row>
    <row r="30" ht="15.75" customHeight="1">
      <c r="A30" s="199" t="s">
        <v>783</v>
      </c>
      <c r="B30" s="151"/>
      <c r="C30" s="194" t="s">
        <v>784</v>
      </c>
      <c r="D30" s="151" t="s">
        <v>655</v>
      </c>
      <c r="E30" s="151" t="s">
        <v>728</v>
      </c>
      <c r="F30" s="151"/>
      <c r="G30" s="151"/>
      <c r="H30" s="151"/>
      <c r="I30" s="151"/>
      <c r="J30" s="151" t="s">
        <v>753</v>
      </c>
      <c r="K30" s="151"/>
      <c r="L30" s="151"/>
    </row>
    <row r="31" ht="15.75" customHeight="1">
      <c r="A31" s="26"/>
      <c r="B31" s="151"/>
      <c r="C31" s="194" t="s">
        <v>785</v>
      </c>
      <c r="D31" s="151" t="s">
        <v>646</v>
      </c>
      <c r="E31" s="151" t="s">
        <v>730</v>
      </c>
      <c r="F31" s="156" t="s">
        <v>786</v>
      </c>
      <c r="G31" s="151"/>
      <c r="H31" s="151"/>
      <c r="I31" s="151"/>
      <c r="J31" s="151"/>
      <c r="K31" s="151"/>
      <c r="L31" s="151"/>
    </row>
    <row r="32" ht="15.75" customHeight="1">
      <c r="A32" s="26"/>
      <c r="B32" s="151"/>
      <c r="C32" s="194" t="s">
        <v>787</v>
      </c>
      <c r="D32" s="151" t="s">
        <v>655</v>
      </c>
      <c r="E32" s="151" t="s">
        <v>728</v>
      </c>
      <c r="F32" s="151"/>
      <c r="G32" s="151"/>
      <c r="H32" s="151"/>
      <c r="I32" s="151"/>
      <c r="J32" s="151" t="s">
        <v>753</v>
      </c>
      <c r="K32" s="151"/>
      <c r="L32" s="151"/>
    </row>
    <row r="33" ht="15.75" customHeight="1">
      <c r="A33" s="26"/>
      <c r="B33" s="151"/>
      <c r="C33" s="194" t="s">
        <v>788</v>
      </c>
      <c r="D33" s="151" t="s">
        <v>646</v>
      </c>
      <c r="E33" s="151" t="s">
        <v>730</v>
      </c>
      <c r="F33" s="156" t="s">
        <v>789</v>
      </c>
      <c r="G33" s="151"/>
      <c r="H33" s="151"/>
      <c r="I33" s="151"/>
      <c r="J33" s="151"/>
      <c r="K33" s="151"/>
      <c r="L33" s="151"/>
    </row>
    <row r="34" ht="15.75" customHeight="1">
      <c r="A34" s="26"/>
      <c r="B34" s="151"/>
      <c r="C34" s="194" t="s">
        <v>790</v>
      </c>
      <c r="D34" s="151" t="s">
        <v>655</v>
      </c>
      <c r="E34" s="151" t="s">
        <v>728</v>
      </c>
      <c r="F34" s="151"/>
      <c r="G34" s="151"/>
      <c r="H34" s="151"/>
      <c r="I34" s="151"/>
      <c r="J34" s="151" t="s">
        <v>753</v>
      </c>
      <c r="K34" s="151"/>
      <c r="L34" s="151"/>
    </row>
    <row r="35" ht="15.75" customHeight="1">
      <c r="A35" s="27"/>
      <c r="B35" s="151"/>
      <c r="C35" s="194" t="s">
        <v>788</v>
      </c>
      <c r="D35" s="151" t="s">
        <v>646</v>
      </c>
      <c r="E35" s="151" t="s">
        <v>730</v>
      </c>
      <c r="F35" s="156" t="s">
        <v>791</v>
      </c>
      <c r="G35" s="151"/>
      <c r="H35" s="151"/>
      <c r="I35" s="151"/>
      <c r="J35" s="151"/>
      <c r="K35" s="151"/>
      <c r="L35" s="151"/>
    </row>
    <row r="36" ht="15.75" customHeight="1">
      <c r="A36" s="185" t="s">
        <v>792</v>
      </c>
      <c r="B36" s="151"/>
      <c r="C36" s="134" t="s">
        <v>793</v>
      </c>
      <c r="D36" s="156" t="s">
        <v>794</v>
      </c>
      <c r="E36" s="151" t="s">
        <v>728</v>
      </c>
      <c r="F36" s="151"/>
      <c r="G36" s="151"/>
      <c r="H36" s="151"/>
      <c r="I36" s="151"/>
      <c r="J36" s="156" t="s">
        <v>795</v>
      </c>
      <c r="K36" s="151"/>
      <c r="L36" s="151" t="s">
        <v>796</v>
      </c>
    </row>
    <row r="37" ht="15.75" customHeight="1">
      <c r="A37" s="27"/>
      <c r="B37" s="156"/>
      <c r="C37" s="134" t="s">
        <v>797</v>
      </c>
      <c r="D37" s="156" t="s">
        <v>646</v>
      </c>
      <c r="E37" s="151"/>
      <c r="F37" s="156" t="s">
        <v>798</v>
      </c>
      <c r="G37" s="151"/>
      <c r="H37" s="151"/>
      <c r="I37" s="151"/>
      <c r="J37" s="156"/>
      <c r="K37" s="151"/>
      <c r="L37" s="151"/>
    </row>
    <row r="38" ht="15.75" customHeight="1">
      <c r="A38" s="198" t="s">
        <v>799</v>
      </c>
      <c r="B38" s="156"/>
      <c r="C38" s="134" t="s">
        <v>800</v>
      </c>
      <c r="D38" s="156" t="s">
        <v>794</v>
      </c>
      <c r="E38" s="151" t="s">
        <v>728</v>
      </c>
      <c r="F38" s="151" t="s">
        <v>801</v>
      </c>
      <c r="G38" s="151"/>
      <c r="H38" s="151"/>
      <c r="I38" s="151"/>
      <c r="J38" s="200" t="s">
        <v>802</v>
      </c>
      <c r="K38" s="151"/>
      <c r="L38" s="151" t="s">
        <v>796</v>
      </c>
    </row>
    <row r="39" ht="15.75" customHeight="1">
      <c r="A39" s="26"/>
      <c r="B39" s="156"/>
      <c r="C39" s="134" t="s">
        <v>797</v>
      </c>
      <c r="D39" s="156" t="s">
        <v>646</v>
      </c>
      <c r="E39" s="151"/>
      <c r="F39" s="156" t="s">
        <v>803</v>
      </c>
      <c r="G39" s="151"/>
      <c r="H39" s="151"/>
      <c r="I39" s="151"/>
      <c r="J39" s="156"/>
      <c r="K39" s="151"/>
      <c r="L39" s="151"/>
    </row>
    <row r="40" ht="15.75" customHeight="1">
      <c r="A40" s="201" t="s">
        <v>804</v>
      </c>
      <c r="B40" s="156">
        <v>1.0</v>
      </c>
      <c r="C40" s="134" t="s">
        <v>805</v>
      </c>
      <c r="D40" s="156" t="s">
        <v>794</v>
      </c>
      <c r="E40" s="156" t="s">
        <v>728</v>
      </c>
      <c r="F40" s="151"/>
      <c r="G40" s="151"/>
      <c r="H40" s="156" t="s">
        <v>806</v>
      </c>
      <c r="I40" s="151"/>
      <c r="J40" s="202" t="s">
        <v>807</v>
      </c>
      <c r="K40" s="151"/>
      <c r="L40" s="151"/>
    </row>
    <row r="41" ht="15.75" customHeight="1">
      <c r="A41" s="26"/>
      <c r="B41" s="141">
        <v>2.0</v>
      </c>
      <c r="C41" s="40" t="s">
        <v>808</v>
      </c>
      <c r="D41" s="156" t="s">
        <v>794</v>
      </c>
      <c r="E41" s="156" t="s">
        <v>728</v>
      </c>
      <c r="F41" s="138"/>
      <c r="G41" s="138"/>
      <c r="H41" s="141" t="s">
        <v>307</v>
      </c>
      <c r="I41" s="138"/>
      <c r="J41" s="141" t="s">
        <v>809</v>
      </c>
      <c r="K41" s="138"/>
      <c r="L41" s="138"/>
    </row>
    <row r="42" ht="15.75" customHeight="1">
      <c r="A42" s="26"/>
      <c r="B42" s="141">
        <v>3.0</v>
      </c>
      <c r="C42" s="40" t="s">
        <v>810</v>
      </c>
      <c r="D42" s="156" t="s">
        <v>655</v>
      </c>
      <c r="E42" s="156" t="s">
        <v>728</v>
      </c>
      <c r="F42" s="138"/>
      <c r="G42" s="138"/>
      <c r="H42" s="138"/>
      <c r="I42" s="138"/>
      <c r="J42" s="141" t="s">
        <v>673</v>
      </c>
      <c r="K42" s="138"/>
      <c r="L42" s="138"/>
    </row>
    <row r="43" ht="15.75" customHeight="1">
      <c r="A43" s="27"/>
      <c r="B43" s="141">
        <v>4.0</v>
      </c>
      <c r="C43" s="40" t="s">
        <v>811</v>
      </c>
      <c r="D43" s="156" t="s">
        <v>655</v>
      </c>
      <c r="E43" s="156" t="s">
        <v>728</v>
      </c>
      <c r="F43" s="138"/>
      <c r="G43" s="138"/>
      <c r="H43" s="138"/>
      <c r="I43" s="138"/>
      <c r="J43" s="141" t="s">
        <v>673</v>
      </c>
      <c r="K43" s="138"/>
      <c r="L43" s="138"/>
    </row>
    <row r="44" ht="15.75" customHeight="1">
      <c r="A44" s="185" t="s">
        <v>812</v>
      </c>
      <c r="B44" s="156">
        <v>1.0</v>
      </c>
      <c r="C44" s="186" t="s">
        <v>813</v>
      </c>
      <c r="D44" s="156" t="s">
        <v>655</v>
      </c>
      <c r="E44" s="151" t="s">
        <v>728</v>
      </c>
      <c r="F44" s="156" t="s">
        <v>814</v>
      </c>
      <c r="G44" s="151"/>
      <c r="H44" s="151"/>
      <c r="I44" s="151"/>
      <c r="J44" s="156" t="s">
        <v>815</v>
      </c>
      <c r="K44" s="156"/>
      <c r="L44" s="151"/>
    </row>
    <row r="45" ht="15.75" customHeight="1">
      <c r="A45" s="26"/>
      <c r="B45" s="156">
        <v>2.0</v>
      </c>
      <c r="C45" s="186" t="s">
        <v>816</v>
      </c>
      <c r="D45" s="156" t="s">
        <v>655</v>
      </c>
      <c r="E45" s="156" t="s">
        <v>728</v>
      </c>
      <c r="F45" s="151"/>
      <c r="G45" s="151"/>
      <c r="H45" s="151"/>
      <c r="I45" s="151"/>
      <c r="J45" s="141" t="s">
        <v>673</v>
      </c>
      <c r="K45" s="151"/>
      <c r="L45" s="151"/>
    </row>
    <row r="46" ht="15.75" customHeight="1">
      <c r="A46" s="26"/>
      <c r="B46" s="156">
        <v>3.0</v>
      </c>
      <c r="C46" s="186" t="s">
        <v>817</v>
      </c>
      <c r="D46" s="156" t="s">
        <v>655</v>
      </c>
      <c r="E46" s="156" t="s">
        <v>728</v>
      </c>
      <c r="F46" s="156" t="s">
        <v>818</v>
      </c>
      <c r="G46" s="151"/>
      <c r="H46" s="151"/>
      <c r="I46" s="151"/>
      <c r="J46" s="141" t="s">
        <v>819</v>
      </c>
      <c r="K46" s="151"/>
      <c r="L46" s="151"/>
    </row>
    <row r="47" ht="15.75" customHeight="1">
      <c r="A47" s="26"/>
      <c r="B47" s="156"/>
      <c r="C47" s="186" t="s">
        <v>820</v>
      </c>
      <c r="D47" s="156"/>
      <c r="E47" s="156"/>
      <c r="F47" s="156" t="s">
        <v>821</v>
      </c>
      <c r="G47" s="151"/>
      <c r="H47" s="151"/>
      <c r="I47" s="151"/>
      <c r="J47" s="156"/>
      <c r="K47" s="151"/>
      <c r="L47" s="151"/>
    </row>
    <row r="48" ht="15.75" customHeight="1">
      <c r="A48" s="27"/>
      <c r="B48" s="156">
        <v>4.0</v>
      </c>
      <c r="C48" s="186" t="s">
        <v>822</v>
      </c>
      <c r="D48" s="156" t="s">
        <v>646</v>
      </c>
      <c r="E48" s="156" t="s">
        <v>728</v>
      </c>
      <c r="F48" s="156" t="s">
        <v>823</v>
      </c>
      <c r="G48" s="151"/>
      <c r="H48" s="151"/>
      <c r="I48" s="151"/>
      <c r="J48" s="156"/>
      <c r="K48" s="151"/>
      <c r="L48" s="151"/>
    </row>
    <row r="49" ht="15.75" customHeight="1">
      <c r="A49" s="203"/>
      <c r="C49" s="180"/>
    </row>
    <row r="50" ht="15.75" customHeight="1">
      <c r="A50" s="203"/>
      <c r="C50" s="180"/>
    </row>
    <row r="51" ht="15.75" customHeight="1">
      <c r="A51" s="203"/>
      <c r="C51" s="204"/>
    </row>
    <row r="52" ht="15.75" customHeight="1">
      <c r="A52" s="203"/>
      <c r="C52" s="180"/>
    </row>
    <row r="53" ht="15.75" customHeight="1">
      <c r="A53" s="203"/>
      <c r="C53" s="180"/>
    </row>
    <row r="54" ht="15.75" customHeight="1">
      <c r="A54" s="203"/>
      <c r="C54" s="180"/>
    </row>
    <row r="55" ht="15.75" customHeight="1">
      <c r="A55" s="203"/>
      <c r="C55" s="180"/>
    </row>
    <row r="56" ht="15.75" customHeight="1">
      <c r="A56" s="203"/>
      <c r="C56" s="180"/>
    </row>
    <row r="57" ht="15.75" customHeight="1">
      <c r="A57" s="203"/>
      <c r="C57" s="180"/>
    </row>
    <row r="58" ht="15.75" customHeight="1">
      <c r="A58" s="203"/>
      <c r="C58" s="180"/>
    </row>
    <row r="59" ht="15.75" customHeight="1">
      <c r="A59" s="203"/>
      <c r="C59" s="180"/>
    </row>
    <row r="60" ht="15.75" customHeight="1">
      <c r="A60" s="203"/>
      <c r="C60" s="180"/>
    </row>
    <row r="61" ht="15.75" customHeight="1">
      <c r="A61" s="203"/>
      <c r="C61" s="180"/>
    </row>
    <row r="62" ht="15.75" customHeight="1">
      <c r="A62" s="203"/>
      <c r="C62" s="180"/>
    </row>
    <row r="63" ht="15.75" customHeight="1">
      <c r="A63" s="203"/>
      <c r="C63" s="180"/>
    </row>
    <row r="64" ht="15.75" customHeight="1">
      <c r="A64" s="203"/>
      <c r="C64" s="180"/>
    </row>
    <row r="65" ht="15.75" customHeight="1">
      <c r="A65" s="203"/>
      <c r="C65" s="180"/>
    </row>
    <row r="66" ht="15.75" customHeight="1">
      <c r="A66" s="203"/>
      <c r="C66" s="180"/>
    </row>
    <row r="67" ht="15.75" customHeight="1">
      <c r="A67" s="203"/>
      <c r="C67" s="180"/>
    </row>
    <row r="68" ht="15.75" customHeight="1">
      <c r="A68" s="203"/>
      <c r="C68" s="180"/>
    </row>
    <row r="69" ht="15.75" customHeight="1">
      <c r="A69" s="203"/>
      <c r="C69" s="180"/>
    </row>
    <row r="70" ht="15.75" customHeight="1">
      <c r="A70" s="203"/>
      <c r="C70" s="180"/>
    </row>
    <row r="71" ht="15.75" customHeight="1">
      <c r="A71" s="203"/>
      <c r="C71" s="180"/>
    </row>
    <row r="72" ht="15.75" customHeight="1">
      <c r="A72" s="203"/>
      <c r="C72" s="180"/>
    </row>
    <row r="73" ht="15.75" customHeight="1">
      <c r="A73" s="203"/>
      <c r="C73" s="180"/>
    </row>
    <row r="74" ht="15.75" customHeight="1">
      <c r="A74" s="203"/>
      <c r="C74" s="180"/>
    </row>
    <row r="75" ht="15.75" customHeight="1">
      <c r="A75" s="203"/>
      <c r="C75" s="180"/>
    </row>
    <row r="76" ht="15.75" customHeight="1">
      <c r="A76" s="203"/>
      <c r="C76" s="180"/>
    </row>
    <row r="77" ht="15.75" customHeight="1">
      <c r="A77" s="203"/>
      <c r="C77" s="180"/>
    </row>
    <row r="78" ht="15.75" customHeight="1">
      <c r="A78" s="203"/>
      <c r="C78" s="180"/>
    </row>
    <row r="79" ht="15.75" customHeight="1">
      <c r="A79" s="203"/>
      <c r="C79" s="180"/>
    </row>
    <row r="80" ht="15.75" customHeight="1">
      <c r="A80" s="203"/>
      <c r="C80" s="180"/>
    </row>
    <row r="81" ht="15.75" customHeight="1">
      <c r="A81" s="203"/>
      <c r="C81" s="180"/>
    </row>
    <row r="82" ht="15.75" customHeight="1">
      <c r="A82" s="203"/>
      <c r="C82" s="180"/>
    </row>
    <row r="83" ht="15.75" customHeight="1">
      <c r="A83" s="203"/>
      <c r="C83" s="180"/>
    </row>
    <row r="84" ht="15.75" customHeight="1">
      <c r="A84" s="203"/>
      <c r="C84" s="180"/>
    </row>
    <row r="85" ht="15.75" customHeight="1">
      <c r="A85" s="203"/>
      <c r="C85" s="180"/>
    </row>
    <row r="86" ht="15.75" customHeight="1">
      <c r="A86" s="203"/>
      <c r="C86" s="180"/>
    </row>
    <row r="87" ht="15.75" customHeight="1">
      <c r="A87" s="203"/>
      <c r="C87" s="180"/>
    </row>
    <row r="88" ht="15.75" customHeight="1">
      <c r="A88" s="203"/>
      <c r="C88" s="180"/>
    </row>
    <row r="89" ht="15.75" customHeight="1">
      <c r="A89" s="203"/>
      <c r="C89" s="180"/>
    </row>
    <row r="90" ht="15.75" customHeight="1">
      <c r="A90" s="203"/>
      <c r="C90" s="180"/>
    </row>
    <row r="91" ht="15.75" customHeight="1">
      <c r="A91" s="203"/>
      <c r="C91" s="180"/>
    </row>
    <row r="92" ht="15.75" customHeight="1">
      <c r="A92" s="203"/>
      <c r="C92" s="180"/>
    </row>
    <row r="93" ht="15.75" customHeight="1">
      <c r="A93" s="203"/>
      <c r="C93" s="180"/>
    </row>
    <row r="94" ht="15.75" customHeight="1">
      <c r="A94" s="203"/>
      <c r="C94" s="180"/>
    </row>
    <row r="95" ht="15.75" customHeight="1">
      <c r="A95" s="203"/>
      <c r="C95" s="180"/>
    </row>
    <row r="96" ht="15.75" customHeight="1">
      <c r="A96" s="203"/>
      <c r="C96" s="180"/>
    </row>
    <row r="97" ht="15.75" customHeight="1">
      <c r="A97" s="203"/>
      <c r="C97" s="180"/>
    </row>
    <row r="98" ht="15.75" customHeight="1">
      <c r="A98" s="203"/>
      <c r="C98" s="180"/>
    </row>
    <row r="99" ht="15.75" customHeight="1">
      <c r="A99" s="203"/>
      <c r="C99" s="180"/>
    </row>
    <row r="100" ht="15.75" customHeight="1">
      <c r="A100" s="203"/>
      <c r="C100" s="180"/>
    </row>
    <row r="101" ht="15.75" customHeight="1">
      <c r="A101" s="203"/>
      <c r="C101" s="180"/>
    </row>
    <row r="102" ht="15.75" customHeight="1">
      <c r="A102" s="203"/>
      <c r="C102" s="180"/>
    </row>
    <row r="103" ht="15.75" customHeight="1">
      <c r="A103" s="203"/>
      <c r="C103" s="180"/>
    </row>
    <row r="104" ht="15.75" customHeight="1">
      <c r="A104" s="203"/>
      <c r="C104" s="180"/>
    </row>
    <row r="105" ht="15.75" customHeight="1">
      <c r="A105" s="203"/>
      <c r="C105" s="180"/>
    </row>
    <row r="106" ht="15.75" customHeight="1">
      <c r="A106" s="203"/>
      <c r="C106" s="180"/>
    </row>
    <row r="107" ht="15.75" customHeight="1">
      <c r="A107" s="203"/>
      <c r="C107" s="180"/>
    </row>
    <row r="108" ht="15.75" customHeight="1">
      <c r="A108" s="203"/>
      <c r="C108" s="180"/>
    </row>
    <row r="109" ht="15.75" customHeight="1">
      <c r="A109" s="203"/>
      <c r="C109" s="180"/>
    </row>
    <row r="110" ht="15.75" customHeight="1">
      <c r="A110" s="203"/>
      <c r="C110" s="180"/>
    </row>
    <row r="111" ht="15.75" customHeight="1">
      <c r="A111" s="203"/>
      <c r="C111" s="180"/>
    </row>
    <row r="112" ht="15.75" customHeight="1">
      <c r="A112" s="203"/>
      <c r="C112" s="180"/>
    </row>
    <row r="113" ht="15.75" customHeight="1">
      <c r="A113" s="203"/>
      <c r="C113" s="180"/>
    </row>
    <row r="114" ht="15.75" customHeight="1">
      <c r="A114" s="203"/>
      <c r="C114" s="180"/>
    </row>
    <row r="115" ht="15.75" customHeight="1">
      <c r="A115" s="203"/>
      <c r="C115" s="180"/>
    </row>
    <row r="116" ht="15.75" customHeight="1">
      <c r="A116" s="203"/>
      <c r="C116" s="180"/>
    </row>
    <row r="117" ht="15.75" customHeight="1">
      <c r="A117" s="203"/>
      <c r="C117" s="180"/>
    </row>
    <row r="118" ht="15.75" customHeight="1">
      <c r="A118" s="203"/>
      <c r="C118" s="180"/>
    </row>
    <row r="119" ht="15.75" customHeight="1">
      <c r="A119" s="203"/>
      <c r="C119" s="180"/>
    </row>
    <row r="120" ht="15.75" customHeight="1">
      <c r="A120" s="203"/>
      <c r="C120" s="180"/>
    </row>
    <row r="121" ht="15.75" customHeight="1">
      <c r="A121" s="203"/>
      <c r="C121" s="180"/>
    </row>
    <row r="122" ht="15.75" customHeight="1">
      <c r="A122" s="203"/>
      <c r="C122" s="180"/>
    </row>
    <row r="123" ht="15.75" customHeight="1">
      <c r="A123" s="203"/>
      <c r="C123" s="180"/>
    </row>
    <row r="124" ht="15.75" customHeight="1">
      <c r="A124" s="203"/>
      <c r="C124" s="180"/>
    </row>
    <row r="125" ht="15.75" customHeight="1">
      <c r="A125" s="203"/>
      <c r="C125" s="180"/>
    </row>
    <row r="126" ht="15.75" customHeight="1">
      <c r="A126" s="203"/>
      <c r="C126" s="180"/>
    </row>
    <row r="127" ht="15.75" customHeight="1">
      <c r="A127" s="203"/>
      <c r="C127" s="180"/>
    </row>
    <row r="128" ht="15.75" customHeight="1">
      <c r="A128" s="203"/>
      <c r="C128" s="180"/>
    </row>
    <row r="129" ht="15.75" customHeight="1">
      <c r="A129" s="203"/>
      <c r="C129" s="180"/>
    </row>
    <row r="130" ht="15.75" customHeight="1">
      <c r="A130" s="203"/>
      <c r="C130" s="180"/>
    </row>
    <row r="131" ht="15.75" customHeight="1">
      <c r="A131" s="203"/>
      <c r="C131" s="180"/>
    </row>
    <row r="132" ht="15.75" customHeight="1">
      <c r="A132" s="203"/>
      <c r="C132" s="180"/>
    </row>
    <row r="133" ht="15.75" customHeight="1">
      <c r="A133" s="203"/>
      <c r="C133" s="180"/>
    </row>
    <row r="134" ht="15.75" customHeight="1">
      <c r="A134" s="203"/>
      <c r="C134" s="180"/>
    </row>
    <row r="135" ht="15.75" customHeight="1">
      <c r="A135" s="203"/>
      <c r="C135" s="180"/>
    </row>
    <row r="136" ht="15.75" customHeight="1">
      <c r="A136" s="203"/>
      <c r="C136" s="180"/>
    </row>
    <row r="137" ht="15.75" customHeight="1">
      <c r="A137" s="203"/>
      <c r="C137" s="180"/>
    </row>
    <row r="138" ht="15.75" customHeight="1">
      <c r="A138" s="203"/>
      <c r="C138" s="180"/>
    </row>
    <row r="139" ht="15.75" customHeight="1">
      <c r="A139" s="203"/>
      <c r="C139" s="180"/>
    </row>
    <row r="140" ht="15.75" customHeight="1">
      <c r="A140" s="203"/>
      <c r="C140" s="180"/>
    </row>
    <row r="141" ht="15.75" customHeight="1">
      <c r="A141" s="203"/>
      <c r="C141" s="180"/>
    </row>
    <row r="142" ht="15.75" customHeight="1">
      <c r="A142" s="203"/>
      <c r="C142" s="180"/>
    </row>
    <row r="143" ht="15.75" customHeight="1">
      <c r="A143" s="203"/>
      <c r="C143" s="180"/>
    </row>
    <row r="144" ht="15.75" customHeight="1">
      <c r="A144" s="203"/>
      <c r="C144" s="180"/>
    </row>
    <row r="145" ht="15.75" customHeight="1">
      <c r="A145" s="203"/>
      <c r="C145" s="180"/>
    </row>
    <row r="146" ht="15.75" customHeight="1">
      <c r="A146" s="203"/>
      <c r="C146" s="180"/>
    </row>
    <row r="147" ht="15.75" customHeight="1">
      <c r="A147" s="203"/>
      <c r="C147" s="180"/>
    </row>
    <row r="148" ht="15.75" customHeight="1">
      <c r="A148" s="203"/>
      <c r="C148" s="180"/>
    </row>
    <row r="149" ht="15.75" customHeight="1">
      <c r="A149" s="203"/>
      <c r="C149" s="180"/>
    </row>
    <row r="150" ht="15.75" customHeight="1">
      <c r="A150" s="203"/>
      <c r="C150" s="180"/>
    </row>
    <row r="151" ht="15.75" customHeight="1">
      <c r="A151" s="203"/>
      <c r="C151" s="180"/>
    </row>
    <row r="152" ht="15.75" customHeight="1">
      <c r="A152" s="203"/>
      <c r="C152" s="180"/>
    </row>
    <row r="153" ht="15.75" customHeight="1">
      <c r="A153" s="203"/>
      <c r="C153" s="180"/>
    </row>
    <row r="154" ht="15.75" customHeight="1">
      <c r="A154" s="203"/>
      <c r="C154" s="180"/>
    </row>
    <row r="155" ht="15.75" customHeight="1">
      <c r="A155" s="203"/>
      <c r="C155" s="180"/>
    </row>
    <row r="156" ht="15.75" customHeight="1">
      <c r="A156" s="203"/>
      <c r="C156" s="180"/>
    </row>
    <row r="157" ht="15.75" customHeight="1">
      <c r="A157" s="203"/>
      <c r="C157" s="180"/>
    </row>
    <row r="158" ht="15.75" customHeight="1">
      <c r="A158" s="203"/>
      <c r="C158" s="180"/>
    </row>
    <row r="159" ht="15.75" customHeight="1">
      <c r="A159" s="203"/>
      <c r="C159" s="180"/>
    </row>
    <row r="160" ht="15.75" customHeight="1">
      <c r="A160" s="203"/>
      <c r="C160" s="180"/>
    </row>
    <row r="161" ht="15.75" customHeight="1">
      <c r="A161" s="203"/>
      <c r="C161" s="180"/>
    </row>
    <row r="162" ht="15.75" customHeight="1">
      <c r="A162" s="203"/>
      <c r="C162" s="180"/>
    </row>
    <row r="163" ht="15.75" customHeight="1">
      <c r="A163" s="203"/>
      <c r="C163" s="180"/>
    </row>
    <row r="164" ht="15.75" customHeight="1">
      <c r="A164" s="203"/>
      <c r="C164" s="180"/>
    </row>
    <row r="165" ht="15.75" customHeight="1">
      <c r="A165" s="203"/>
      <c r="C165" s="180"/>
    </row>
    <row r="166" ht="15.75" customHeight="1">
      <c r="A166" s="203"/>
      <c r="C166" s="180"/>
    </row>
    <row r="167" ht="15.75" customHeight="1">
      <c r="A167" s="203"/>
      <c r="C167" s="180"/>
    </row>
    <row r="168" ht="15.75" customHeight="1">
      <c r="A168" s="203"/>
      <c r="C168" s="180"/>
    </row>
    <row r="169" ht="15.75" customHeight="1">
      <c r="A169" s="203"/>
      <c r="C169" s="180"/>
    </row>
    <row r="170" ht="15.75" customHeight="1">
      <c r="A170" s="203"/>
      <c r="C170" s="180"/>
    </row>
    <row r="171" ht="15.75" customHeight="1">
      <c r="A171" s="203"/>
      <c r="C171" s="180"/>
    </row>
    <row r="172" ht="15.75" customHeight="1">
      <c r="A172" s="203"/>
      <c r="C172" s="180"/>
    </row>
    <row r="173" ht="15.75" customHeight="1">
      <c r="A173" s="203"/>
      <c r="C173" s="180"/>
    </row>
    <row r="174" ht="15.75" customHeight="1">
      <c r="A174" s="203"/>
      <c r="C174" s="180"/>
    </row>
    <row r="175" ht="15.75" customHeight="1">
      <c r="A175" s="203"/>
      <c r="C175" s="180"/>
    </row>
    <row r="176" ht="15.75" customHeight="1">
      <c r="A176" s="203"/>
      <c r="C176" s="180"/>
    </row>
    <row r="177" ht="15.75" customHeight="1">
      <c r="A177" s="203"/>
      <c r="C177" s="180"/>
    </row>
    <row r="178" ht="15.75" customHeight="1">
      <c r="A178" s="203"/>
      <c r="C178" s="180"/>
    </row>
    <row r="179" ht="15.75" customHeight="1">
      <c r="A179" s="203"/>
      <c r="C179" s="180"/>
    </row>
    <row r="180" ht="15.75" customHeight="1">
      <c r="A180" s="203"/>
      <c r="C180" s="180"/>
    </row>
    <row r="181" ht="15.75" customHeight="1">
      <c r="A181" s="203"/>
      <c r="C181" s="180"/>
    </row>
    <row r="182" ht="15.75" customHeight="1">
      <c r="A182" s="203"/>
      <c r="C182" s="180"/>
    </row>
    <row r="183" ht="15.75" customHeight="1">
      <c r="A183" s="203"/>
      <c r="C183" s="180"/>
    </row>
    <row r="184" ht="15.75" customHeight="1">
      <c r="A184" s="203"/>
      <c r="C184" s="180"/>
    </row>
    <row r="185" ht="15.75" customHeight="1">
      <c r="A185" s="203"/>
      <c r="C185" s="180"/>
    </row>
    <row r="186" ht="15.75" customHeight="1">
      <c r="A186" s="203"/>
      <c r="C186" s="180"/>
    </row>
    <row r="187" ht="15.75" customHeight="1">
      <c r="A187" s="203"/>
      <c r="C187" s="180"/>
    </row>
    <row r="188" ht="15.75" customHeight="1">
      <c r="A188" s="203"/>
      <c r="C188" s="180"/>
    </row>
    <row r="189" ht="15.75" customHeight="1">
      <c r="A189" s="203"/>
      <c r="C189" s="180"/>
    </row>
    <row r="190" ht="15.75" customHeight="1">
      <c r="A190" s="203"/>
      <c r="C190" s="180"/>
    </row>
    <row r="191" ht="15.75" customHeight="1">
      <c r="A191" s="203"/>
      <c r="C191" s="180"/>
    </row>
    <row r="192" ht="15.75" customHeight="1">
      <c r="A192" s="203"/>
      <c r="C192" s="180"/>
    </row>
    <row r="193" ht="15.75" customHeight="1">
      <c r="A193" s="203"/>
      <c r="C193" s="180"/>
    </row>
    <row r="194" ht="15.75" customHeight="1">
      <c r="A194" s="203"/>
      <c r="C194" s="180"/>
    </row>
    <row r="195" ht="15.75" customHeight="1">
      <c r="A195" s="203"/>
      <c r="C195" s="180"/>
    </row>
    <row r="196" ht="15.75" customHeight="1">
      <c r="A196" s="203"/>
      <c r="C196" s="180"/>
    </row>
    <row r="197" ht="15.75" customHeight="1">
      <c r="A197" s="203"/>
      <c r="C197" s="180"/>
    </row>
    <row r="198" ht="15.75" customHeight="1">
      <c r="A198" s="203"/>
      <c r="C198" s="180"/>
    </row>
    <row r="199" ht="15.75" customHeight="1">
      <c r="A199" s="203"/>
      <c r="C199" s="180"/>
    </row>
    <row r="200" ht="15.75" customHeight="1">
      <c r="A200" s="203"/>
      <c r="C200" s="180"/>
    </row>
    <row r="201" ht="15.75" customHeight="1">
      <c r="A201" s="203"/>
      <c r="C201" s="180"/>
    </row>
    <row r="202" ht="15.75" customHeight="1">
      <c r="A202" s="203"/>
      <c r="C202" s="180"/>
    </row>
    <row r="203" ht="15.75" customHeight="1">
      <c r="A203" s="203"/>
      <c r="C203" s="180"/>
    </row>
    <row r="204" ht="15.75" customHeight="1">
      <c r="A204" s="203"/>
      <c r="C204" s="180"/>
    </row>
    <row r="205" ht="15.75" customHeight="1">
      <c r="A205" s="203"/>
      <c r="C205" s="180"/>
    </row>
    <row r="206" ht="15.75" customHeight="1">
      <c r="A206" s="203"/>
      <c r="C206" s="180"/>
    </row>
    <row r="207" ht="15.75" customHeight="1">
      <c r="A207" s="203"/>
      <c r="C207" s="180"/>
    </row>
    <row r="208" ht="15.75" customHeight="1">
      <c r="A208" s="203"/>
      <c r="C208" s="180"/>
    </row>
    <row r="209" ht="15.75" customHeight="1">
      <c r="A209" s="203"/>
      <c r="C209" s="180"/>
    </row>
    <row r="210" ht="15.75" customHeight="1">
      <c r="A210" s="203"/>
      <c r="C210" s="180"/>
    </row>
    <row r="211" ht="15.75" customHeight="1">
      <c r="A211" s="203"/>
      <c r="C211" s="180"/>
    </row>
    <row r="212" ht="15.75" customHeight="1">
      <c r="A212" s="203"/>
      <c r="C212" s="180"/>
    </row>
    <row r="213" ht="15.75" customHeight="1">
      <c r="A213" s="203"/>
      <c r="C213" s="180"/>
    </row>
    <row r="214" ht="15.75" customHeight="1">
      <c r="A214" s="203"/>
      <c r="C214" s="180"/>
    </row>
    <row r="215" ht="15.75" customHeight="1">
      <c r="A215" s="203"/>
      <c r="C215" s="180"/>
    </row>
    <row r="216" ht="15.75" customHeight="1">
      <c r="A216" s="203"/>
      <c r="C216" s="180"/>
    </row>
    <row r="217" ht="15.75" customHeight="1">
      <c r="A217" s="203"/>
      <c r="C217" s="180"/>
    </row>
    <row r="218" ht="15.75" customHeight="1">
      <c r="A218" s="203"/>
      <c r="C218" s="180"/>
    </row>
    <row r="219" ht="15.75" customHeight="1">
      <c r="A219" s="203"/>
      <c r="C219" s="180"/>
    </row>
    <row r="220" ht="15.75" customHeight="1">
      <c r="A220" s="203"/>
      <c r="C220" s="180"/>
    </row>
    <row r="221" ht="15.75" customHeight="1">
      <c r="A221" s="203"/>
      <c r="C221" s="180"/>
    </row>
    <row r="222" ht="15.75" customHeight="1">
      <c r="A222" s="203"/>
      <c r="C222" s="180"/>
    </row>
    <row r="223" ht="15.75" customHeight="1">
      <c r="A223" s="203"/>
      <c r="C223" s="180"/>
    </row>
    <row r="224" ht="15.75" customHeight="1">
      <c r="A224" s="203"/>
      <c r="C224" s="180"/>
    </row>
    <row r="225" ht="15.75" customHeight="1">
      <c r="A225" s="203"/>
      <c r="C225" s="180"/>
    </row>
    <row r="226" ht="15.75" customHeight="1">
      <c r="A226" s="203"/>
      <c r="C226" s="180"/>
    </row>
    <row r="227" ht="15.75" customHeight="1">
      <c r="A227" s="203"/>
      <c r="C227" s="180"/>
    </row>
    <row r="228" ht="15.75" customHeight="1">
      <c r="A228" s="203"/>
      <c r="C228" s="180"/>
    </row>
    <row r="229" ht="15.75" customHeight="1">
      <c r="A229" s="203"/>
      <c r="C229" s="180"/>
    </row>
    <row r="230" ht="15.75" customHeight="1">
      <c r="A230" s="203"/>
      <c r="C230" s="180"/>
    </row>
    <row r="231" ht="15.75" customHeight="1">
      <c r="A231" s="203"/>
      <c r="C231" s="180"/>
    </row>
    <row r="232" ht="15.75" customHeight="1">
      <c r="A232" s="203"/>
      <c r="C232" s="180"/>
    </row>
    <row r="233" ht="15.75" customHeight="1">
      <c r="A233" s="203"/>
      <c r="C233" s="180"/>
    </row>
    <row r="234" ht="15.75" customHeight="1">
      <c r="A234" s="203"/>
      <c r="C234" s="180"/>
    </row>
    <row r="235" ht="15.75" customHeight="1">
      <c r="A235" s="203"/>
      <c r="C235" s="180"/>
    </row>
    <row r="236" ht="15.75" customHeight="1">
      <c r="A236" s="203"/>
      <c r="C236" s="180"/>
    </row>
    <row r="237" ht="15.75" customHeight="1">
      <c r="A237" s="203"/>
      <c r="C237" s="180"/>
    </row>
    <row r="238" ht="15.75" customHeight="1">
      <c r="A238" s="203"/>
      <c r="C238" s="180"/>
    </row>
    <row r="239" ht="15.75" customHeight="1">
      <c r="A239" s="203"/>
      <c r="C239" s="180"/>
    </row>
    <row r="240" ht="15.75" customHeight="1">
      <c r="A240" s="203"/>
      <c r="C240" s="180"/>
    </row>
    <row r="241" ht="15.75" customHeight="1">
      <c r="A241" s="203"/>
      <c r="C241" s="180"/>
    </row>
    <row r="242" ht="15.75" customHeight="1">
      <c r="A242" s="203"/>
      <c r="C242" s="180"/>
    </row>
    <row r="243" ht="15.75" customHeight="1">
      <c r="A243" s="203"/>
      <c r="C243" s="180"/>
    </row>
    <row r="244" ht="15.75" customHeight="1">
      <c r="A244" s="203"/>
      <c r="C244" s="180"/>
    </row>
    <row r="245" ht="15.75" customHeight="1">
      <c r="A245" s="203"/>
      <c r="C245" s="180"/>
    </row>
    <row r="246" ht="15.75" customHeight="1">
      <c r="A246" s="203"/>
      <c r="C246" s="180"/>
    </row>
    <row r="247" ht="15.75" customHeight="1">
      <c r="A247" s="203"/>
      <c r="C247" s="180"/>
    </row>
    <row r="248" ht="15.75" customHeight="1">
      <c r="A248" s="203"/>
      <c r="C248" s="180"/>
    </row>
    <row r="249" ht="15.75" customHeight="1">
      <c r="A249" s="203"/>
      <c r="C249" s="180"/>
    </row>
    <row r="250" ht="15.75" customHeight="1">
      <c r="A250" s="203"/>
      <c r="C250" s="180"/>
    </row>
    <row r="251" ht="15.75" customHeight="1">
      <c r="A251" s="203"/>
      <c r="C251" s="180"/>
    </row>
    <row r="252" ht="15.75" customHeight="1">
      <c r="A252" s="203"/>
      <c r="C252" s="180"/>
    </row>
    <row r="253" ht="15.75" customHeight="1">
      <c r="A253" s="203"/>
      <c r="C253" s="180"/>
    </row>
    <row r="254" ht="15.75" customHeight="1">
      <c r="A254" s="203"/>
      <c r="C254" s="180"/>
    </row>
    <row r="255" ht="15.75" customHeight="1">
      <c r="A255" s="203"/>
      <c r="C255" s="180"/>
    </row>
    <row r="256" ht="15.75" customHeight="1">
      <c r="A256" s="203"/>
      <c r="C256" s="180"/>
    </row>
    <row r="257" ht="15.75" customHeight="1">
      <c r="A257" s="203"/>
      <c r="C257" s="180"/>
    </row>
    <row r="258" ht="15.75" customHeight="1">
      <c r="A258" s="203"/>
      <c r="C258" s="180"/>
    </row>
    <row r="259" ht="15.75" customHeight="1">
      <c r="A259" s="203"/>
      <c r="C259" s="180"/>
    </row>
    <row r="260" ht="15.75" customHeight="1">
      <c r="A260" s="203"/>
      <c r="C260" s="180"/>
    </row>
    <row r="261" ht="15.75" customHeight="1">
      <c r="A261" s="203"/>
      <c r="C261" s="180"/>
    </row>
    <row r="262" ht="15.75" customHeight="1">
      <c r="A262" s="203"/>
      <c r="C262" s="180"/>
    </row>
    <row r="263" ht="15.75" customHeight="1">
      <c r="A263" s="203"/>
      <c r="C263" s="180"/>
    </row>
    <row r="264" ht="15.75" customHeight="1">
      <c r="A264" s="203"/>
      <c r="C264" s="180"/>
    </row>
    <row r="265" ht="15.75" customHeight="1">
      <c r="A265" s="203"/>
      <c r="C265" s="180"/>
    </row>
    <row r="266" ht="15.75" customHeight="1">
      <c r="A266" s="203"/>
      <c r="C266" s="180"/>
    </row>
    <row r="267" ht="15.75" customHeight="1">
      <c r="A267" s="203"/>
      <c r="C267" s="180"/>
    </row>
    <row r="268" ht="15.75" customHeight="1">
      <c r="A268" s="203"/>
      <c r="C268" s="180"/>
    </row>
    <row r="269" ht="15.75" customHeight="1">
      <c r="A269" s="203"/>
      <c r="C269" s="180"/>
    </row>
    <row r="270" ht="15.75" customHeight="1">
      <c r="A270" s="203"/>
      <c r="C270" s="180"/>
    </row>
    <row r="271" ht="15.75" customHeight="1">
      <c r="A271" s="203"/>
      <c r="C271" s="180"/>
    </row>
    <row r="272" ht="15.75" customHeight="1">
      <c r="A272" s="203"/>
      <c r="C272" s="180"/>
    </row>
    <row r="273" ht="15.75" customHeight="1">
      <c r="A273" s="203"/>
      <c r="C273" s="180"/>
    </row>
    <row r="274" ht="15.75" customHeight="1">
      <c r="A274" s="203"/>
      <c r="C274" s="180"/>
    </row>
    <row r="275" ht="15.75" customHeight="1">
      <c r="A275" s="203"/>
      <c r="C275" s="180"/>
    </row>
    <row r="276" ht="15.75" customHeight="1">
      <c r="A276" s="203"/>
      <c r="C276" s="180"/>
    </row>
    <row r="277" ht="15.75" customHeight="1">
      <c r="A277" s="203"/>
      <c r="C277" s="180"/>
    </row>
    <row r="278" ht="15.75" customHeight="1">
      <c r="A278" s="203"/>
      <c r="C278" s="180"/>
    </row>
    <row r="279" ht="15.75" customHeight="1">
      <c r="A279" s="203"/>
      <c r="C279" s="180"/>
    </row>
    <row r="280" ht="15.75" customHeight="1">
      <c r="A280" s="203"/>
      <c r="C280" s="180"/>
    </row>
    <row r="281" ht="15.75" customHeight="1">
      <c r="A281" s="203"/>
      <c r="C281" s="180"/>
    </row>
    <row r="282" ht="15.75" customHeight="1">
      <c r="A282" s="203"/>
      <c r="C282" s="180"/>
    </row>
    <row r="283" ht="15.75" customHeight="1">
      <c r="A283" s="203"/>
      <c r="C283" s="180"/>
    </row>
    <row r="284" ht="15.75" customHeight="1">
      <c r="A284" s="203"/>
      <c r="C284" s="180"/>
    </row>
    <row r="285" ht="15.75" customHeight="1">
      <c r="A285" s="203"/>
      <c r="C285" s="180"/>
    </row>
    <row r="286" ht="15.75" customHeight="1">
      <c r="A286" s="203"/>
      <c r="C286" s="180"/>
    </row>
    <row r="287" ht="15.75" customHeight="1">
      <c r="A287" s="203"/>
      <c r="C287" s="180"/>
    </row>
    <row r="288" ht="15.75" customHeight="1">
      <c r="A288" s="203"/>
      <c r="C288" s="180"/>
    </row>
    <row r="289" ht="15.75" customHeight="1">
      <c r="A289" s="203"/>
      <c r="C289" s="180"/>
    </row>
    <row r="290" ht="15.75" customHeight="1">
      <c r="A290" s="203"/>
      <c r="C290" s="180"/>
    </row>
    <row r="291" ht="15.75" customHeight="1">
      <c r="A291" s="203"/>
      <c r="C291" s="180"/>
    </row>
    <row r="292" ht="15.75" customHeight="1">
      <c r="A292" s="203"/>
      <c r="C292" s="180"/>
    </row>
    <row r="293" ht="15.75" customHeight="1">
      <c r="A293" s="203"/>
      <c r="C293" s="180"/>
    </row>
    <row r="294" ht="15.75" customHeight="1">
      <c r="A294" s="203"/>
      <c r="C294" s="180"/>
    </row>
    <row r="295" ht="15.75" customHeight="1">
      <c r="A295" s="203"/>
      <c r="C295" s="180"/>
    </row>
    <row r="296" ht="15.75" customHeight="1">
      <c r="A296" s="203"/>
      <c r="C296" s="180"/>
    </row>
    <row r="297" ht="15.75" customHeight="1">
      <c r="A297" s="203"/>
      <c r="C297" s="180"/>
    </row>
    <row r="298" ht="15.75" customHeight="1">
      <c r="A298" s="203"/>
      <c r="C298" s="180"/>
    </row>
    <row r="299" ht="15.75" customHeight="1">
      <c r="A299" s="203"/>
      <c r="C299" s="180"/>
    </row>
    <row r="300" ht="15.75" customHeight="1">
      <c r="A300" s="203"/>
      <c r="C300" s="180"/>
    </row>
    <row r="301" ht="15.75" customHeight="1">
      <c r="A301" s="203"/>
      <c r="C301" s="180"/>
    </row>
    <row r="302" ht="15.75" customHeight="1">
      <c r="A302" s="203"/>
      <c r="C302" s="180"/>
    </row>
    <row r="303" ht="15.75" customHeight="1">
      <c r="A303" s="203"/>
      <c r="C303" s="180"/>
    </row>
    <row r="304" ht="15.75" customHeight="1">
      <c r="A304" s="203"/>
      <c r="C304" s="180"/>
    </row>
    <row r="305" ht="15.75" customHeight="1">
      <c r="A305" s="203"/>
      <c r="C305" s="180"/>
    </row>
    <row r="306" ht="15.75" customHeight="1">
      <c r="A306" s="203"/>
      <c r="C306" s="180"/>
    </row>
    <row r="307" ht="15.75" customHeight="1">
      <c r="A307" s="203"/>
      <c r="C307" s="180"/>
    </row>
    <row r="308" ht="15.75" customHeight="1">
      <c r="A308" s="203"/>
      <c r="C308" s="180"/>
    </row>
    <row r="309" ht="15.75" customHeight="1">
      <c r="A309" s="203"/>
      <c r="C309" s="180"/>
    </row>
    <row r="310" ht="15.75" customHeight="1">
      <c r="A310" s="203"/>
      <c r="C310" s="180"/>
    </row>
    <row r="311" ht="15.75" customHeight="1">
      <c r="A311" s="203"/>
      <c r="C311" s="180"/>
    </row>
    <row r="312" ht="15.75" customHeight="1">
      <c r="A312" s="203"/>
      <c r="C312" s="180"/>
    </row>
    <row r="313" ht="15.75" customHeight="1">
      <c r="A313" s="203"/>
      <c r="C313" s="180"/>
    </row>
    <row r="314" ht="15.75" customHeight="1">
      <c r="A314" s="203"/>
      <c r="C314" s="180"/>
    </row>
    <row r="315" ht="15.75" customHeight="1">
      <c r="A315" s="203"/>
      <c r="C315" s="180"/>
    </row>
    <row r="316" ht="15.75" customHeight="1">
      <c r="A316" s="203"/>
      <c r="C316" s="180"/>
    </row>
    <row r="317" ht="15.75" customHeight="1">
      <c r="A317" s="203"/>
      <c r="C317" s="180"/>
    </row>
    <row r="318" ht="15.75" customHeight="1">
      <c r="A318" s="203"/>
      <c r="C318" s="180"/>
    </row>
    <row r="319" ht="15.75" customHeight="1">
      <c r="A319" s="203"/>
      <c r="C319" s="180"/>
    </row>
    <row r="320" ht="15.75" customHeight="1">
      <c r="A320" s="203"/>
      <c r="C320" s="180"/>
    </row>
    <row r="321" ht="15.75" customHeight="1">
      <c r="A321" s="203"/>
      <c r="C321" s="180"/>
    </row>
    <row r="322" ht="15.75" customHeight="1">
      <c r="A322" s="203"/>
      <c r="C322" s="180"/>
    </row>
    <row r="323" ht="15.75" customHeight="1">
      <c r="A323" s="203"/>
      <c r="C323" s="180"/>
    </row>
    <row r="324" ht="15.75" customHeight="1">
      <c r="A324" s="203"/>
      <c r="C324" s="180"/>
    </row>
    <row r="325" ht="15.75" customHeight="1">
      <c r="A325" s="203"/>
      <c r="C325" s="180"/>
    </row>
    <row r="326" ht="15.75" customHeight="1">
      <c r="A326" s="203"/>
      <c r="C326" s="180"/>
    </row>
    <row r="327" ht="15.75" customHeight="1">
      <c r="A327" s="203"/>
      <c r="C327" s="180"/>
    </row>
    <row r="328" ht="15.75" customHeight="1">
      <c r="A328" s="203"/>
      <c r="C328" s="180"/>
    </row>
    <row r="329" ht="15.75" customHeight="1">
      <c r="A329" s="203"/>
      <c r="C329" s="180"/>
    </row>
    <row r="330" ht="15.75" customHeight="1">
      <c r="A330" s="203"/>
      <c r="C330" s="180"/>
    </row>
    <row r="331" ht="15.75" customHeight="1">
      <c r="A331" s="203"/>
      <c r="C331" s="180"/>
    </row>
    <row r="332" ht="15.75" customHeight="1">
      <c r="A332" s="203"/>
      <c r="C332" s="180"/>
    </row>
    <row r="333" ht="15.75" customHeight="1">
      <c r="A333" s="203"/>
      <c r="C333" s="180"/>
    </row>
    <row r="334" ht="15.75" customHeight="1">
      <c r="A334" s="203"/>
      <c r="C334" s="180"/>
    </row>
    <row r="335" ht="15.75" customHeight="1">
      <c r="A335" s="203"/>
      <c r="C335" s="180"/>
    </row>
    <row r="336" ht="15.75" customHeight="1">
      <c r="A336" s="203"/>
      <c r="C336" s="180"/>
    </row>
    <row r="337" ht="15.75" customHeight="1">
      <c r="A337" s="203"/>
      <c r="C337" s="180"/>
    </row>
    <row r="338" ht="15.75" customHeight="1">
      <c r="A338" s="203"/>
      <c r="C338" s="180"/>
    </row>
    <row r="339" ht="15.75" customHeight="1">
      <c r="A339" s="203"/>
      <c r="C339" s="180"/>
    </row>
    <row r="340" ht="15.75" customHeight="1">
      <c r="A340" s="203"/>
      <c r="C340" s="180"/>
    </row>
    <row r="341" ht="15.75" customHeight="1">
      <c r="A341" s="203"/>
      <c r="C341" s="180"/>
    </row>
    <row r="342" ht="15.75" customHeight="1">
      <c r="A342" s="203"/>
      <c r="C342" s="180"/>
    </row>
    <row r="343" ht="15.75" customHeight="1">
      <c r="A343" s="203"/>
      <c r="C343" s="180"/>
    </row>
    <row r="344" ht="15.75" customHeight="1">
      <c r="A344" s="203"/>
      <c r="C344" s="180"/>
    </row>
    <row r="345" ht="15.75" customHeight="1">
      <c r="A345" s="203"/>
      <c r="C345" s="180"/>
    </row>
    <row r="346" ht="15.75" customHeight="1">
      <c r="A346" s="203"/>
      <c r="C346" s="180"/>
    </row>
    <row r="347" ht="15.75" customHeight="1">
      <c r="A347" s="203"/>
      <c r="C347" s="180"/>
    </row>
    <row r="348" ht="15.75" customHeight="1">
      <c r="A348" s="203"/>
      <c r="C348" s="180"/>
    </row>
    <row r="349" ht="15.75" customHeight="1">
      <c r="A349" s="203"/>
      <c r="C349" s="180"/>
    </row>
    <row r="350" ht="15.75" customHeight="1">
      <c r="A350" s="203"/>
      <c r="C350" s="180"/>
    </row>
    <row r="351" ht="15.75" customHeight="1">
      <c r="A351" s="203"/>
      <c r="C351" s="180"/>
    </row>
    <row r="352" ht="15.75" customHeight="1">
      <c r="A352" s="203"/>
      <c r="C352" s="180"/>
    </row>
    <row r="353" ht="15.75" customHeight="1">
      <c r="A353" s="203"/>
      <c r="C353" s="180"/>
    </row>
    <row r="354" ht="15.75" customHeight="1">
      <c r="A354" s="203"/>
      <c r="C354" s="180"/>
    </row>
    <row r="355" ht="15.75" customHeight="1">
      <c r="A355" s="203"/>
      <c r="C355" s="180"/>
    </row>
    <row r="356" ht="15.75" customHeight="1">
      <c r="A356" s="203"/>
      <c r="C356" s="180"/>
    </row>
    <row r="357" ht="15.75" customHeight="1">
      <c r="A357" s="203"/>
      <c r="C357" s="180"/>
    </row>
    <row r="358" ht="15.75" customHeight="1">
      <c r="A358" s="203"/>
      <c r="C358" s="180"/>
    </row>
    <row r="359" ht="15.75" customHeight="1">
      <c r="A359" s="203"/>
      <c r="C359" s="180"/>
    </row>
    <row r="360" ht="15.75" customHeight="1">
      <c r="A360" s="203"/>
      <c r="C360" s="180"/>
    </row>
    <row r="361" ht="15.75" customHeight="1">
      <c r="A361" s="203"/>
      <c r="C361" s="180"/>
    </row>
    <row r="362" ht="15.75" customHeight="1">
      <c r="A362" s="203"/>
      <c r="C362" s="180"/>
    </row>
    <row r="363" ht="15.75" customHeight="1">
      <c r="A363" s="203"/>
      <c r="C363" s="180"/>
    </row>
    <row r="364" ht="15.75" customHeight="1">
      <c r="A364" s="203"/>
      <c r="C364" s="180"/>
    </row>
    <row r="365" ht="15.75" customHeight="1">
      <c r="A365" s="203"/>
      <c r="C365" s="180"/>
    </row>
    <row r="366" ht="15.75" customHeight="1">
      <c r="A366" s="203"/>
      <c r="C366" s="180"/>
    </row>
    <row r="367" ht="15.75" customHeight="1">
      <c r="A367" s="203"/>
      <c r="C367" s="180"/>
    </row>
    <row r="368" ht="15.75" customHeight="1">
      <c r="A368" s="203"/>
      <c r="C368" s="180"/>
    </row>
    <row r="369" ht="15.75" customHeight="1">
      <c r="A369" s="203"/>
      <c r="C369" s="180"/>
    </row>
    <row r="370" ht="15.75" customHeight="1">
      <c r="A370" s="203"/>
      <c r="C370" s="180"/>
    </row>
    <row r="371" ht="15.75" customHeight="1">
      <c r="A371" s="203"/>
      <c r="C371" s="180"/>
    </row>
    <row r="372" ht="15.75" customHeight="1">
      <c r="A372" s="203"/>
      <c r="C372" s="180"/>
    </row>
    <row r="373" ht="15.75" customHeight="1">
      <c r="A373" s="203"/>
      <c r="C373" s="180"/>
    </row>
    <row r="374" ht="15.75" customHeight="1">
      <c r="A374" s="203"/>
      <c r="C374" s="180"/>
    </row>
    <row r="375" ht="15.75" customHeight="1">
      <c r="A375" s="203"/>
      <c r="C375" s="180"/>
    </row>
    <row r="376" ht="15.75" customHeight="1">
      <c r="A376" s="203"/>
      <c r="C376" s="180"/>
    </row>
    <row r="377" ht="15.75" customHeight="1">
      <c r="A377" s="203"/>
      <c r="C377" s="180"/>
    </row>
    <row r="378" ht="15.75" customHeight="1">
      <c r="A378" s="203"/>
      <c r="C378" s="180"/>
    </row>
    <row r="379" ht="15.75" customHeight="1">
      <c r="A379" s="203"/>
      <c r="C379" s="180"/>
    </row>
    <row r="380" ht="15.75" customHeight="1">
      <c r="A380" s="203"/>
      <c r="C380" s="180"/>
    </row>
    <row r="381" ht="15.75" customHeight="1">
      <c r="A381" s="203"/>
      <c r="C381" s="180"/>
    </row>
    <row r="382" ht="15.75" customHeight="1">
      <c r="A382" s="203"/>
      <c r="C382" s="180"/>
    </row>
    <row r="383" ht="15.75" customHeight="1">
      <c r="A383" s="203"/>
      <c r="C383" s="180"/>
    </row>
    <row r="384" ht="15.75" customHeight="1">
      <c r="A384" s="203"/>
      <c r="C384" s="180"/>
    </row>
    <row r="385" ht="15.75" customHeight="1">
      <c r="A385" s="203"/>
      <c r="C385" s="180"/>
    </row>
    <row r="386" ht="15.75" customHeight="1">
      <c r="A386" s="203"/>
      <c r="C386" s="180"/>
    </row>
    <row r="387" ht="15.75" customHeight="1">
      <c r="A387" s="203"/>
      <c r="C387" s="180"/>
    </row>
    <row r="388" ht="15.75" customHeight="1">
      <c r="A388" s="203"/>
      <c r="C388" s="180"/>
    </row>
    <row r="389" ht="15.75" customHeight="1">
      <c r="A389" s="203"/>
      <c r="C389" s="180"/>
    </row>
    <row r="390" ht="15.75" customHeight="1">
      <c r="A390" s="203"/>
      <c r="C390" s="180"/>
    </row>
    <row r="391" ht="15.75" customHeight="1">
      <c r="A391" s="203"/>
      <c r="C391" s="180"/>
    </row>
    <row r="392" ht="15.75" customHeight="1">
      <c r="A392" s="203"/>
      <c r="C392" s="180"/>
    </row>
    <row r="393" ht="15.75" customHeight="1">
      <c r="A393" s="203"/>
      <c r="C393" s="180"/>
    </row>
    <row r="394" ht="15.75" customHeight="1">
      <c r="A394" s="203"/>
      <c r="C394" s="180"/>
    </row>
    <row r="395" ht="15.75" customHeight="1">
      <c r="A395" s="203"/>
      <c r="C395" s="180"/>
    </row>
    <row r="396" ht="15.75" customHeight="1">
      <c r="A396" s="203"/>
      <c r="C396" s="180"/>
    </row>
    <row r="397" ht="15.75" customHeight="1">
      <c r="A397" s="203"/>
      <c r="C397" s="180"/>
    </row>
    <row r="398" ht="15.75" customHeight="1">
      <c r="A398" s="203"/>
      <c r="C398" s="180"/>
    </row>
    <row r="399" ht="15.75" customHeight="1">
      <c r="A399" s="203"/>
      <c r="C399" s="180"/>
    </row>
    <row r="400" ht="15.75" customHeight="1">
      <c r="A400" s="203"/>
      <c r="C400" s="180"/>
    </row>
    <row r="401" ht="15.75" customHeight="1">
      <c r="A401" s="203"/>
      <c r="C401" s="180"/>
    </row>
    <row r="402" ht="15.75" customHeight="1">
      <c r="A402" s="203"/>
      <c r="C402" s="180"/>
    </row>
    <row r="403" ht="15.75" customHeight="1">
      <c r="A403" s="203"/>
      <c r="C403" s="180"/>
    </row>
    <row r="404" ht="15.75" customHeight="1">
      <c r="A404" s="203"/>
      <c r="C404" s="180"/>
    </row>
    <row r="405" ht="15.75" customHeight="1">
      <c r="A405" s="203"/>
      <c r="C405" s="180"/>
    </row>
    <row r="406" ht="15.75" customHeight="1">
      <c r="A406" s="203"/>
      <c r="C406" s="180"/>
    </row>
    <row r="407" ht="15.75" customHeight="1">
      <c r="A407" s="203"/>
      <c r="C407" s="180"/>
    </row>
    <row r="408" ht="15.75" customHeight="1">
      <c r="A408" s="203"/>
      <c r="C408" s="180"/>
    </row>
    <row r="409" ht="15.75" customHeight="1">
      <c r="A409" s="203"/>
      <c r="C409" s="180"/>
    </row>
    <row r="410" ht="15.75" customHeight="1">
      <c r="A410" s="203"/>
      <c r="C410" s="180"/>
    </row>
    <row r="411" ht="15.75" customHeight="1">
      <c r="A411" s="203"/>
      <c r="C411" s="180"/>
    </row>
    <row r="412" ht="15.75" customHeight="1">
      <c r="A412" s="203"/>
      <c r="C412" s="180"/>
    </row>
    <row r="413" ht="15.75" customHeight="1">
      <c r="A413" s="203"/>
      <c r="C413" s="180"/>
    </row>
    <row r="414" ht="15.75" customHeight="1">
      <c r="A414" s="203"/>
      <c r="C414" s="180"/>
    </row>
    <row r="415" ht="15.75" customHeight="1">
      <c r="A415" s="203"/>
      <c r="C415" s="180"/>
    </row>
    <row r="416" ht="15.75" customHeight="1">
      <c r="A416" s="203"/>
      <c r="C416" s="180"/>
    </row>
    <row r="417" ht="15.75" customHeight="1">
      <c r="A417" s="203"/>
      <c r="C417" s="180"/>
    </row>
    <row r="418" ht="15.75" customHeight="1">
      <c r="A418" s="203"/>
      <c r="C418" s="180"/>
    </row>
    <row r="419" ht="15.75" customHeight="1">
      <c r="A419" s="203"/>
      <c r="C419" s="180"/>
    </row>
    <row r="420" ht="15.75" customHeight="1">
      <c r="A420" s="203"/>
      <c r="C420" s="180"/>
    </row>
    <row r="421" ht="15.75" customHeight="1">
      <c r="A421" s="203"/>
      <c r="C421" s="180"/>
    </row>
    <row r="422" ht="15.75" customHeight="1">
      <c r="A422" s="203"/>
      <c r="C422" s="180"/>
    </row>
    <row r="423" ht="15.75" customHeight="1">
      <c r="A423" s="203"/>
      <c r="C423" s="180"/>
    </row>
    <row r="424" ht="15.75" customHeight="1">
      <c r="A424" s="203"/>
      <c r="C424" s="180"/>
    </row>
    <row r="425" ht="15.75" customHeight="1">
      <c r="A425" s="203"/>
      <c r="C425" s="180"/>
    </row>
    <row r="426" ht="15.75" customHeight="1">
      <c r="A426" s="203"/>
      <c r="C426" s="180"/>
    </row>
    <row r="427" ht="15.75" customHeight="1">
      <c r="A427" s="203"/>
      <c r="C427" s="180"/>
    </row>
    <row r="428" ht="15.75" customHeight="1">
      <c r="A428" s="203"/>
      <c r="C428" s="180"/>
    </row>
    <row r="429" ht="15.75" customHeight="1">
      <c r="A429" s="203"/>
      <c r="C429" s="180"/>
    </row>
    <row r="430" ht="15.75" customHeight="1">
      <c r="A430" s="203"/>
      <c r="C430" s="180"/>
    </row>
    <row r="431" ht="15.75" customHeight="1">
      <c r="A431" s="203"/>
      <c r="C431" s="180"/>
    </row>
    <row r="432" ht="15.75" customHeight="1">
      <c r="A432" s="203"/>
      <c r="C432" s="180"/>
    </row>
    <row r="433" ht="15.75" customHeight="1">
      <c r="A433" s="203"/>
      <c r="C433" s="180"/>
    </row>
    <row r="434" ht="15.75" customHeight="1">
      <c r="A434" s="203"/>
      <c r="C434" s="180"/>
    </row>
    <row r="435" ht="15.75" customHeight="1">
      <c r="A435" s="203"/>
      <c r="C435" s="180"/>
    </row>
    <row r="436" ht="15.75" customHeight="1">
      <c r="A436" s="203"/>
      <c r="C436" s="180"/>
    </row>
    <row r="437" ht="15.75" customHeight="1">
      <c r="A437" s="203"/>
      <c r="C437" s="180"/>
    </row>
    <row r="438" ht="15.75" customHeight="1">
      <c r="A438" s="203"/>
      <c r="C438" s="180"/>
    </row>
    <row r="439" ht="15.75" customHeight="1">
      <c r="A439" s="203"/>
      <c r="C439" s="180"/>
    </row>
    <row r="440" ht="15.75" customHeight="1">
      <c r="A440" s="203"/>
      <c r="C440" s="180"/>
    </row>
    <row r="441" ht="15.75" customHeight="1">
      <c r="A441" s="203"/>
      <c r="C441" s="180"/>
    </row>
    <row r="442" ht="15.75" customHeight="1">
      <c r="A442" s="203"/>
      <c r="C442" s="180"/>
    </row>
    <row r="443" ht="15.75" customHeight="1">
      <c r="A443" s="203"/>
      <c r="C443" s="180"/>
    </row>
    <row r="444" ht="15.75" customHeight="1">
      <c r="A444" s="203"/>
      <c r="C444" s="180"/>
    </row>
    <row r="445" ht="15.75" customHeight="1">
      <c r="A445" s="203"/>
      <c r="C445" s="180"/>
    </row>
    <row r="446" ht="15.75" customHeight="1">
      <c r="A446" s="203"/>
      <c r="C446" s="180"/>
    </row>
    <row r="447" ht="15.75" customHeight="1">
      <c r="A447" s="203"/>
      <c r="C447" s="180"/>
    </row>
    <row r="448" ht="15.75" customHeight="1">
      <c r="A448" s="203"/>
      <c r="C448" s="180"/>
    </row>
    <row r="449" ht="15.75" customHeight="1">
      <c r="A449" s="203"/>
      <c r="C449" s="180"/>
    </row>
    <row r="450" ht="15.75" customHeight="1">
      <c r="A450" s="203"/>
      <c r="C450" s="180"/>
    </row>
    <row r="451" ht="15.75" customHeight="1">
      <c r="A451" s="203"/>
      <c r="C451" s="180"/>
    </row>
    <row r="452" ht="15.75" customHeight="1">
      <c r="A452" s="203"/>
      <c r="C452" s="180"/>
    </row>
    <row r="453" ht="15.75" customHeight="1">
      <c r="A453" s="203"/>
      <c r="C453" s="180"/>
    </row>
    <row r="454" ht="15.75" customHeight="1">
      <c r="A454" s="203"/>
      <c r="C454" s="180"/>
    </row>
    <row r="455" ht="15.75" customHeight="1">
      <c r="A455" s="203"/>
      <c r="C455" s="180"/>
    </row>
    <row r="456" ht="15.75" customHeight="1">
      <c r="A456" s="203"/>
      <c r="C456" s="180"/>
    </row>
    <row r="457" ht="15.75" customHeight="1">
      <c r="A457" s="203"/>
      <c r="C457" s="180"/>
    </row>
    <row r="458" ht="15.75" customHeight="1">
      <c r="A458" s="203"/>
      <c r="C458" s="180"/>
    </row>
    <row r="459" ht="15.75" customHeight="1">
      <c r="A459" s="203"/>
      <c r="C459" s="180"/>
    </row>
    <row r="460" ht="15.75" customHeight="1">
      <c r="A460" s="203"/>
      <c r="C460" s="180"/>
    </row>
    <row r="461" ht="15.75" customHeight="1">
      <c r="A461" s="203"/>
      <c r="C461" s="180"/>
    </row>
    <row r="462" ht="15.75" customHeight="1">
      <c r="A462" s="203"/>
      <c r="C462" s="180"/>
    </row>
    <row r="463" ht="15.75" customHeight="1">
      <c r="A463" s="203"/>
      <c r="C463" s="180"/>
    </row>
    <row r="464" ht="15.75" customHeight="1">
      <c r="A464" s="203"/>
      <c r="C464" s="180"/>
    </row>
    <row r="465" ht="15.75" customHeight="1">
      <c r="A465" s="203"/>
      <c r="C465" s="180"/>
    </row>
    <row r="466" ht="15.75" customHeight="1">
      <c r="A466" s="203"/>
      <c r="C466" s="180"/>
    </row>
    <row r="467" ht="15.75" customHeight="1">
      <c r="A467" s="203"/>
      <c r="C467" s="180"/>
    </row>
    <row r="468" ht="15.75" customHeight="1">
      <c r="A468" s="203"/>
      <c r="C468" s="180"/>
    </row>
    <row r="469" ht="15.75" customHeight="1">
      <c r="A469" s="203"/>
      <c r="C469" s="180"/>
    </row>
    <row r="470" ht="15.75" customHeight="1">
      <c r="A470" s="203"/>
      <c r="C470" s="180"/>
    </row>
    <row r="471" ht="15.75" customHeight="1">
      <c r="A471" s="203"/>
      <c r="C471" s="180"/>
    </row>
    <row r="472" ht="15.75" customHeight="1">
      <c r="A472" s="203"/>
      <c r="C472" s="180"/>
    </row>
    <row r="473" ht="15.75" customHeight="1">
      <c r="A473" s="203"/>
      <c r="C473" s="180"/>
    </row>
    <row r="474" ht="15.75" customHeight="1">
      <c r="A474" s="203"/>
      <c r="C474" s="180"/>
    </row>
    <row r="475" ht="15.75" customHeight="1">
      <c r="A475" s="203"/>
      <c r="C475" s="180"/>
    </row>
    <row r="476" ht="15.75" customHeight="1">
      <c r="A476" s="203"/>
      <c r="C476" s="180"/>
    </row>
    <row r="477" ht="15.75" customHeight="1">
      <c r="A477" s="203"/>
      <c r="C477" s="180"/>
    </row>
    <row r="478" ht="15.75" customHeight="1">
      <c r="A478" s="203"/>
      <c r="C478" s="180"/>
    </row>
    <row r="479" ht="15.75" customHeight="1">
      <c r="A479" s="203"/>
      <c r="C479" s="180"/>
    </row>
    <row r="480" ht="15.75" customHeight="1">
      <c r="A480" s="203"/>
      <c r="C480" s="180"/>
    </row>
    <row r="481" ht="15.75" customHeight="1">
      <c r="A481" s="203"/>
      <c r="C481" s="180"/>
    </row>
    <row r="482" ht="15.75" customHeight="1">
      <c r="A482" s="203"/>
      <c r="C482" s="180"/>
    </row>
    <row r="483" ht="15.75" customHeight="1">
      <c r="A483" s="203"/>
      <c r="C483" s="180"/>
    </row>
    <row r="484" ht="15.75" customHeight="1">
      <c r="A484" s="203"/>
      <c r="C484" s="180"/>
    </row>
    <row r="485" ht="15.75" customHeight="1">
      <c r="A485" s="203"/>
      <c r="C485" s="180"/>
    </row>
    <row r="486" ht="15.75" customHeight="1">
      <c r="A486" s="203"/>
      <c r="C486" s="180"/>
    </row>
    <row r="487" ht="15.75" customHeight="1">
      <c r="A487" s="203"/>
      <c r="C487" s="180"/>
    </row>
    <row r="488" ht="15.75" customHeight="1">
      <c r="A488" s="203"/>
      <c r="C488" s="180"/>
    </row>
    <row r="489" ht="15.75" customHeight="1">
      <c r="A489" s="203"/>
      <c r="C489" s="180"/>
    </row>
    <row r="490" ht="15.75" customHeight="1">
      <c r="A490" s="203"/>
      <c r="C490" s="180"/>
    </row>
    <row r="491" ht="15.75" customHeight="1">
      <c r="A491" s="203"/>
      <c r="C491" s="180"/>
    </row>
    <row r="492" ht="15.75" customHeight="1">
      <c r="A492" s="203"/>
      <c r="C492" s="180"/>
    </row>
    <row r="493" ht="15.75" customHeight="1">
      <c r="A493" s="203"/>
      <c r="C493" s="180"/>
    </row>
    <row r="494" ht="15.75" customHeight="1">
      <c r="A494" s="203"/>
      <c r="C494" s="180"/>
    </row>
    <row r="495" ht="15.75" customHeight="1">
      <c r="A495" s="203"/>
      <c r="C495" s="180"/>
    </row>
    <row r="496" ht="15.75" customHeight="1">
      <c r="A496" s="203"/>
      <c r="C496" s="180"/>
    </row>
    <row r="497" ht="15.75" customHeight="1">
      <c r="A497" s="203"/>
      <c r="C497" s="180"/>
    </row>
    <row r="498" ht="15.75" customHeight="1">
      <c r="A498" s="203"/>
      <c r="C498" s="180"/>
    </row>
    <row r="499" ht="15.75" customHeight="1">
      <c r="A499" s="203"/>
      <c r="C499" s="180"/>
    </row>
    <row r="500" ht="15.75" customHeight="1">
      <c r="A500" s="203"/>
      <c r="C500" s="180"/>
    </row>
    <row r="501" ht="15.75" customHeight="1">
      <c r="A501" s="203"/>
      <c r="C501" s="180"/>
    </row>
    <row r="502" ht="15.75" customHeight="1">
      <c r="A502" s="203"/>
      <c r="C502" s="180"/>
    </row>
    <row r="503" ht="15.75" customHeight="1">
      <c r="A503" s="203"/>
      <c r="C503" s="180"/>
    </row>
    <row r="504" ht="15.75" customHeight="1">
      <c r="A504" s="203"/>
      <c r="C504" s="180"/>
    </row>
    <row r="505" ht="15.75" customHeight="1">
      <c r="A505" s="203"/>
      <c r="C505" s="180"/>
    </row>
    <row r="506" ht="15.75" customHeight="1">
      <c r="A506" s="203"/>
      <c r="C506" s="180"/>
    </row>
    <row r="507" ht="15.75" customHeight="1">
      <c r="A507" s="203"/>
      <c r="C507" s="180"/>
    </row>
    <row r="508" ht="15.75" customHeight="1">
      <c r="A508" s="203"/>
      <c r="C508" s="180"/>
    </row>
    <row r="509" ht="15.75" customHeight="1">
      <c r="A509" s="203"/>
      <c r="C509" s="180"/>
    </row>
    <row r="510" ht="15.75" customHeight="1">
      <c r="A510" s="203"/>
      <c r="C510" s="180"/>
    </row>
    <row r="511" ht="15.75" customHeight="1">
      <c r="A511" s="203"/>
      <c r="C511" s="180"/>
    </row>
    <row r="512" ht="15.75" customHeight="1">
      <c r="A512" s="203"/>
      <c r="C512" s="180"/>
    </row>
    <row r="513" ht="15.75" customHeight="1">
      <c r="A513" s="203"/>
      <c r="C513" s="180"/>
    </row>
    <row r="514" ht="15.75" customHeight="1">
      <c r="A514" s="203"/>
      <c r="C514" s="180"/>
    </row>
    <row r="515" ht="15.75" customHeight="1">
      <c r="A515" s="203"/>
      <c r="C515" s="180"/>
    </row>
    <row r="516" ht="15.75" customHeight="1">
      <c r="A516" s="203"/>
      <c r="C516" s="180"/>
    </row>
    <row r="517" ht="15.75" customHeight="1">
      <c r="A517" s="203"/>
      <c r="C517" s="180"/>
    </row>
    <row r="518" ht="15.75" customHeight="1">
      <c r="A518" s="203"/>
      <c r="C518" s="180"/>
    </row>
    <row r="519" ht="15.75" customHeight="1">
      <c r="A519" s="203"/>
      <c r="C519" s="180"/>
    </row>
    <row r="520" ht="15.75" customHeight="1">
      <c r="A520" s="203"/>
      <c r="C520" s="180"/>
    </row>
    <row r="521" ht="15.75" customHeight="1">
      <c r="A521" s="203"/>
      <c r="C521" s="180"/>
    </row>
    <row r="522" ht="15.75" customHeight="1">
      <c r="A522" s="203"/>
      <c r="C522" s="180"/>
    </row>
    <row r="523" ht="15.75" customHeight="1">
      <c r="A523" s="203"/>
      <c r="C523" s="180"/>
    </row>
    <row r="524" ht="15.75" customHeight="1">
      <c r="A524" s="203"/>
      <c r="C524" s="180"/>
    </row>
    <row r="525" ht="15.75" customHeight="1">
      <c r="A525" s="203"/>
      <c r="C525" s="180"/>
    </row>
    <row r="526" ht="15.75" customHeight="1">
      <c r="A526" s="203"/>
      <c r="C526" s="180"/>
    </row>
    <row r="527" ht="15.75" customHeight="1">
      <c r="A527" s="203"/>
      <c r="C527" s="180"/>
    </row>
    <row r="528" ht="15.75" customHeight="1">
      <c r="A528" s="203"/>
      <c r="C528" s="180"/>
    </row>
    <row r="529" ht="15.75" customHeight="1">
      <c r="A529" s="203"/>
      <c r="C529" s="180"/>
    </row>
    <row r="530" ht="15.75" customHeight="1">
      <c r="A530" s="203"/>
      <c r="C530" s="180"/>
    </row>
    <row r="531" ht="15.75" customHeight="1">
      <c r="A531" s="203"/>
      <c r="C531" s="180"/>
    </row>
    <row r="532" ht="15.75" customHeight="1">
      <c r="A532" s="203"/>
      <c r="C532" s="180"/>
    </row>
    <row r="533" ht="15.75" customHeight="1">
      <c r="A533" s="203"/>
      <c r="C533" s="180"/>
    </row>
    <row r="534" ht="15.75" customHeight="1">
      <c r="A534" s="203"/>
      <c r="C534" s="180"/>
    </row>
    <row r="535" ht="15.75" customHeight="1">
      <c r="A535" s="203"/>
      <c r="C535" s="180"/>
    </row>
    <row r="536" ht="15.75" customHeight="1">
      <c r="A536" s="203"/>
      <c r="C536" s="180"/>
    </row>
    <row r="537" ht="15.75" customHeight="1">
      <c r="A537" s="203"/>
      <c r="C537" s="180"/>
    </row>
    <row r="538" ht="15.75" customHeight="1">
      <c r="A538" s="203"/>
      <c r="C538" s="180"/>
    </row>
    <row r="539" ht="15.75" customHeight="1">
      <c r="A539" s="203"/>
      <c r="C539" s="180"/>
    </row>
    <row r="540" ht="15.75" customHeight="1">
      <c r="A540" s="203"/>
      <c r="C540" s="180"/>
    </row>
    <row r="541" ht="15.75" customHeight="1">
      <c r="A541" s="203"/>
      <c r="C541" s="180"/>
    </row>
    <row r="542" ht="15.75" customHeight="1">
      <c r="A542" s="203"/>
      <c r="C542" s="180"/>
    </row>
    <row r="543" ht="15.75" customHeight="1">
      <c r="A543" s="203"/>
      <c r="C543" s="180"/>
    </row>
    <row r="544" ht="15.75" customHeight="1">
      <c r="A544" s="203"/>
      <c r="C544" s="180"/>
    </row>
    <row r="545" ht="15.75" customHeight="1">
      <c r="A545" s="203"/>
      <c r="C545" s="180"/>
    </row>
    <row r="546" ht="15.75" customHeight="1">
      <c r="A546" s="203"/>
      <c r="C546" s="180"/>
    </row>
    <row r="547" ht="15.75" customHeight="1">
      <c r="A547" s="203"/>
      <c r="C547" s="180"/>
    </row>
    <row r="548" ht="15.75" customHeight="1">
      <c r="A548" s="203"/>
      <c r="C548" s="180"/>
    </row>
    <row r="549" ht="15.75" customHeight="1">
      <c r="A549" s="203"/>
      <c r="C549" s="180"/>
    </row>
    <row r="550" ht="15.75" customHeight="1">
      <c r="A550" s="203"/>
      <c r="C550" s="180"/>
    </row>
    <row r="551" ht="15.75" customHeight="1">
      <c r="A551" s="203"/>
      <c r="C551" s="180"/>
    </row>
    <row r="552" ht="15.75" customHeight="1">
      <c r="A552" s="203"/>
      <c r="C552" s="180"/>
    </row>
    <row r="553" ht="15.75" customHeight="1">
      <c r="A553" s="203"/>
      <c r="C553" s="180"/>
    </row>
    <row r="554" ht="15.75" customHeight="1">
      <c r="A554" s="203"/>
      <c r="C554" s="180"/>
    </row>
    <row r="555" ht="15.75" customHeight="1">
      <c r="A555" s="203"/>
      <c r="C555" s="180"/>
    </row>
    <row r="556" ht="15.75" customHeight="1">
      <c r="A556" s="203"/>
      <c r="C556" s="180"/>
    </row>
    <row r="557" ht="15.75" customHeight="1">
      <c r="A557" s="203"/>
      <c r="C557" s="180"/>
    </row>
    <row r="558" ht="15.75" customHeight="1">
      <c r="A558" s="203"/>
      <c r="C558" s="180"/>
    </row>
    <row r="559" ht="15.75" customHeight="1">
      <c r="A559" s="203"/>
      <c r="C559" s="180"/>
    </row>
    <row r="560" ht="15.75" customHeight="1">
      <c r="A560" s="203"/>
      <c r="C560" s="180"/>
    </row>
    <row r="561" ht="15.75" customHeight="1">
      <c r="A561" s="203"/>
      <c r="C561" s="180"/>
    </row>
    <row r="562" ht="15.75" customHeight="1">
      <c r="A562" s="203"/>
      <c r="C562" s="180"/>
    </row>
    <row r="563" ht="15.75" customHeight="1">
      <c r="A563" s="203"/>
      <c r="C563" s="180"/>
    </row>
    <row r="564" ht="15.75" customHeight="1">
      <c r="A564" s="203"/>
      <c r="C564" s="180"/>
    </row>
    <row r="565" ht="15.75" customHeight="1">
      <c r="A565" s="203"/>
      <c r="C565" s="180"/>
    </row>
    <row r="566" ht="15.75" customHeight="1">
      <c r="A566" s="203"/>
      <c r="C566" s="180"/>
    </row>
    <row r="567" ht="15.75" customHeight="1">
      <c r="A567" s="203"/>
      <c r="C567" s="180"/>
    </row>
    <row r="568" ht="15.75" customHeight="1">
      <c r="A568" s="203"/>
      <c r="C568" s="180"/>
    </row>
    <row r="569" ht="15.75" customHeight="1">
      <c r="A569" s="203"/>
      <c r="C569" s="180"/>
    </row>
    <row r="570" ht="15.75" customHeight="1">
      <c r="A570" s="203"/>
      <c r="C570" s="180"/>
    </row>
    <row r="571" ht="15.75" customHeight="1">
      <c r="A571" s="203"/>
      <c r="C571" s="180"/>
    </row>
    <row r="572" ht="15.75" customHeight="1">
      <c r="A572" s="203"/>
      <c r="C572" s="180"/>
    </row>
    <row r="573" ht="15.75" customHeight="1">
      <c r="A573" s="203"/>
      <c r="C573" s="180"/>
    </row>
    <row r="574" ht="15.75" customHeight="1">
      <c r="A574" s="203"/>
      <c r="C574" s="180"/>
    </row>
    <row r="575" ht="15.75" customHeight="1">
      <c r="A575" s="203"/>
      <c r="C575" s="180"/>
    </row>
    <row r="576" ht="15.75" customHeight="1">
      <c r="A576" s="203"/>
      <c r="C576" s="180"/>
    </row>
    <row r="577" ht="15.75" customHeight="1">
      <c r="A577" s="203"/>
      <c r="C577" s="180"/>
    </row>
    <row r="578" ht="15.75" customHeight="1">
      <c r="A578" s="203"/>
      <c r="C578" s="180"/>
    </row>
    <row r="579" ht="15.75" customHeight="1">
      <c r="A579" s="203"/>
      <c r="C579" s="180"/>
    </row>
    <row r="580" ht="15.75" customHeight="1">
      <c r="A580" s="203"/>
      <c r="C580" s="180"/>
    </row>
    <row r="581" ht="15.75" customHeight="1">
      <c r="A581" s="203"/>
      <c r="C581" s="180"/>
    </row>
    <row r="582" ht="15.75" customHeight="1">
      <c r="A582" s="203"/>
      <c r="C582" s="180"/>
    </row>
    <row r="583" ht="15.75" customHeight="1">
      <c r="A583" s="203"/>
      <c r="C583" s="180"/>
    </row>
    <row r="584" ht="15.75" customHeight="1">
      <c r="A584" s="203"/>
      <c r="C584" s="180"/>
    </row>
    <row r="585" ht="15.75" customHeight="1">
      <c r="A585" s="203"/>
      <c r="C585" s="180"/>
    </row>
    <row r="586" ht="15.75" customHeight="1">
      <c r="A586" s="203"/>
      <c r="C586" s="180"/>
    </row>
    <row r="587" ht="15.75" customHeight="1">
      <c r="A587" s="203"/>
      <c r="C587" s="180"/>
    </row>
    <row r="588" ht="15.75" customHeight="1">
      <c r="A588" s="203"/>
      <c r="C588" s="180"/>
    </row>
    <row r="589" ht="15.75" customHeight="1">
      <c r="A589" s="203"/>
      <c r="C589" s="180"/>
    </row>
    <row r="590" ht="15.75" customHeight="1">
      <c r="A590" s="203"/>
      <c r="C590" s="180"/>
    </row>
    <row r="591" ht="15.75" customHeight="1">
      <c r="A591" s="203"/>
      <c r="C591" s="180"/>
    </row>
    <row r="592" ht="15.75" customHeight="1">
      <c r="A592" s="203"/>
      <c r="C592" s="180"/>
    </row>
    <row r="593" ht="15.75" customHeight="1">
      <c r="A593" s="203"/>
      <c r="C593" s="180"/>
    </row>
    <row r="594" ht="15.75" customHeight="1">
      <c r="A594" s="203"/>
      <c r="C594" s="180"/>
    </row>
    <row r="595" ht="15.75" customHeight="1">
      <c r="A595" s="203"/>
      <c r="C595" s="180"/>
    </row>
    <row r="596" ht="15.75" customHeight="1">
      <c r="A596" s="203"/>
      <c r="C596" s="180"/>
    </row>
    <row r="597" ht="15.75" customHeight="1">
      <c r="A597" s="203"/>
      <c r="C597" s="180"/>
    </row>
    <row r="598" ht="15.75" customHeight="1">
      <c r="A598" s="203"/>
      <c r="C598" s="180"/>
    </row>
    <row r="599" ht="15.75" customHeight="1">
      <c r="A599" s="203"/>
      <c r="C599" s="180"/>
    </row>
    <row r="600" ht="15.75" customHeight="1">
      <c r="A600" s="203"/>
      <c r="C600" s="180"/>
    </row>
    <row r="601" ht="15.75" customHeight="1">
      <c r="A601" s="203"/>
      <c r="C601" s="180"/>
    </row>
    <row r="602" ht="15.75" customHeight="1">
      <c r="A602" s="203"/>
      <c r="C602" s="180"/>
    </row>
    <row r="603" ht="15.75" customHeight="1">
      <c r="A603" s="203"/>
      <c r="C603" s="180"/>
    </row>
    <row r="604" ht="15.75" customHeight="1">
      <c r="A604" s="203"/>
      <c r="C604" s="180"/>
    </row>
    <row r="605" ht="15.75" customHeight="1">
      <c r="A605" s="203"/>
      <c r="C605" s="180"/>
    </row>
    <row r="606" ht="15.75" customHeight="1">
      <c r="A606" s="203"/>
      <c r="C606" s="180"/>
    </row>
    <row r="607" ht="15.75" customHeight="1">
      <c r="A607" s="203"/>
      <c r="C607" s="180"/>
    </row>
    <row r="608" ht="15.75" customHeight="1">
      <c r="A608" s="203"/>
      <c r="C608" s="180"/>
    </row>
    <row r="609" ht="15.75" customHeight="1">
      <c r="A609" s="203"/>
      <c r="C609" s="180"/>
    </row>
    <row r="610" ht="15.75" customHeight="1">
      <c r="A610" s="203"/>
      <c r="C610" s="180"/>
    </row>
    <row r="611" ht="15.75" customHeight="1">
      <c r="A611" s="203"/>
      <c r="C611" s="180"/>
    </row>
    <row r="612" ht="15.75" customHeight="1">
      <c r="A612" s="203"/>
      <c r="C612" s="180"/>
    </row>
    <row r="613" ht="15.75" customHeight="1">
      <c r="A613" s="203"/>
      <c r="C613" s="180"/>
    </row>
    <row r="614" ht="15.75" customHeight="1">
      <c r="A614" s="203"/>
      <c r="C614" s="180"/>
    </row>
    <row r="615" ht="15.75" customHeight="1">
      <c r="A615" s="203"/>
      <c r="C615" s="180"/>
    </row>
    <row r="616" ht="15.75" customHeight="1">
      <c r="A616" s="203"/>
      <c r="C616" s="180"/>
    </row>
    <row r="617" ht="15.75" customHeight="1">
      <c r="A617" s="203"/>
      <c r="C617" s="180"/>
    </row>
    <row r="618" ht="15.75" customHeight="1">
      <c r="A618" s="203"/>
      <c r="C618" s="180"/>
    </row>
    <row r="619" ht="15.75" customHeight="1">
      <c r="A619" s="203"/>
      <c r="C619" s="180"/>
    </row>
    <row r="620" ht="15.75" customHeight="1">
      <c r="A620" s="203"/>
      <c r="C620" s="180"/>
    </row>
    <row r="621" ht="15.75" customHeight="1">
      <c r="A621" s="203"/>
      <c r="C621" s="180"/>
    </row>
    <row r="622" ht="15.75" customHeight="1">
      <c r="A622" s="203"/>
      <c r="C622" s="180"/>
    </row>
    <row r="623" ht="15.75" customHeight="1">
      <c r="A623" s="203"/>
      <c r="C623" s="180"/>
    </row>
    <row r="624" ht="15.75" customHeight="1">
      <c r="A624" s="203"/>
      <c r="C624" s="180"/>
    </row>
    <row r="625" ht="15.75" customHeight="1">
      <c r="A625" s="203"/>
      <c r="C625" s="180"/>
    </row>
    <row r="626" ht="15.75" customHeight="1">
      <c r="A626" s="203"/>
      <c r="C626" s="180"/>
    </row>
    <row r="627" ht="15.75" customHeight="1">
      <c r="A627" s="203"/>
      <c r="C627" s="180"/>
    </row>
    <row r="628" ht="15.75" customHeight="1">
      <c r="A628" s="203"/>
      <c r="C628" s="180"/>
    </row>
    <row r="629" ht="15.75" customHeight="1">
      <c r="A629" s="203"/>
      <c r="C629" s="180"/>
    </row>
    <row r="630" ht="15.75" customHeight="1">
      <c r="A630" s="203"/>
      <c r="C630" s="180"/>
    </row>
    <row r="631" ht="15.75" customHeight="1">
      <c r="A631" s="203"/>
      <c r="C631" s="180"/>
    </row>
    <row r="632" ht="15.75" customHeight="1">
      <c r="A632" s="203"/>
      <c r="C632" s="180"/>
    </row>
    <row r="633" ht="15.75" customHeight="1">
      <c r="A633" s="203"/>
      <c r="C633" s="180"/>
    </row>
    <row r="634" ht="15.75" customHeight="1">
      <c r="A634" s="203"/>
      <c r="C634" s="180"/>
    </row>
    <row r="635" ht="15.75" customHeight="1">
      <c r="A635" s="203"/>
      <c r="C635" s="180"/>
    </row>
    <row r="636" ht="15.75" customHeight="1">
      <c r="A636" s="203"/>
      <c r="C636" s="180"/>
    </row>
    <row r="637" ht="15.75" customHeight="1">
      <c r="A637" s="203"/>
      <c r="C637" s="180"/>
    </row>
    <row r="638" ht="15.75" customHeight="1">
      <c r="A638" s="203"/>
      <c r="C638" s="180"/>
    </row>
    <row r="639" ht="15.75" customHeight="1">
      <c r="A639" s="203"/>
      <c r="C639" s="180"/>
    </row>
    <row r="640" ht="15.75" customHeight="1">
      <c r="A640" s="203"/>
      <c r="C640" s="180"/>
    </row>
    <row r="641" ht="15.75" customHeight="1">
      <c r="A641" s="203"/>
      <c r="C641" s="180"/>
    </row>
    <row r="642" ht="15.75" customHeight="1">
      <c r="A642" s="203"/>
      <c r="C642" s="180"/>
    </row>
    <row r="643" ht="15.75" customHeight="1">
      <c r="A643" s="203"/>
      <c r="C643" s="180"/>
    </row>
    <row r="644" ht="15.75" customHeight="1">
      <c r="A644" s="203"/>
      <c r="C644" s="180"/>
    </row>
    <row r="645" ht="15.75" customHeight="1">
      <c r="A645" s="203"/>
      <c r="C645" s="180"/>
    </row>
    <row r="646" ht="15.75" customHeight="1">
      <c r="A646" s="203"/>
      <c r="C646" s="180"/>
    </row>
    <row r="647" ht="15.75" customHeight="1">
      <c r="A647" s="203"/>
      <c r="C647" s="180"/>
    </row>
    <row r="648" ht="15.75" customHeight="1">
      <c r="A648" s="203"/>
      <c r="C648" s="180"/>
    </row>
    <row r="649" ht="15.75" customHeight="1">
      <c r="A649" s="203"/>
      <c r="C649" s="180"/>
    </row>
    <row r="650" ht="15.75" customHeight="1">
      <c r="A650" s="203"/>
      <c r="C650" s="180"/>
    </row>
    <row r="651" ht="15.75" customHeight="1">
      <c r="A651" s="203"/>
      <c r="C651" s="180"/>
    </row>
    <row r="652" ht="15.75" customHeight="1">
      <c r="A652" s="203"/>
      <c r="C652" s="180"/>
    </row>
    <row r="653" ht="15.75" customHeight="1">
      <c r="A653" s="203"/>
      <c r="C653" s="180"/>
    </row>
    <row r="654" ht="15.75" customHeight="1">
      <c r="A654" s="203"/>
      <c r="C654" s="180"/>
    </row>
    <row r="655" ht="15.75" customHeight="1">
      <c r="A655" s="203"/>
      <c r="C655" s="180"/>
    </row>
    <row r="656" ht="15.75" customHeight="1">
      <c r="A656" s="203"/>
      <c r="C656" s="180"/>
    </row>
    <row r="657" ht="15.75" customHeight="1">
      <c r="A657" s="203"/>
      <c r="C657" s="180"/>
    </row>
    <row r="658" ht="15.75" customHeight="1">
      <c r="A658" s="203"/>
      <c r="C658" s="180"/>
    </row>
    <row r="659" ht="15.75" customHeight="1">
      <c r="A659" s="203"/>
      <c r="C659" s="180"/>
    </row>
    <row r="660" ht="15.75" customHeight="1">
      <c r="A660" s="203"/>
      <c r="C660" s="180"/>
    </row>
    <row r="661" ht="15.75" customHeight="1">
      <c r="A661" s="203"/>
      <c r="C661" s="180"/>
    </row>
    <row r="662" ht="15.75" customHeight="1">
      <c r="A662" s="203"/>
      <c r="C662" s="180"/>
    </row>
    <row r="663" ht="15.75" customHeight="1">
      <c r="A663" s="203"/>
      <c r="C663" s="180"/>
    </row>
    <row r="664" ht="15.75" customHeight="1">
      <c r="A664" s="203"/>
      <c r="C664" s="180"/>
    </row>
    <row r="665" ht="15.75" customHeight="1">
      <c r="A665" s="203"/>
      <c r="C665" s="180"/>
    </row>
    <row r="666" ht="15.75" customHeight="1">
      <c r="A666" s="203"/>
      <c r="C666" s="180"/>
    </row>
    <row r="667" ht="15.75" customHeight="1">
      <c r="A667" s="203"/>
      <c r="C667" s="180"/>
    </row>
    <row r="668" ht="15.75" customHeight="1">
      <c r="A668" s="203"/>
      <c r="C668" s="180"/>
    </row>
    <row r="669" ht="15.75" customHeight="1">
      <c r="A669" s="203"/>
      <c r="C669" s="180"/>
    </row>
    <row r="670" ht="15.75" customHeight="1">
      <c r="A670" s="203"/>
      <c r="C670" s="180"/>
    </row>
    <row r="671" ht="15.75" customHeight="1">
      <c r="A671" s="203"/>
      <c r="C671" s="180"/>
    </row>
    <row r="672" ht="15.75" customHeight="1">
      <c r="A672" s="203"/>
      <c r="C672" s="180"/>
    </row>
    <row r="673" ht="15.75" customHeight="1">
      <c r="A673" s="203"/>
      <c r="C673" s="180"/>
    </row>
    <row r="674" ht="15.75" customHeight="1">
      <c r="A674" s="203"/>
      <c r="C674" s="180"/>
    </row>
    <row r="675" ht="15.75" customHeight="1">
      <c r="A675" s="203"/>
      <c r="C675" s="180"/>
    </row>
    <row r="676" ht="15.75" customHeight="1">
      <c r="A676" s="203"/>
      <c r="C676" s="180"/>
    </row>
    <row r="677" ht="15.75" customHeight="1">
      <c r="A677" s="203"/>
      <c r="C677" s="180"/>
    </row>
    <row r="678" ht="15.75" customHeight="1">
      <c r="A678" s="203"/>
      <c r="C678" s="180"/>
    </row>
    <row r="679" ht="15.75" customHeight="1">
      <c r="A679" s="203"/>
      <c r="C679" s="180"/>
    </row>
    <row r="680" ht="15.75" customHeight="1">
      <c r="A680" s="203"/>
      <c r="C680" s="180"/>
    </row>
    <row r="681" ht="15.75" customHeight="1">
      <c r="A681" s="203"/>
      <c r="C681" s="180"/>
    </row>
    <row r="682" ht="15.75" customHeight="1">
      <c r="A682" s="203"/>
      <c r="C682" s="180"/>
    </row>
    <row r="683" ht="15.75" customHeight="1">
      <c r="A683" s="203"/>
      <c r="C683" s="180"/>
    </row>
    <row r="684" ht="15.75" customHeight="1">
      <c r="A684" s="203"/>
      <c r="C684" s="180"/>
    </row>
    <row r="685" ht="15.75" customHeight="1">
      <c r="A685" s="203"/>
      <c r="C685" s="180"/>
    </row>
    <row r="686" ht="15.75" customHeight="1">
      <c r="A686" s="203"/>
      <c r="C686" s="180"/>
    </row>
    <row r="687" ht="15.75" customHeight="1">
      <c r="A687" s="203"/>
      <c r="C687" s="180"/>
    </row>
    <row r="688" ht="15.75" customHeight="1">
      <c r="A688" s="203"/>
      <c r="C688" s="180"/>
    </row>
    <row r="689" ht="15.75" customHeight="1">
      <c r="A689" s="203"/>
      <c r="C689" s="180"/>
    </row>
    <row r="690" ht="15.75" customHeight="1">
      <c r="A690" s="203"/>
      <c r="C690" s="180"/>
    </row>
    <row r="691" ht="15.75" customHeight="1">
      <c r="A691" s="203"/>
      <c r="C691" s="180"/>
    </row>
    <row r="692" ht="15.75" customHeight="1">
      <c r="A692" s="203"/>
      <c r="C692" s="180"/>
    </row>
    <row r="693" ht="15.75" customHeight="1">
      <c r="A693" s="203"/>
      <c r="C693" s="180"/>
    </row>
    <row r="694" ht="15.75" customHeight="1">
      <c r="A694" s="203"/>
      <c r="C694" s="180"/>
    </row>
    <row r="695" ht="15.75" customHeight="1">
      <c r="A695" s="203"/>
      <c r="C695" s="180"/>
    </row>
    <row r="696" ht="15.75" customHeight="1">
      <c r="A696" s="203"/>
      <c r="C696" s="180"/>
    </row>
    <row r="697" ht="15.75" customHeight="1">
      <c r="A697" s="203"/>
      <c r="C697" s="180"/>
    </row>
    <row r="698" ht="15.75" customHeight="1">
      <c r="A698" s="203"/>
      <c r="C698" s="180"/>
    </row>
    <row r="699" ht="15.75" customHeight="1">
      <c r="A699" s="203"/>
      <c r="C699" s="180"/>
    </row>
    <row r="700" ht="15.75" customHeight="1">
      <c r="A700" s="203"/>
      <c r="C700" s="180"/>
    </row>
    <row r="701" ht="15.75" customHeight="1">
      <c r="A701" s="203"/>
      <c r="C701" s="180"/>
    </row>
    <row r="702" ht="15.75" customHeight="1">
      <c r="A702" s="203"/>
      <c r="C702" s="180"/>
    </row>
    <row r="703" ht="15.75" customHeight="1">
      <c r="A703" s="203"/>
      <c r="C703" s="180"/>
    </row>
    <row r="704" ht="15.75" customHeight="1">
      <c r="A704" s="203"/>
      <c r="C704" s="180"/>
    </row>
    <row r="705" ht="15.75" customHeight="1">
      <c r="A705" s="203"/>
      <c r="C705" s="180"/>
    </row>
    <row r="706" ht="15.75" customHeight="1">
      <c r="A706" s="203"/>
      <c r="C706" s="180"/>
    </row>
    <row r="707" ht="15.75" customHeight="1">
      <c r="A707" s="203"/>
      <c r="C707" s="180"/>
    </row>
    <row r="708" ht="15.75" customHeight="1">
      <c r="A708" s="203"/>
      <c r="C708" s="180"/>
    </row>
    <row r="709" ht="15.75" customHeight="1">
      <c r="A709" s="203"/>
      <c r="C709" s="180"/>
    </row>
    <row r="710" ht="15.75" customHeight="1">
      <c r="A710" s="203"/>
      <c r="C710" s="180"/>
    </row>
    <row r="711" ht="15.75" customHeight="1">
      <c r="A711" s="203"/>
      <c r="C711" s="180"/>
    </row>
    <row r="712" ht="15.75" customHeight="1">
      <c r="A712" s="203"/>
      <c r="C712" s="180"/>
    </row>
    <row r="713" ht="15.75" customHeight="1">
      <c r="A713" s="203"/>
      <c r="C713" s="180"/>
    </row>
    <row r="714" ht="15.75" customHeight="1">
      <c r="A714" s="203"/>
      <c r="C714" s="180"/>
    </row>
    <row r="715" ht="15.75" customHeight="1">
      <c r="A715" s="203"/>
      <c r="C715" s="180"/>
    </row>
    <row r="716" ht="15.75" customHeight="1">
      <c r="A716" s="203"/>
      <c r="C716" s="180"/>
    </row>
    <row r="717" ht="15.75" customHeight="1">
      <c r="A717" s="203"/>
      <c r="C717" s="180"/>
    </row>
    <row r="718" ht="15.75" customHeight="1">
      <c r="A718" s="203"/>
      <c r="C718" s="180"/>
    </row>
    <row r="719" ht="15.75" customHeight="1">
      <c r="A719" s="203"/>
      <c r="C719" s="180"/>
    </row>
    <row r="720" ht="15.75" customHeight="1">
      <c r="A720" s="203"/>
      <c r="C720" s="180"/>
    </row>
    <row r="721" ht="15.75" customHeight="1">
      <c r="A721" s="203"/>
      <c r="C721" s="180"/>
    </row>
    <row r="722" ht="15.75" customHeight="1">
      <c r="A722" s="203"/>
      <c r="C722" s="180"/>
    </row>
    <row r="723" ht="15.75" customHeight="1">
      <c r="A723" s="203"/>
      <c r="C723" s="180"/>
    </row>
    <row r="724" ht="15.75" customHeight="1">
      <c r="A724" s="203"/>
      <c r="C724" s="180"/>
    </row>
    <row r="725" ht="15.75" customHeight="1">
      <c r="A725" s="203"/>
      <c r="C725" s="180"/>
    </row>
    <row r="726" ht="15.75" customHeight="1">
      <c r="A726" s="203"/>
      <c r="C726" s="180"/>
    </row>
    <row r="727" ht="15.75" customHeight="1">
      <c r="A727" s="203"/>
      <c r="C727" s="180"/>
    </row>
    <row r="728" ht="15.75" customHeight="1">
      <c r="A728" s="203"/>
      <c r="C728" s="180"/>
    </row>
    <row r="729" ht="15.75" customHeight="1">
      <c r="A729" s="203"/>
      <c r="C729" s="180"/>
    </row>
    <row r="730" ht="15.75" customHeight="1">
      <c r="A730" s="203"/>
      <c r="C730" s="180"/>
    </row>
    <row r="731" ht="15.75" customHeight="1">
      <c r="A731" s="203"/>
      <c r="C731" s="180"/>
    </row>
    <row r="732" ht="15.75" customHeight="1">
      <c r="A732" s="203"/>
      <c r="C732" s="180"/>
    </row>
    <row r="733" ht="15.75" customHeight="1">
      <c r="A733" s="203"/>
      <c r="C733" s="180"/>
    </row>
    <row r="734" ht="15.75" customHeight="1">
      <c r="A734" s="203"/>
      <c r="C734" s="180"/>
    </row>
    <row r="735" ht="15.75" customHeight="1">
      <c r="A735" s="203"/>
      <c r="C735" s="180"/>
    </row>
    <row r="736" ht="15.75" customHeight="1">
      <c r="A736" s="203"/>
      <c r="C736" s="180"/>
    </row>
    <row r="737" ht="15.75" customHeight="1">
      <c r="A737" s="203"/>
      <c r="C737" s="180"/>
    </row>
    <row r="738" ht="15.75" customHeight="1">
      <c r="A738" s="203"/>
      <c r="C738" s="180"/>
    </row>
    <row r="739" ht="15.75" customHeight="1">
      <c r="A739" s="203"/>
      <c r="C739" s="180"/>
    </row>
    <row r="740" ht="15.75" customHeight="1">
      <c r="A740" s="203"/>
      <c r="C740" s="180"/>
    </row>
    <row r="741" ht="15.75" customHeight="1">
      <c r="A741" s="203"/>
      <c r="C741" s="180"/>
    </row>
    <row r="742" ht="15.75" customHeight="1">
      <c r="A742" s="203"/>
      <c r="C742" s="180"/>
    </row>
    <row r="743" ht="15.75" customHeight="1">
      <c r="A743" s="203"/>
      <c r="C743" s="180"/>
    </row>
    <row r="744" ht="15.75" customHeight="1">
      <c r="A744" s="203"/>
      <c r="C744" s="180"/>
    </row>
    <row r="745" ht="15.75" customHeight="1">
      <c r="A745" s="203"/>
      <c r="C745" s="180"/>
    </row>
    <row r="746" ht="15.75" customHeight="1">
      <c r="A746" s="203"/>
      <c r="C746" s="180"/>
    </row>
    <row r="747" ht="15.75" customHeight="1">
      <c r="A747" s="203"/>
      <c r="C747" s="180"/>
    </row>
    <row r="748" ht="15.75" customHeight="1">
      <c r="A748" s="203"/>
      <c r="C748" s="180"/>
    </row>
    <row r="749" ht="15.75" customHeight="1">
      <c r="A749" s="203"/>
      <c r="C749" s="180"/>
    </row>
    <row r="750" ht="15.75" customHeight="1">
      <c r="A750" s="203"/>
      <c r="C750" s="180"/>
    </row>
    <row r="751" ht="15.75" customHeight="1">
      <c r="A751" s="203"/>
      <c r="C751" s="180"/>
    </row>
    <row r="752" ht="15.75" customHeight="1">
      <c r="A752" s="203"/>
      <c r="C752" s="180"/>
    </row>
    <row r="753" ht="15.75" customHeight="1">
      <c r="A753" s="203"/>
      <c r="C753" s="180"/>
    </row>
    <row r="754" ht="15.75" customHeight="1">
      <c r="A754" s="203"/>
      <c r="C754" s="180"/>
    </row>
    <row r="755" ht="15.75" customHeight="1">
      <c r="A755" s="203"/>
      <c r="C755" s="180"/>
    </row>
    <row r="756" ht="15.75" customHeight="1">
      <c r="A756" s="203"/>
      <c r="C756" s="180"/>
    </row>
    <row r="757" ht="15.75" customHeight="1">
      <c r="A757" s="203"/>
      <c r="C757" s="180"/>
    </row>
    <row r="758" ht="15.75" customHeight="1">
      <c r="A758" s="203"/>
      <c r="C758" s="180"/>
    </row>
    <row r="759" ht="15.75" customHeight="1">
      <c r="A759" s="203"/>
      <c r="C759" s="180"/>
    </row>
    <row r="760" ht="15.75" customHeight="1">
      <c r="A760" s="203"/>
      <c r="C760" s="180"/>
    </row>
    <row r="761" ht="15.75" customHeight="1">
      <c r="A761" s="203"/>
      <c r="C761" s="180"/>
    </row>
    <row r="762" ht="15.75" customHeight="1">
      <c r="A762" s="203"/>
      <c r="C762" s="180"/>
    </row>
    <row r="763" ht="15.75" customHeight="1">
      <c r="A763" s="203"/>
      <c r="C763" s="180"/>
    </row>
    <row r="764" ht="15.75" customHeight="1">
      <c r="A764" s="203"/>
      <c r="C764" s="180"/>
    </row>
    <row r="765" ht="15.75" customHeight="1">
      <c r="A765" s="203"/>
      <c r="C765" s="180"/>
    </row>
    <row r="766" ht="15.75" customHeight="1">
      <c r="A766" s="203"/>
      <c r="C766" s="180"/>
    </row>
    <row r="767" ht="15.75" customHeight="1">
      <c r="A767" s="203"/>
      <c r="C767" s="180"/>
    </row>
    <row r="768" ht="15.75" customHeight="1">
      <c r="A768" s="203"/>
      <c r="C768" s="180"/>
    </row>
    <row r="769" ht="15.75" customHeight="1">
      <c r="A769" s="203"/>
      <c r="C769" s="180"/>
    </row>
    <row r="770" ht="15.75" customHeight="1">
      <c r="A770" s="203"/>
      <c r="C770" s="180"/>
    </row>
    <row r="771" ht="15.75" customHeight="1">
      <c r="A771" s="203"/>
      <c r="C771" s="180"/>
    </row>
    <row r="772" ht="15.75" customHeight="1">
      <c r="A772" s="203"/>
      <c r="C772" s="180"/>
    </row>
    <row r="773" ht="15.75" customHeight="1">
      <c r="A773" s="203"/>
      <c r="C773" s="180"/>
    </row>
    <row r="774" ht="15.75" customHeight="1">
      <c r="A774" s="203"/>
      <c r="C774" s="180"/>
    </row>
    <row r="775" ht="15.75" customHeight="1">
      <c r="A775" s="203"/>
      <c r="C775" s="180"/>
    </row>
    <row r="776" ht="15.75" customHeight="1">
      <c r="A776" s="203"/>
      <c r="C776" s="180"/>
    </row>
    <row r="777" ht="15.75" customHeight="1">
      <c r="A777" s="203"/>
      <c r="C777" s="180"/>
    </row>
    <row r="778" ht="15.75" customHeight="1">
      <c r="A778" s="203"/>
      <c r="C778" s="180"/>
    </row>
    <row r="779" ht="15.75" customHeight="1">
      <c r="A779" s="203"/>
      <c r="C779" s="180"/>
    </row>
    <row r="780" ht="15.75" customHeight="1">
      <c r="A780" s="203"/>
      <c r="C780" s="180"/>
    </row>
    <row r="781" ht="15.75" customHeight="1">
      <c r="A781" s="203"/>
      <c r="C781" s="180"/>
    </row>
    <row r="782" ht="15.75" customHeight="1">
      <c r="A782" s="203"/>
      <c r="C782" s="180"/>
    </row>
    <row r="783" ht="15.75" customHeight="1">
      <c r="A783" s="203"/>
      <c r="C783" s="180"/>
    </row>
    <row r="784" ht="15.75" customHeight="1">
      <c r="A784" s="203"/>
      <c r="C784" s="180"/>
    </row>
    <row r="785" ht="15.75" customHeight="1">
      <c r="A785" s="203"/>
      <c r="C785" s="180"/>
    </row>
    <row r="786" ht="15.75" customHeight="1">
      <c r="A786" s="203"/>
      <c r="C786" s="180"/>
    </row>
    <row r="787" ht="15.75" customHeight="1">
      <c r="A787" s="203"/>
      <c r="C787" s="180"/>
    </row>
    <row r="788" ht="15.75" customHeight="1">
      <c r="A788" s="203"/>
      <c r="C788" s="180"/>
    </row>
    <row r="789" ht="15.75" customHeight="1">
      <c r="A789" s="203"/>
      <c r="C789" s="180"/>
    </row>
    <row r="790" ht="15.75" customHeight="1">
      <c r="A790" s="203"/>
      <c r="C790" s="180"/>
    </row>
    <row r="791" ht="15.75" customHeight="1">
      <c r="A791" s="203"/>
      <c r="C791" s="180"/>
    </row>
    <row r="792" ht="15.75" customHeight="1">
      <c r="A792" s="203"/>
      <c r="C792" s="180"/>
    </row>
    <row r="793" ht="15.75" customHeight="1">
      <c r="A793" s="203"/>
      <c r="C793" s="180"/>
    </row>
    <row r="794" ht="15.75" customHeight="1">
      <c r="A794" s="203"/>
      <c r="C794" s="180"/>
    </row>
    <row r="795" ht="15.75" customHeight="1">
      <c r="A795" s="203"/>
      <c r="C795" s="180"/>
    </row>
    <row r="796" ht="15.75" customHeight="1">
      <c r="A796" s="203"/>
      <c r="C796" s="180"/>
    </row>
    <row r="797" ht="15.75" customHeight="1">
      <c r="A797" s="203"/>
      <c r="C797" s="180"/>
    </row>
    <row r="798" ht="15.75" customHeight="1">
      <c r="A798" s="203"/>
      <c r="C798" s="180"/>
    </row>
    <row r="799" ht="15.75" customHeight="1">
      <c r="A799" s="203"/>
      <c r="C799" s="180"/>
    </row>
    <row r="800" ht="15.75" customHeight="1">
      <c r="A800" s="203"/>
      <c r="C800" s="180"/>
    </row>
    <row r="801" ht="15.75" customHeight="1">
      <c r="A801" s="203"/>
      <c r="C801" s="180"/>
    </row>
    <row r="802" ht="15.75" customHeight="1">
      <c r="A802" s="203"/>
      <c r="C802" s="180"/>
    </row>
    <row r="803" ht="15.75" customHeight="1">
      <c r="A803" s="203"/>
      <c r="C803" s="180"/>
    </row>
    <row r="804" ht="15.75" customHeight="1">
      <c r="A804" s="203"/>
      <c r="C804" s="180"/>
    </row>
    <row r="805" ht="15.75" customHeight="1">
      <c r="A805" s="203"/>
      <c r="C805" s="180"/>
    </row>
    <row r="806" ht="15.75" customHeight="1">
      <c r="A806" s="203"/>
      <c r="C806" s="180"/>
    </row>
    <row r="807" ht="15.75" customHeight="1">
      <c r="A807" s="203"/>
      <c r="C807" s="180"/>
    </row>
    <row r="808" ht="15.75" customHeight="1">
      <c r="A808" s="203"/>
      <c r="C808" s="180"/>
    </row>
    <row r="809" ht="15.75" customHeight="1">
      <c r="A809" s="203"/>
      <c r="C809" s="180"/>
    </row>
    <row r="810" ht="15.75" customHeight="1">
      <c r="A810" s="203"/>
      <c r="C810" s="180"/>
    </row>
    <row r="811" ht="15.75" customHeight="1">
      <c r="A811" s="203"/>
      <c r="C811" s="180"/>
    </row>
    <row r="812" ht="15.75" customHeight="1">
      <c r="A812" s="203"/>
      <c r="C812" s="180"/>
    </row>
    <row r="813" ht="15.75" customHeight="1">
      <c r="A813" s="203"/>
      <c r="C813" s="180"/>
    </row>
    <row r="814" ht="15.75" customHeight="1">
      <c r="A814" s="203"/>
      <c r="C814" s="180"/>
    </row>
    <row r="815" ht="15.75" customHeight="1">
      <c r="A815" s="203"/>
      <c r="C815" s="180"/>
    </row>
    <row r="816" ht="15.75" customHeight="1">
      <c r="A816" s="203"/>
      <c r="C816" s="180"/>
    </row>
    <row r="817" ht="15.75" customHeight="1">
      <c r="A817" s="203"/>
      <c r="C817" s="180"/>
    </row>
    <row r="818" ht="15.75" customHeight="1">
      <c r="A818" s="203"/>
      <c r="C818" s="180"/>
    </row>
    <row r="819" ht="15.75" customHeight="1">
      <c r="A819" s="203"/>
      <c r="C819" s="180"/>
    </row>
    <row r="820" ht="15.75" customHeight="1">
      <c r="A820" s="203"/>
      <c r="C820" s="180"/>
    </row>
    <row r="821" ht="15.75" customHeight="1">
      <c r="A821" s="203"/>
      <c r="C821" s="180"/>
    </row>
    <row r="822" ht="15.75" customHeight="1">
      <c r="A822" s="203"/>
      <c r="C822" s="180"/>
    </row>
    <row r="823" ht="15.75" customHeight="1">
      <c r="A823" s="203"/>
      <c r="C823" s="180"/>
    </row>
    <row r="824" ht="15.75" customHeight="1">
      <c r="A824" s="203"/>
      <c r="C824" s="180"/>
    </row>
    <row r="825" ht="15.75" customHeight="1">
      <c r="A825" s="203"/>
      <c r="C825" s="180"/>
    </row>
    <row r="826" ht="15.75" customHeight="1">
      <c r="A826" s="203"/>
      <c r="C826" s="180"/>
    </row>
    <row r="827" ht="15.75" customHeight="1">
      <c r="A827" s="203"/>
      <c r="C827" s="180"/>
    </row>
    <row r="828" ht="15.75" customHeight="1">
      <c r="A828" s="203"/>
      <c r="C828" s="180"/>
    </row>
    <row r="829" ht="15.75" customHeight="1">
      <c r="A829" s="203"/>
      <c r="C829" s="180"/>
    </row>
    <row r="830" ht="15.75" customHeight="1">
      <c r="A830" s="203"/>
      <c r="C830" s="180"/>
    </row>
    <row r="831" ht="15.75" customHeight="1">
      <c r="A831" s="203"/>
      <c r="C831" s="180"/>
    </row>
    <row r="832" ht="15.75" customHeight="1">
      <c r="A832" s="203"/>
      <c r="C832" s="180"/>
    </row>
    <row r="833" ht="15.75" customHeight="1">
      <c r="A833" s="203"/>
      <c r="C833" s="180"/>
    </row>
    <row r="834" ht="15.75" customHeight="1">
      <c r="A834" s="203"/>
      <c r="C834" s="180"/>
    </row>
    <row r="835" ht="15.75" customHeight="1">
      <c r="A835" s="203"/>
      <c r="C835" s="180"/>
    </row>
    <row r="836" ht="15.75" customHeight="1">
      <c r="A836" s="203"/>
      <c r="C836" s="180"/>
    </row>
    <row r="837" ht="15.75" customHeight="1">
      <c r="A837" s="203"/>
      <c r="C837" s="180"/>
    </row>
    <row r="838" ht="15.75" customHeight="1">
      <c r="A838" s="203"/>
      <c r="C838" s="180"/>
    </row>
    <row r="839" ht="15.75" customHeight="1">
      <c r="A839" s="203"/>
      <c r="C839" s="180"/>
    </row>
    <row r="840" ht="15.75" customHeight="1">
      <c r="A840" s="203"/>
      <c r="C840" s="180"/>
    </row>
    <row r="841" ht="15.75" customHeight="1">
      <c r="A841" s="203"/>
      <c r="C841" s="180"/>
    </row>
    <row r="842" ht="15.75" customHeight="1">
      <c r="A842" s="203"/>
      <c r="C842" s="180"/>
    </row>
    <row r="843" ht="15.75" customHeight="1">
      <c r="A843" s="203"/>
      <c r="C843" s="180"/>
    </row>
    <row r="844" ht="15.75" customHeight="1">
      <c r="A844" s="203"/>
      <c r="C844" s="180"/>
    </row>
    <row r="845" ht="15.75" customHeight="1">
      <c r="A845" s="203"/>
      <c r="C845" s="180"/>
    </row>
    <row r="846" ht="15.75" customHeight="1">
      <c r="A846" s="203"/>
      <c r="C846" s="180"/>
    </row>
    <row r="847" ht="15.75" customHeight="1">
      <c r="A847" s="203"/>
      <c r="C847" s="180"/>
    </row>
    <row r="848" ht="15.75" customHeight="1">
      <c r="A848" s="203"/>
      <c r="C848" s="180"/>
    </row>
    <row r="849" ht="15.75" customHeight="1">
      <c r="A849" s="203"/>
      <c r="C849" s="180"/>
    </row>
    <row r="850" ht="15.75" customHeight="1">
      <c r="A850" s="203"/>
      <c r="C850" s="180"/>
    </row>
    <row r="851" ht="15.75" customHeight="1">
      <c r="A851" s="203"/>
      <c r="C851" s="180"/>
    </row>
    <row r="852" ht="15.75" customHeight="1">
      <c r="A852" s="203"/>
      <c r="C852" s="180"/>
    </row>
    <row r="853" ht="15.75" customHeight="1">
      <c r="A853" s="203"/>
      <c r="C853" s="180"/>
    </row>
    <row r="854" ht="15.75" customHeight="1">
      <c r="A854" s="203"/>
      <c r="C854" s="180"/>
    </row>
    <row r="855" ht="15.75" customHeight="1">
      <c r="A855" s="203"/>
      <c r="C855" s="180"/>
    </row>
    <row r="856" ht="15.75" customHeight="1">
      <c r="A856" s="203"/>
      <c r="C856" s="180"/>
    </row>
    <row r="857" ht="15.75" customHeight="1">
      <c r="A857" s="203"/>
      <c r="C857" s="180"/>
    </row>
    <row r="858" ht="15.75" customHeight="1">
      <c r="A858" s="203"/>
      <c r="C858" s="180"/>
    </row>
    <row r="859" ht="15.75" customHeight="1">
      <c r="A859" s="203"/>
      <c r="C859" s="180"/>
    </row>
    <row r="860" ht="15.75" customHeight="1">
      <c r="A860" s="203"/>
      <c r="C860" s="180"/>
    </row>
    <row r="861" ht="15.75" customHeight="1">
      <c r="A861" s="203"/>
      <c r="C861" s="180"/>
    </row>
    <row r="862" ht="15.75" customHeight="1">
      <c r="A862" s="203"/>
      <c r="C862" s="180"/>
    </row>
    <row r="863" ht="15.75" customHeight="1">
      <c r="A863" s="203"/>
      <c r="C863" s="180"/>
    </row>
    <row r="864" ht="15.75" customHeight="1">
      <c r="A864" s="203"/>
      <c r="C864" s="180"/>
    </row>
    <row r="865" ht="15.75" customHeight="1">
      <c r="A865" s="203"/>
      <c r="C865" s="180"/>
    </row>
    <row r="866" ht="15.75" customHeight="1">
      <c r="A866" s="203"/>
      <c r="C866" s="180"/>
    </row>
    <row r="867" ht="15.75" customHeight="1">
      <c r="A867" s="203"/>
      <c r="C867" s="180"/>
    </row>
    <row r="868" ht="15.75" customHeight="1">
      <c r="A868" s="203"/>
      <c r="C868" s="180"/>
    </row>
    <row r="869" ht="15.75" customHeight="1">
      <c r="A869" s="203"/>
      <c r="C869" s="180"/>
    </row>
    <row r="870" ht="15.75" customHeight="1">
      <c r="A870" s="203"/>
      <c r="C870" s="180"/>
    </row>
    <row r="871" ht="15.75" customHeight="1">
      <c r="A871" s="203"/>
      <c r="C871" s="180"/>
    </row>
    <row r="872" ht="15.75" customHeight="1">
      <c r="A872" s="203"/>
      <c r="C872" s="180"/>
    </row>
    <row r="873" ht="15.75" customHeight="1">
      <c r="A873" s="203"/>
      <c r="C873" s="180"/>
    </row>
    <row r="874" ht="15.75" customHeight="1">
      <c r="A874" s="203"/>
      <c r="C874" s="180"/>
    </row>
    <row r="875" ht="15.75" customHeight="1">
      <c r="A875" s="203"/>
      <c r="C875" s="180"/>
    </row>
    <row r="876" ht="15.75" customHeight="1">
      <c r="A876" s="203"/>
      <c r="C876" s="180"/>
    </row>
    <row r="877" ht="15.75" customHeight="1">
      <c r="A877" s="203"/>
      <c r="C877" s="180"/>
    </row>
    <row r="878" ht="15.75" customHeight="1">
      <c r="A878" s="203"/>
      <c r="C878" s="180"/>
    </row>
    <row r="879" ht="15.75" customHeight="1">
      <c r="A879" s="203"/>
      <c r="C879" s="180"/>
    </row>
    <row r="880" ht="15.75" customHeight="1">
      <c r="A880" s="203"/>
      <c r="C880" s="180"/>
    </row>
    <row r="881" ht="15.75" customHeight="1">
      <c r="A881" s="203"/>
      <c r="C881" s="180"/>
    </row>
    <row r="882" ht="15.75" customHeight="1">
      <c r="A882" s="203"/>
      <c r="C882" s="180"/>
    </row>
    <row r="883" ht="15.75" customHeight="1">
      <c r="A883" s="203"/>
      <c r="C883" s="180"/>
    </row>
    <row r="884" ht="15.75" customHeight="1">
      <c r="A884" s="203"/>
      <c r="C884" s="180"/>
    </row>
    <row r="885" ht="15.75" customHeight="1">
      <c r="A885" s="203"/>
      <c r="C885" s="180"/>
    </row>
    <row r="886" ht="15.75" customHeight="1">
      <c r="A886" s="203"/>
      <c r="C886" s="180"/>
    </row>
    <row r="887" ht="15.75" customHeight="1">
      <c r="A887" s="203"/>
      <c r="C887" s="180"/>
    </row>
    <row r="888" ht="15.75" customHeight="1">
      <c r="A888" s="203"/>
      <c r="C888" s="180"/>
    </row>
    <row r="889" ht="15.75" customHeight="1">
      <c r="A889" s="203"/>
      <c r="C889" s="180"/>
    </row>
    <row r="890" ht="15.75" customHeight="1">
      <c r="A890" s="203"/>
      <c r="C890" s="180"/>
    </row>
    <row r="891" ht="15.75" customHeight="1">
      <c r="A891" s="203"/>
      <c r="C891" s="180"/>
    </row>
    <row r="892" ht="15.75" customHeight="1">
      <c r="A892" s="203"/>
      <c r="C892" s="180"/>
    </row>
    <row r="893" ht="15.75" customHeight="1">
      <c r="A893" s="203"/>
      <c r="C893" s="180"/>
    </row>
    <row r="894" ht="15.75" customHeight="1">
      <c r="A894" s="203"/>
      <c r="C894" s="180"/>
    </row>
    <row r="895" ht="15.75" customHeight="1">
      <c r="A895" s="203"/>
      <c r="C895" s="180"/>
    </row>
    <row r="896" ht="15.75" customHeight="1">
      <c r="A896" s="203"/>
      <c r="C896" s="180"/>
    </row>
    <row r="897" ht="15.75" customHeight="1">
      <c r="A897" s="203"/>
      <c r="C897" s="180"/>
    </row>
    <row r="898" ht="15.75" customHeight="1">
      <c r="A898" s="203"/>
      <c r="C898" s="180"/>
    </row>
    <row r="899" ht="15.75" customHeight="1">
      <c r="A899" s="203"/>
      <c r="C899" s="180"/>
    </row>
    <row r="900" ht="15.75" customHeight="1">
      <c r="A900" s="203"/>
      <c r="C900" s="180"/>
    </row>
    <row r="901" ht="15.75" customHeight="1">
      <c r="A901" s="203"/>
      <c r="C901" s="180"/>
    </row>
    <row r="902" ht="15.75" customHeight="1">
      <c r="A902" s="203"/>
      <c r="C902" s="180"/>
    </row>
    <row r="903" ht="15.75" customHeight="1">
      <c r="A903" s="203"/>
      <c r="C903" s="180"/>
    </row>
    <row r="904" ht="15.75" customHeight="1">
      <c r="A904" s="203"/>
      <c r="C904" s="180"/>
    </row>
    <row r="905" ht="15.75" customHeight="1">
      <c r="A905" s="203"/>
      <c r="C905" s="180"/>
    </row>
    <row r="906" ht="15.75" customHeight="1">
      <c r="A906" s="203"/>
      <c r="C906" s="180"/>
    </row>
    <row r="907" ht="15.75" customHeight="1">
      <c r="A907" s="203"/>
      <c r="C907" s="180"/>
    </row>
    <row r="908" ht="15.75" customHeight="1">
      <c r="A908" s="203"/>
      <c r="C908" s="180"/>
    </row>
    <row r="909" ht="15.75" customHeight="1">
      <c r="A909" s="203"/>
      <c r="C909" s="180"/>
    </row>
    <row r="910" ht="15.75" customHeight="1">
      <c r="A910" s="203"/>
      <c r="C910" s="180"/>
    </row>
    <row r="911" ht="15.75" customHeight="1">
      <c r="A911" s="203"/>
      <c r="C911" s="180"/>
    </row>
    <row r="912" ht="15.75" customHeight="1">
      <c r="A912" s="203"/>
      <c r="C912" s="180"/>
    </row>
    <row r="913" ht="15.75" customHeight="1">
      <c r="A913" s="203"/>
      <c r="C913" s="180"/>
    </row>
    <row r="914" ht="15.75" customHeight="1">
      <c r="A914" s="203"/>
      <c r="C914" s="180"/>
    </row>
    <row r="915" ht="15.75" customHeight="1">
      <c r="A915" s="203"/>
      <c r="C915" s="180"/>
    </row>
    <row r="916" ht="15.75" customHeight="1">
      <c r="A916" s="203"/>
      <c r="C916" s="180"/>
    </row>
    <row r="917" ht="15.75" customHeight="1">
      <c r="A917" s="203"/>
      <c r="C917" s="180"/>
    </row>
    <row r="918" ht="15.75" customHeight="1">
      <c r="A918" s="203"/>
      <c r="C918" s="180"/>
    </row>
    <row r="919" ht="15.75" customHeight="1">
      <c r="A919" s="203"/>
      <c r="C919" s="180"/>
    </row>
    <row r="920" ht="15.75" customHeight="1">
      <c r="A920" s="203"/>
      <c r="C920" s="180"/>
    </row>
    <row r="921" ht="15.75" customHeight="1">
      <c r="A921" s="203"/>
      <c r="C921" s="180"/>
    </row>
    <row r="922" ht="15.75" customHeight="1">
      <c r="A922" s="203"/>
      <c r="C922" s="180"/>
    </row>
    <row r="923" ht="15.75" customHeight="1">
      <c r="A923" s="203"/>
      <c r="C923" s="180"/>
    </row>
    <row r="924" ht="15.75" customHeight="1">
      <c r="A924" s="203"/>
      <c r="C924" s="180"/>
    </row>
    <row r="925" ht="15.75" customHeight="1">
      <c r="A925" s="203"/>
      <c r="C925" s="180"/>
    </row>
    <row r="926" ht="15.75" customHeight="1">
      <c r="A926" s="203"/>
      <c r="C926" s="180"/>
    </row>
    <row r="927" ht="15.75" customHeight="1">
      <c r="A927" s="203"/>
      <c r="C927" s="180"/>
    </row>
    <row r="928" ht="15.75" customHeight="1">
      <c r="A928" s="203"/>
      <c r="C928" s="180"/>
    </row>
    <row r="929" ht="15.75" customHeight="1">
      <c r="A929" s="203"/>
      <c r="C929" s="180"/>
    </row>
    <row r="930" ht="15.75" customHeight="1">
      <c r="A930" s="203"/>
      <c r="C930" s="180"/>
    </row>
    <row r="931" ht="15.75" customHeight="1">
      <c r="A931" s="203"/>
      <c r="C931" s="180"/>
    </row>
    <row r="932" ht="15.75" customHeight="1">
      <c r="A932" s="203"/>
      <c r="C932" s="180"/>
    </row>
    <row r="933" ht="15.75" customHeight="1">
      <c r="A933" s="203"/>
      <c r="C933" s="180"/>
    </row>
    <row r="934" ht="15.75" customHeight="1">
      <c r="A934" s="203"/>
      <c r="C934" s="180"/>
    </row>
    <row r="935" ht="15.75" customHeight="1">
      <c r="A935" s="203"/>
      <c r="C935" s="180"/>
    </row>
    <row r="936" ht="15.75" customHeight="1">
      <c r="A936" s="203"/>
      <c r="C936" s="180"/>
    </row>
    <row r="937" ht="15.75" customHeight="1">
      <c r="A937" s="203"/>
      <c r="C937" s="180"/>
    </row>
    <row r="938" ht="15.75" customHeight="1">
      <c r="A938" s="203"/>
      <c r="C938" s="180"/>
    </row>
    <row r="939" ht="15.75" customHeight="1">
      <c r="A939" s="203"/>
      <c r="C939" s="180"/>
    </row>
    <row r="940" ht="15.75" customHeight="1">
      <c r="A940" s="203"/>
      <c r="C940" s="180"/>
    </row>
    <row r="941" ht="15.75" customHeight="1">
      <c r="A941" s="203"/>
      <c r="C941" s="180"/>
    </row>
    <row r="942" ht="15.75" customHeight="1">
      <c r="A942" s="203"/>
      <c r="C942" s="180"/>
    </row>
    <row r="943" ht="15.75" customHeight="1">
      <c r="A943" s="203"/>
      <c r="C943" s="180"/>
    </row>
    <row r="944" ht="15.75" customHeight="1">
      <c r="A944" s="203"/>
      <c r="C944" s="180"/>
    </row>
    <row r="945" ht="15.75" customHeight="1">
      <c r="A945" s="203"/>
      <c r="C945" s="180"/>
    </row>
    <row r="946" ht="15.75" customHeight="1">
      <c r="A946" s="203"/>
      <c r="C946" s="180"/>
    </row>
    <row r="947" ht="15.75" customHeight="1">
      <c r="A947" s="203"/>
      <c r="C947" s="180"/>
    </row>
    <row r="948" ht="15.75" customHeight="1">
      <c r="A948" s="203"/>
      <c r="C948" s="180"/>
    </row>
    <row r="949" ht="15.75" customHeight="1">
      <c r="A949" s="203"/>
      <c r="C949" s="180"/>
    </row>
    <row r="950" ht="15.75" customHeight="1">
      <c r="A950" s="203"/>
      <c r="C950" s="180"/>
    </row>
    <row r="951" ht="15.75" customHeight="1">
      <c r="A951" s="203"/>
      <c r="C951" s="180"/>
    </row>
    <row r="952" ht="15.75" customHeight="1">
      <c r="A952" s="203"/>
      <c r="C952" s="180"/>
    </row>
    <row r="953" ht="15.75" customHeight="1">
      <c r="A953" s="203"/>
      <c r="C953" s="180"/>
    </row>
    <row r="954" ht="15.75" customHeight="1">
      <c r="A954" s="203"/>
      <c r="C954" s="180"/>
    </row>
    <row r="955" ht="15.75" customHeight="1">
      <c r="A955" s="203"/>
      <c r="C955" s="180"/>
    </row>
    <row r="956" ht="15.75" customHeight="1">
      <c r="A956" s="203"/>
      <c r="C956" s="180"/>
    </row>
    <row r="957" ht="15.75" customHeight="1">
      <c r="A957" s="203"/>
      <c r="C957" s="180"/>
    </row>
    <row r="958" ht="15.75" customHeight="1">
      <c r="A958" s="203"/>
      <c r="C958" s="180"/>
    </row>
    <row r="959" ht="15.75" customHeight="1">
      <c r="A959" s="203"/>
      <c r="C959" s="180"/>
    </row>
    <row r="960" ht="15.75" customHeight="1">
      <c r="A960" s="203"/>
      <c r="C960" s="180"/>
    </row>
    <row r="961" ht="15.75" customHeight="1">
      <c r="A961" s="203"/>
      <c r="C961" s="180"/>
    </row>
    <row r="962" ht="15.75" customHeight="1">
      <c r="A962" s="203"/>
      <c r="C962" s="180"/>
    </row>
    <row r="963" ht="15.75" customHeight="1">
      <c r="A963" s="203"/>
      <c r="C963" s="180"/>
    </row>
    <row r="964" ht="15.75" customHeight="1">
      <c r="A964" s="203"/>
      <c r="C964" s="180"/>
    </row>
    <row r="965" ht="15.75" customHeight="1">
      <c r="A965" s="203"/>
      <c r="C965" s="180"/>
    </row>
    <row r="966" ht="15.75" customHeight="1">
      <c r="A966" s="203"/>
      <c r="C966" s="180"/>
    </row>
    <row r="967" ht="15.75" customHeight="1">
      <c r="A967" s="203"/>
      <c r="C967" s="180"/>
    </row>
    <row r="968" ht="15.75" customHeight="1">
      <c r="A968" s="203"/>
      <c r="C968" s="180"/>
    </row>
    <row r="969" ht="15.75" customHeight="1">
      <c r="A969" s="203"/>
      <c r="C969" s="180"/>
    </row>
    <row r="970" ht="15.75" customHeight="1">
      <c r="A970" s="203"/>
      <c r="C970" s="180"/>
    </row>
    <row r="971" ht="15.75" customHeight="1">
      <c r="A971" s="203"/>
      <c r="C971" s="180"/>
    </row>
    <row r="972" ht="15.75" customHeight="1">
      <c r="A972" s="203"/>
      <c r="C972" s="180"/>
    </row>
    <row r="973" ht="15.75" customHeight="1">
      <c r="A973" s="203"/>
      <c r="C973" s="180"/>
    </row>
    <row r="974" ht="15.75" customHeight="1">
      <c r="A974" s="203"/>
      <c r="C974" s="180"/>
    </row>
    <row r="975" ht="15.75" customHeight="1">
      <c r="A975" s="203"/>
      <c r="C975" s="180"/>
    </row>
    <row r="976" ht="15.75" customHeight="1">
      <c r="A976" s="203"/>
      <c r="C976" s="180"/>
    </row>
    <row r="977" ht="15.75" customHeight="1">
      <c r="A977" s="203"/>
      <c r="C977" s="180"/>
    </row>
    <row r="978" ht="15.75" customHeight="1">
      <c r="A978" s="203"/>
      <c r="C978" s="180"/>
    </row>
    <row r="979" ht="15.75" customHeight="1">
      <c r="A979" s="203"/>
      <c r="C979" s="180"/>
    </row>
    <row r="980" ht="15.75" customHeight="1">
      <c r="A980" s="203"/>
      <c r="C980" s="180"/>
    </row>
    <row r="981" ht="15.75" customHeight="1">
      <c r="A981" s="203"/>
      <c r="C981" s="180"/>
    </row>
    <row r="982" ht="15.75" customHeight="1">
      <c r="A982" s="203"/>
      <c r="C982" s="180"/>
    </row>
    <row r="983" ht="15.75" customHeight="1">
      <c r="A983" s="203"/>
      <c r="C983" s="180"/>
    </row>
    <row r="984" ht="15.75" customHeight="1">
      <c r="A984" s="203"/>
      <c r="C984" s="180"/>
    </row>
    <row r="985" ht="15.75" customHeight="1">
      <c r="A985" s="203"/>
      <c r="C985" s="180"/>
    </row>
    <row r="986" ht="15.75" customHeight="1">
      <c r="A986" s="203"/>
      <c r="C986" s="180"/>
    </row>
    <row r="987" ht="15.75" customHeight="1">
      <c r="A987" s="203"/>
      <c r="C987" s="180"/>
    </row>
    <row r="988" ht="15.75" customHeight="1">
      <c r="A988" s="203"/>
      <c r="C988" s="180"/>
    </row>
    <row r="989" ht="15.75" customHeight="1">
      <c r="A989" s="203"/>
      <c r="C989" s="180"/>
    </row>
    <row r="990" ht="15.75" customHeight="1">
      <c r="A990" s="203"/>
      <c r="C990" s="180"/>
    </row>
    <row r="991" ht="15.75" customHeight="1">
      <c r="A991" s="203"/>
      <c r="C991" s="180"/>
    </row>
    <row r="992" ht="15.75" customHeight="1">
      <c r="A992" s="203"/>
      <c r="C992" s="180"/>
    </row>
    <row r="993" ht="15.75" customHeight="1">
      <c r="A993" s="203"/>
      <c r="C993" s="180"/>
    </row>
    <row r="994" ht="15.75" customHeight="1">
      <c r="A994" s="203"/>
      <c r="C994" s="180"/>
    </row>
    <row r="995" ht="15.75" customHeight="1">
      <c r="A995" s="203"/>
      <c r="C995" s="180"/>
    </row>
    <row r="996" ht="15.75" customHeight="1">
      <c r="A996" s="203"/>
      <c r="C996" s="180"/>
    </row>
  </sheetData>
  <mergeCells count="6">
    <mergeCell ref="A2:A28"/>
    <mergeCell ref="A30:A35"/>
    <mergeCell ref="A36:A37"/>
    <mergeCell ref="A38:A39"/>
    <mergeCell ref="A40:A43"/>
    <mergeCell ref="A44:A48"/>
  </mergeCells>
  <dataValidations>
    <dataValidation type="list" allowBlank="1" showErrorMessage="1" sqref="E2:E28 E30:E48">
      <formula1>"yes,no"</formula1>
    </dataValidation>
    <dataValidation type="list" allowBlank="1" showErrorMessage="1" sqref="D2:D28 D30:D48">
      <formula1>"Text,Numeric,Image,Single select,Multiple select,Date,Autocalculate"</formula1>
    </dataValidation>
  </dataValidations>
  <printOptions/>
  <pageMargins bottom="0.75" footer="0.0" header="0.0" left="0.7" right="0.7" top="0.75"/>
  <pageSetup orientation="landscape"/>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38"/>
    <col customWidth="1" min="2" max="2" width="10.63"/>
    <col customWidth="1" min="3" max="3" width="51.5"/>
    <col customWidth="1" min="4" max="4" width="18.25"/>
    <col customWidth="1" min="5" max="5" width="12.63"/>
    <col customWidth="1" min="6" max="6" width="19.75"/>
    <col customWidth="1" min="11" max="11" width="38.5"/>
    <col customWidth="1" min="13" max="13" width="30.38"/>
    <col customWidth="1" min="15" max="15" width="17.25"/>
    <col customWidth="1" min="16" max="16" width="16.0"/>
  </cols>
  <sheetData>
    <row r="1" ht="15.75" customHeight="1">
      <c r="A1" s="147" t="s">
        <v>631</v>
      </c>
      <c r="B1" s="147" t="s">
        <v>632</v>
      </c>
      <c r="C1" s="147" t="s">
        <v>633</v>
      </c>
      <c r="D1" s="147" t="s">
        <v>634</v>
      </c>
      <c r="E1" s="147" t="s">
        <v>824</v>
      </c>
      <c r="F1" s="147" t="s">
        <v>636</v>
      </c>
      <c r="G1" s="147" t="s">
        <v>637</v>
      </c>
      <c r="H1" s="147" t="s">
        <v>638</v>
      </c>
      <c r="I1" s="147" t="s">
        <v>639</v>
      </c>
      <c r="J1" s="147" t="s">
        <v>640</v>
      </c>
      <c r="K1" s="147" t="s">
        <v>641</v>
      </c>
      <c r="L1" s="147" t="s">
        <v>642</v>
      </c>
      <c r="M1" s="184" t="s">
        <v>722</v>
      </c>
      <c r="N1" s="184" t="s">
        <v>723</v>
      </c>
      <c r="O1" s="184" t="s">
        <v>724</v>
      </c>
      <c r="P1" s="184" t="s">
        <v>725</v>
      </c>
      <c r="Q1" s="149"/>
      <c r="R1" s="149"/>
      <c r="S1" s="149"/>
      <c r="T1" s="149"/>
      <c r="U1" s="149"/>
      <c r="V1" s="149"/>
      <c r="W1" s="149"/>
      <c r="X1" s="149"/>
      <c r="Y1" s="149"/>
      <c r="Z1" s="149"/>
      <c r="AA1" s="149"/>
      <c r="AB1" s="149"/>
    </row>
    <row r="2" ht="15.75" customHeight="1">
      <c r="A2" s="150" t="s">
        <v>825</v>
      </c>
      <c r="B2" s="205"/>
      <c r="C2" s="206" t="s">
        <v>826</v>
      </c>
      <c r="D2" s="196" t="s">
        <v>649</v>
      </c>
      <c r="E2" s="205" t="s">
        <v>647</v>
      </c>
      <c r="F2" s="205"/>
      <c r="G2" s="205"/>
      <c r="H2" s="205"/>
      <c r="I2" s="205"/>
      <c r="J2" s="205"/>
      <c r="K2" s="205"/>
      <c r="L2" s="205"/>
      <c r="M2" s="205"/>
      <c r="N2" s="205"/>
      <c r="O2" s="205"/>
      <c r="P2" s="205"/>
      <c r="Q2" s="170"/>
      <c r="R2" s="170"/>
      <c r="S2" s="170"/>
      <c r="T2" s="170"/>
      <c r="U2" s="170"/>
      <c r="V2" s="170"/>
      <c r="W2" s="170"/>
      <c r="X2" s="170"/>
      <c r="Y2" s="170"/>
      <c r="Z2" s="170"/>
      <c r="AA2" s="170"/>
      <c r="AB2" s="170"/>
    </row>
    <row r="3" ht="15.75" customHeight="1">
      <c r="A3" s="26"/>
      <c r="B3" s="134"/>
      <c r="C3" s="207" t="s">
        <v>827</v>
      </c>
      <c r="D3" s="134" t="s">
        <v>655</v>
      </c>
      <c r="E3" s="134" t="s">
        <v>647</v>
      </c>
      <c r="F3" s="194"/>
      <c r="G3" s="194"/>
      <c r="H3" s="194"/>
      <c r="I3" s="134" t="s">
        <v>828</v>
      </c>
      <c r="J3" s="194"/>
      <c r="K3" s="194"/>
      <c r="L3" s="194"/>
      <c r="M3" s="194"/>
      <c r="N3" s="194"/>
      <c r="O3" s="194"/>
      <c r="P3" s="194"/>
    </row>
    <row r="4" ht="15.75" customHeight="1">
      <c r="A4" s="26"/>
      <c r="B4" s="194"/>
      <c r="C4" s="207" t="s">
        <v>829</v>
      </c>
      <c r="D4" s="134" t="s">
        <v>738</v>
      </c>
      <c r="E4" s="194" t="s">
        <v>647</v>
      </c>
      <c r="F4" s="194" t="s">
        <v>652</v>
      </c>
      <c r="G4" s="194"/>
      <c r="H4" s="194"/>
      <c r="I4" s="194"/>
      <c r="J4" s="194"/>
      <c r="K4" s="194"/>
      <c r="L4" s="134" t="s">
        <v>830</v>
      </c>
      <c r="M4" s="208"/>
      <c r="N4" s="194"/>
      <c r="O4" s="194"/>
      <c r="P4" s="194"/>
    </row>
    <row r="5" ht="54.0" customHeight="1">
      <c r="A5" s="26"/>
      <c r="B5" s="134"/>
      <c r="C5" s="209" t="s">
        <v>831</v>
      </c>
      <c r="D5" s="194" t="s">
        <v>689</v>
      </c>
      <c r="E5" s="194" t="s">
        <v>647</v>
      </c>
      <c r="F5" s="194"/>
      <c r="G5" s="194"/>
      <c r="H5" s="194"/>
      <c r="I5" s="194"/>
      <c r="J5" s="194"/>
      <c r="K5" s="194"/>
      <c r="L5" s="194"/>
      <c r="M5" s="210" t="s">
        <v>832</v>
      </c>
      <c r="N5" s="194" t="s">
        <v>833</v>
      </c>
      <c r="O5" s="194"/>
      <c r="P5" s="194"/>
    </row>
    <row r="6" ht="15.75" customHeight="1">
      <c r="A6" s="26"/>
      <c r="B6" s="134"/>
      <c r="C6" s="209" t="s">
        <v>834</v>
      </c>
      <c r="D6" s="134" t="s">
        <v>646</v>
      </c>
      <c r="E6" s="194" t="s">
        <v>647</v>
      </c>
      <c r="F6" s="194"/>
      <c r="G6" s="194"/>
      <c r="H6" s="194"/>
      <c r="I6" s="194"/>
      <c r="J6" s="194"/>
      <c r="K6" s="194"/>
      <c r="M6" s="194"/>
      <c r="N6" s="194"/>
      <c r="O6" s="194"/>
      <c r="P6" s="194"/>
    </row>
    <row r="7" ht="15.75" customHeight="1">
      <c r="A7" s="26"/>
      <c r="B7" s="194"/>
      <c r="C7" s="211" t="s">
        <v>835</v>
      </c>
      <c r="D7" s="194" t="s">
        <v>689</v>
      </c>
      <c r="E7" s="194" t="s">
        <v>647</v>
      </c>
      <c r="F7" s="194"/>
      <c r="G7" s="194"/>
      <c r="H7" s="194"/>
      <c r="I7" s="194"/>
      <c r="J7" s="194"/>
      <c r="K7" s="194"/>
      <c r="L7" s="134" t="s">
        <v>836</v>
      </c>
      <c r="M7" s="194"/>
      <c r="N7" s="194"/>
      <c r="O7" s="194"/>
      <c r="P7" s="194"/>
    </row>
    <row r="8" ht="15.75" customHeight="1">
      <c r="A8" s="26"/>
      <c r="B8" s="194"/>
      <c r="C8" s="212" t="s">
        <v>837</v>
      </c>
      <c r="D8" s="134" t="s">
        <v>655</v>
      </c>
      <c r="E8" s="194" t="s">
        <v>647</v>
      </c>
      <c r="F8" s="194"/>
      <c r="G8" s="194"/>
      <c r="H8" s="194"/>
      <c r="I8" s="194"/>
      <c r="J8" s="194"/>
      <c r="K8" s="133" t="s">
        <v>838</v>
      </c>
      <c r="L8" s="194"/>
      <c r="M8" s="194"/>
      <c r="N8" s="194"/>
      <c r="O8" s="194"/>
      <c r="P8" s="194"/>
    </row>
    <row r="9" ht="15.75" customHeight="1">
      <c r="A9" s="26"/>
      <c r="B9" s="134"/>
      <c r="C9" s="207" t="s">
        <v>839</v>
      </c>
      <c r="D9" s="134" t="s">
        <v>655</v>
      </c>
      <c r="E9" s="194" t="s">
        <v>647</v>
      </c>
      <c r="F9" s="194"/>
      <c r="G9" s="194"/>
      <c r="H9" s="194"/>
      <c r="I9" s="194"/>
      <c r="J9" s="194"/>
      <c r="K9" s="134" t="s">
        <v>840</v>
      </c>
      <c r="L9" s="208"/>
      <c r="M9" s="208"/>
      <c r="N9" s="194"/>
      <c r="O9" s="194"/>
      <c r="P9" s="194"/>
    </row>
    <row r="10" ht="15.75" customHeight="1">
      <c r="A10" s="26"/>
      <c r="B10" s="194"/>
      <c r="C10" s="212" t="s">
        <v>841</v>
      </c>
      <c r="D10" s="134" t="s">
        <v>655</v>
      </c>
      <c r="E10" s="194" t="s">
        <v>647</v>
      </c>
      <c r="F10" s="194"/>
      <c r="G10" s="194"/>
      <c r="H10" s="194"/>
      <c r="I10" s="194"/>
      <c r="J10" s="194"/>
      <c r="K10" s="194" t="s">
        <v>673</v>
      </c>
      <c r="L10" s="194"/>
      <c r="M10" s="194"/>
      <c r="N10" s="194"/>
      <c r="O10" s="194"/>
      <c r="P10" s="194"/>
    </row>
    <row r="11" ht="15.75" customHeight="1">
      <c r="A11" s="26"/>
      <c r="B11" s="194"/>
      <c r="C11" s="35" t="s">
        <v>842</v>
      </c>
      <c r="D11" s="134" t="s">
        <v>689</v>
      </c>
      <c r="E11" s="134" t="s">
        <v>647</v>
      </c>
      <c r="F11" s="194"/>
      <c r="G11" s="213"/>
      <c r="H11" s="213"/>
      <c r="I11" s="208"/>
      <c r="J11" s="194"/>
      <c r="K11" s="194"/>
      <c r="L11" s="134" t="s">
        <v>836</v>
      </c>
      <c r="M11" s="208"/>
      <c r="N11" s="194"/>
      <c r="O11" s="194"/>
      <c r="P11" s="194"/>
    </row>
    <row r="12" ht="15.75" customHeight="1">
      <c r="A12" s="26"/>
      <c r="B12" s="134"/>
      <c r="C12" s="207" t="s">
        <v>843</v>
      </c>
      <c r="D12" s="134" t="s">
        <v>655</v>
      </c>
      <c r="E12" s="134" t="s">
        <v>647</v>
      </c>
      <c r="F12" s="194"/>
      <c r="G12" s="208"/>
      <c r="H12" s="208"/>
      <c r="I12" s="208"/>
      <c r="J12" s="194"/>
      <c r="K12" s="194"/>
      <c r="L12" s="208"/>
      <c r="M12" s="208"/>
      <c r="N12" s="194"/>
      <c r="O12" s="194"/>
      <c r="P12" s="194"/>
    </row>
    <row r="13" ht="15.75" customHeight="1">
      <c r="A13" s="27"/>
      <c r="B13" s="194"/>
      <c r="C13" s="35" t="s">
        <v>844</v>
      </c>
      <c r="D13" s="194" t="s">
        <v>655</v>
      </c>
      <c r="E13" s="194" t="s">
        <v>647</v>
      </c>
      <c r="F13" s="194"/>
      <c r="G13" s="194"/>
      <c r="H13" s="194"/>
      <c r="I13" s="194"/>
      <c r="J13" s="194"/>
      <c r="K13" s="194" t="s">
        <v>673</v>
      </c>
      <c r="L13" s="208"/>
      <c r="M13" s="208"/>
      <c r="N13" s="194"/>
      <c r="O13" s="194"/>
      <c r="P13" s="194"/>
    </row>
    <row r="14" ht="15.75" customHeight="1">
      <c r="A14" s="214"/>
      <c r="B14" s="134"/>
      <c r="C14" s="207" t="s">
        <v>845</v>
      </c>
      <c r="D14" s="194" t="s">
        <v>689</v>
      </c>
      <c r="E14" s="194" t="s">
        <v>647</v>
      </c>
      <c r="F14" s="194"/>
      <c r="G14" s="194"/>
      <c r="H14" s="134" t="s">
        <v>846</v>
      </c>
      <c r="I14" s="194"/>
      <c r="J14" s="194"/>
      <c r="K14" s="194"/>
      <c r="L14" s="134" t="s">
        <v>836</v>
      </c>
      <c r="M14" s="208"/>
      <c r="N14" s="194"/>
      <c r="O14" s="194"/>
      <c r="P14" s="194"/>
    </row>
    <row r="15" ht="15.75" customHeight="1">
      <c r="A15" s="214"/>
      <c r="B15" s="194"/>
      <c r="C15" s="207" t="s">
        <v>847</v>
      </c>
      <c r="D15" s="194" t="s">
        <v>689</v>
      </c>
      <c r="E15" s="194" t="s">
        <v>647</v>
      </c>
      <c r="F15" s="194"/>
      <c r="G15" s="194"/>
      <c r="H15" s="134" t="s">
        <v>846</v>
      </c>
      <c r="I15" s="194"/>
      <c r="J15" s="194"/>
      <c r="K15" s="194"/>
      <c r="L15" s="134" t="s">
        <v>836</v>
      </c>
      <c r="M15" s="194"/>
      <c r="N15" s="194"/>
      <c r="O15" s="194"/>
      <c r="P15" s="194"/>
    </row>
    <row r="16" ht="15.75" customHeight="1">
      <c r="A16" s="215" t="s">
        <v>848</v>
      </c>
      <c r="B16" s="194"/>
      <c r="C16" s="35" t="s">
        <v>849</v>
      </c>
      <c r="D16" s="134" t="s">
        <v>655</v>
      </c>
      <c r="E16" s="134" t="s">
        <v>647</v>
      </c>
      <c r="F16" s="194"/>
      <c r="G16" s="194"/>
      <c r="H16" s="194"/>
      <c r="I16" s="208"/>
      <c r="J16" s="194"/>
      <c r="K16" s="134" t="s">
        <v>850</v>
      </c>
      <c r="L16" s="134"/>
      <c r="M16" s="194"/>
      <c r="N16" s="194"/>
      <c r="O16" s="194"/>
      <c r="P16" s="194"/>
    </row>
    <row r="17" ht="15.75" customHeight="1">
      <c r="A17" s="26"/>
      <c r="B17" s="194"/>
      <c r="C17" s="35" t="s">
        <v>848</v>
      </c>
      <c r="D17" s="134" t="s">
        <v>851</v>
      </c>
      <c r="E17" s="194" t="s">
        <v>647</v>
      </c>
      <c r="F17" s="194"/>
      <c r="G17" s="134" t="s">
        <v>852</v>
      </c>
      <c r="H17" s="194"/>
      <c r="I17" s="208"/>
      <c r="J17" s="194"/>
      <c r="K17" s="134" t="s">
        <v>853</v>
      </c>
      <c r="L17" s="134"/>
      <c r="M17" s="194"/>
      <c r="N17" s="194"/>
      <c r="O17" s="194"/>
      <c r="P17" s="194"/>
    </row>
    <row r="18" ht="15.75" customHeight="1">
      <c r="A18" s="26"/>
      <c r="B18" s="134"/>
      <c r="C18" s="35" t="s">
        <v>854</v>
      </c>
      <c r="D18" s="134" t="s">
        <v>646</v>
      </c>
      <c r="E18" s="134" t="s">
        <v>647</v>
      </c>
      <c r="F18" s="194"/>
      <c r="G18" s="134" t="s">
        <v>855</v>
      </c>
      <c r="H18" s="194"/>
      <c r="I18" s="208"/>
      <c r="J18" s="194"/>
      <c r="K18" s="134"/>
      <c r="L18" s="134"/>
      <c r="M18" s="194"/>
      <c r="N18" s="194"/>
      <c r="O18" s="194"/>
      <c r="P18" s="194"/>
    </row>
    <row r="19" ht="15.75" customHeight="1">
      <c r="A19" s="27"/>
      <c r="B19" s="134"/>
      <c r="C19" s="35" t="s">
        <v>856</v>
      </c>
      <c r="D19" s="194" t="s">
        <v>655</v>
      </c>
      <c r="E19" s="194" t="s">
        <v>647</v>
      </c>
      <c r="F19" s="194"/>
      <c r="G19" s="194"/>
      <c r="H19" s="194"/>
      <c r="I19" s="208"/>
      <c r="J19" s="194"/>
      <c r="K19" s="134" t="s">
        <v>673</v>
      </c>
      <c r="L19" s="134" t="s">
        <v>857</v>
      </c>
      <c r="M19" s="194"/>
      <c r="N19" s="194"/>
      <c r="O19" s="194"/>
      <c r="P19" s="194"/>
    </row>
    <row r="20" ht="15.75" customHeight="1">
      <c r="A20" s="150" t="s">
        <v>858</v>
      </c>
      <c r="B20" s="194"/>
      <c r="C20" s="35" t="s">
        <v>859</v>
      </c>
      <c r="D20" s="134" t="s">
        <v>851</v>
      </c>
      <c r="E20" s="194" t="s">
        <v>647</v>
      </c>
      <c r="F20" s="194"/>
      <c r="I20" s="133" t="s">
        <v>860</v>
      </c>
      <c r="J20" s="195"/>
      <c r="K20" s="133" t="s">
        <v>861</v>
      </c>
      <c r="L20" s="134" t="s">
        <v>862</v>
      </c>
      <c r="M20" s="194"/>
      <c r="N20" s="194"/>
      <c r="O20" s="194"/>
      <c r="P20" s="194"/>
    </row>
    <row r="21" ht="15.75" customHeight="1">
      <c r="A21" s="216"/>
      <c r="B21" s="194"/>
      <c r="C21" s="186" t="s">
        <v>863</v>
      </c>
      <c r="D21" s="194" t="s">
        <v>655</v>
      </c>
      <c r="E21" s="151" t="s">
        <v>647</v>
      </c>
      <c r="F21" s="151"/>
      <c r="G21" s="151"/>
      <c r="H21" s="151"/>
      <c r="I21" s="151"/>
      <c r="J21" s="151"/>
      <c r="K21" s="40" t="s">
        <v>673</v>
      </c>
      <c r="L21" s="194"/>
      <c r="M21" s="194"/>
      <c r="N21" s="194"/>
      <c r="O21" s="194"/>
      <c r="P21" s="194"/>
    </row>
    <row r="22" ht="15.75" customHeight="1">
      <c r="A22" s="216" t="s">
        <v>864</v>
      </c>
      <c r="B22" s="194"/>
      <c r="C22" s="186" t="s">
        <v>865</v>
      </c>
      <c r="D22" s="156" t="s">
        <v>851</v>
      </c>
      <c r="E22" s="156" t="s">
        <v>647</v>
      </c>
      <c r="F22" s="151"/>
      <c r="G22" s="156" t="s">
        <v>866</v>
      </c>
      <c r="H22" s="151"/>
      <c r="I22" s="151"/>
      <c r="J22" s="151"/>
      <c r="K22" s="40" t="s">
        <v>867</v>
      </c>
      <c r="L22" s="194"/>
      <c r="M22" s="194"/>
      <c r="N22" s="194"/>
      <c r="O22" s="194"/>
      <c r="P22" s="194"/>
    </row>
    <row r="23" ht="15.75" customHeight="1">
      <c r="A23" s="26"/>
      <c r="B23" s="134"/>
      <c r="C23" s="186" t="s">
        <v>868</v>
      </c>
      <c r="D23" s="156" t="s">
        <v>646</v>
      </c>
      <c r="E23" s="156" t="s">
        <v>647</v>
      </c>
      <c r="F23" s="151"/>
      <c r="G23" s="156" t="s">
        <v>869</v>
      </c>
      <c r="H23" s="151"/>
      <c r="I23" s="151"/>
      <c r="J23" s="151"/>
      <c r="K23" s="134"/>
      <c r="L23" s="208"/>
      <c r="M23" s="208"/>
      <c r="N23" s="194"/>
      <c r="O23" s="194"/>
      <c r="P23" s="194"/>
    </row>
    <row r="24" ht="15.75" customHeight="1">
      <c r="A24" s="27"/>
      <c r="B24" s="134"/>
      <c r="C24" s="186" t="s">
        <v>870</v>
      </c>
      <c r="D24" s="156" t="s">
        <v>851</v>
      </c>
      <c r="E24" s="156" t="s">
        <v>647</v>
      </c>
      <c r="F24" s="151"/>
      <c r="G24" s="156" t="s">
        <v>866</v>
      </c>
      <c r="H24" s="151"/>
      <c r="I24" s="151"/>
      <c r="J24" s="151"/>
      <c r="K24" s="134" t="s">
        <v>871</v>
      </c>
      <c r="L24" s="134" t="s">
        <v>862</v>
      </c>
      <c r="M24" s="208"/>
      <c r="N24" s="194"/>
      <c r="O24" s="194"/>
      <c r="P24" s="194"/>
    </row>
    <row r="25" ht="15.75" customHeight="1">
      <c r="A25" s="150" t="s">
        <v>872</v>
      </c>
      <c r="B25" s="134"/>
      <c r="C25" s="209" t="s">
        <v>873</v>
      </c>
      <c r="D25" s="134" t="s">
        <v>655</v>
      </c>
      <c r="E25" s="194" t="s">
        <v>647</v>
      </c>
      <c r="F25" s="194"/>
      <c r="G25" s="134" t="s">
        <v>874</v>
      </c>
      <c r="H25" s="186"/>
      <c r="I25" s="194"/>
      <c r="J25" s="194"/>
      <c r="K25" s="194" t="s">
        <v>673</v>
      </c>
      <c r="L25" s="194"/>
      <c r="M25" s="40"/>
      <c r="N25" s="194"/>
      <c r="O25" s="194"/>
      <c r="P25" s="194"/>
    </row>
    <row r="26" ht="15.75" customHeight="1">
      <c r="A26" s="26"/>
      <c r="B26" s="134"/>
      <c r="C26" s="209" t="s">
        <v>875</v>
      </c>
      <c r="D26" s="134" t="s">
        <v>876</v>
      </c>
      <c r="E26" s="194"/>
      <c r="F26" s="194"/>
      <c r="G26" s="134" t="s">
        <v>877</v>
      </c>
      <c r="H26" s="194"/>
      <c r="I26" s="194"/>
      <c r="J26" s="194"/>
      <c r="K26" s="194"/>
      <c r="L26" s="194"/>
      <c r="M26" s="194"/>
      <c r="N26" s="194"/>
      <c r="O26" s="194"/>
      <c r="P26" s="194"/>
    </row>
    <row r="27" ht="15.75" customHeight="1">
      <c r="A27" s="26"/>
      <c r="B27" s="134"/>
      <c r="C27" s="209" t="s">
        <v>878</v>
      </c>
      <c r="D27" s="134" t="s">
        <v>655</v>
      </c>
      <c r="E27" s="194" t="s">
        <v>647</v>
      </c>
      <c r="F27" s="194"/>
      <c r="G27" s="134" t="s">
        <v>874</v>
      </c>
      <c r="H27" s="186"/>
      <c r="I27" s="194"/>
      <c r="J27" s="194"/>
      <c r="K27" s="194" t="s">
        <v>673</v>
      </c>
      <c r="L27" s="194"/>
      <c r="M27" s="40"/>
      <c r="N27" s="194"/>
      <c r="O27" s="194"/>
      <c r="P27" s="194"/>
    </row>
    <row r="28" ht="15.75" customHeight="1">
      <c r="A28" s="27"/>
      <c r="B28" s="134"/>
      <c r="C28" s="209" t="s">
        <v>879</v>
      </c>
      <c r="D28" s="134" t="s">
        <v>876</v>
      </c>
      <c r="E28" s="194"/>
      <c r="F28" s="194"/>
      <c r="G28" s="134" t="s">
        <v>880</v>
      </c>
      <c r="H28" s="194"/>
      <c r="I28" s="194"/>
      <c r="J28" s="194"/>
      <c r="K28" s="194"/>
      <c r="L28" s="194"/>
      <c r="M28" s="194"/>
      <c r="N28" s="194"/>
      <c r="O28" s="194"/>
      <c r="P28" s="194"/>
    </row>
    <row r="29" ht="15.75" customHeight="1">
      <c r="A29" s="150" t="s">
        <v>881</v>
      </c>
      <c r="B29" s="134"/>
      <c r="C29" s="209" t="s">
        <v>882</v>
      </c>
      <c r="D29" s="134" t="s">
        <v>655</v>
      </c>
      <c r="E29" s="134" t="s">
        <v>728</v>
      </c>
      <c r="F29" s="194"/>
      <c r="G29" s="194"/>
      <c r="H29" s="194"/>
      <c r="I29" s="134" t="s">
        <v>883</v>
      </c>
      <c r="J29" s="194"/>
      <c r="K29" s="194"/>
      <c r="L29" s="194"/>
      <c r="M29" s="134"/>
      <c r="N29" s="194"/>
      <c r="O29" s="194"/>
      <c r="P29" s="194"/>
      <c r="Q29" s="149"/>
      <c r="R29" s="149"/>
      <c r="S29" s="149"/>
      <c r="T29" s="149"/>
      <c r="U29" s="149"/>
      <c r="V29" s="149"/>
      <c r="W29" s="149"/>
      <c r="X29" s="149"/>
      <c r="Y29" s="149"/>
      <c r="Z29" s="149"/>
      <c r="AA29" s="149"/>
      <c r="AB29" s="149"/>
    </row>
    <row r="30" ht="15.75" customHeight="1">
      <c r="A30" s="26"/>
      <c r="B30" s="134"/>
      <c r="C30" s="209" t="s">
        <v>884</v>
      </c>
      <c r="D30" s="133" t="s">
        <v>851</v>
      </c>
      <c r="E30" s="134" t="s">
        <v>647</v>
      </c>
      <c r="F30" s="194"/>
      <c r="G30" s="194"/>
      <c r="H30" s="194"/>
      <c r="I30" s="134" t="s">
        <v>885</v>
      </c>
      <c r="J30" s="194"/>
      <c r="K30" s="194"/>
      <c r="L30" s="194"/>
      <c r="M30" s="134"/>
      <c r="N30" s="194"/>
      <c r="O30" s="194"/>
      <c r="P30" s="194"/>
      <c r="Q30" s="149"/>
      <c r="R30" s="149"/>
      <c r="S30" s="149"/>
      <c r="T30" s="149"/>
      <c r="U30" s="149"/>
      <c r="V30" s="149"/>
      <c r="W30" s="149"/>
      <c r="X30" s="149"/>
      <c r="Y30" s="149"/>
      <c r="Z30" s="149"/>
      <c r="AA30" s="149"/>
      <c r="AB30" s="149"/>
    </row>
    <row r="31" ht="15.75" customHeight="1">
      <c r="A31" s="26"/>
      <c r="B31" s="134"/>
      <c r="C31" s="209" t="s">
        <v>886</v>
      </c>
      <c r="D31" s="134" t="s">
        <v>851</v>
      </c>
      <c r="E31" s="134" t="s">
        <v>647</v>
      </c>
      <c r="F31" s="194"/>
      <c r="G31" s="134" t="s">
        <v>887</v>
      </c>
      <c r="H31" s="194"/>
      <c r="I31" s="208"/>
      <c r="J31" s="194"/>
      <c r="K31" s="134" t="s">
        <v>888</v>
      </c>
      <c r="L31" s="194"/>
      <c r="M31" s="208"/>
      <c r="N31" s="194"/>
      <c r="O31" s="194"/>
      <c r="P31" s="194"/>
      <c r="Q31" s="151"/>
      <c r="R31" s="151"/>
      <c r="S31" s="151"/>
      <c r="T31" s="151"/>
      <c r="U31" s="151"/>
      <c r="V31" s="151"/>
      <c r="W31" s="151"/>
      <c r="X31" s="151"/>
      <c r="Y31" s="151"/>
      <c r="Z31" s="151"/>
      <c r="AA31" s="151"/>
      <c r="AB31" s="151"/>
    </row>
    <row r="32" ht="15.75" customHeight="1">
      <c r="A32" s="26"/>
      <c r="B32" s="134"/>
      <c r="C32" s="209" t="s">
        <v>889</v>
      </c>
      <c r="D32" s="134" t="s">
        <v>646</v>
      </c>
      <c r="E32" s="134" t="s">
        <v>647</v>
      </c>
      <c r="F32" s="194"/>
      <c r="G32" s="134" t="s">
        <v>890</v>
      </c>
      <c r="H32" s="194"/>
      <c r="I32" s="134"/>
      <c r="J32" s="194"/>
      <c r="K32" s="134"/>
      <c r="L32" s="194"/>
      <c r="M32" s="134"/>
      <c r="N32" s="194"/>
      <c r="O32" s="194"/>
      <c r="P32" s="194"/>
      <c r="Q32" s="149"/>
      <c r="R32" s="149"/>
      <c r="S32" s="149"/>
      <c r="T32" s="149"/>
      <c r="U32" s="149"/>
      <c r="V32" s="149"/>
      <c r="W32" s="149"/>
      <c r="X32" s="149"/>
      <c r="Y32" s="149"/>
      <c r="Z32" s="149"/>
      <c r="AA32" s="149"/>
      <c r="AB32" s="149"/>
    </row>
    <row r="33" ht="15.75" customHeight="1">
      <c r="A33" s="26"/>
      <c r="B33" s="134"/>
      <c r="C33" s="209" t="s">
        <v>891</v>
      </c>
      <c r="D33" s="134" t="s">
        <v>851</v>
      </c>
      <c r="E33" s="194"/>
      <c r="F33" s="194"/>
      <c r="G33" s="134" t="s">
        <v>892</v>
      </c>
      <c r="H33" s="194"/>
      <c r="I33" s="134"/>
      <c r="J33" s="194"/>
      <c r="K33" s="134" t="s">
        <v>893</v>
      </c>
      <c r="L33" s="194"/>
      <c r="M33" s="134"/>
      <c r="N33" s="194"/>
      <c r="O33" s="194"/>
      <c r="P33" s="194"/>
      <c r="Q33" s="149"/>
      <c r="R33" s="149"/>
      <c r="S33" s="149"/>
      <c r="T33" s="149"/>
      <c r="U33" s="149"/>
      <c r="V33" s="149"/>
      <c r="W33" s="149"/>
      <c r="X33" s="149"/>
      <c r="Y33" s="149"/>
      <c r="Z33" s="149"/>
      <c r="AA33" s="149"/>
      <c r="AB33" s="149"/>
    </row>
    <row r="34" ht="15.75" customHeight="1">
      <c r="A34" s="26"/>
      <c r="B34" s="134"/>
      <c r="C34" s="209" t="s">
        <v>894</v>
      </c>
      <c r="D34" s="134" t="s">
        <v>646</v>
      </c>
      <c r="E34" s="134" t="s">
        <v>647</v>
      </c>
      <c r="F34" s="194"/>
      <c r="G34" s="134" t="s">
        <v>895</v>
      </c>
      <c r="H34" s="194"/>
      <c r="I34" s="134"/>
      <c r="J34" s="194"/>
      <c r="K34" s="134"/>
      <c r="L34" s="194"/>
      <c r="M34" s="134"/>
      <c r="N34" s="194"/>
      <c r="O34" s="194"/>
      <c r="P34" s="194"/>
      <c r="Q34" s="149"/>
      <c r="R34" s="149"/>
      <c r="S34" s="149"/>
      <c r="T34" s="149"/>
      <c r="U34" s="149"/>
      <c r="V34" s="149"/>
      <c r="W34" s="149"/>
      <c r="X34" s="149"/>
      <c r="Y34" s="149"/>
      <c r="Z34" s="149"/>
      <c r="AA34" s="149"/>
      <c r="AB34" s="149"/>
    </row>
    <row r="35" ht="15.75" customHeight="1">
      <c r="A35" s="27"/>
      <c r="B35" s="134"/>
      <c r="C35" s="209" t="s">
        <v>896</v>
      </c>
      <c r="D35" s="134" t="s">
        <v>851</v>
      </c>
      <c r="E35" s="194"/>
      <c r="F35" s="194"/>
      <c r="G35" s="134" t="s">
        <v>897</v>
      </c>
      <c r="H35" s="194"/>
      <c r="I35" s="134"/>
      <c r="J35" s="194"/>
      <c r="K35" s="134" t="s">
        <v>898</v>
      </c>
      <c r="L35" s="194"/>
      <c r="M35" s="134"/>
      <c r="N35" s="194"/>
      <c r="O35" s="194"/>
      <c r="P35" s="194"/>
      <c r="Q35" s="149"/>
      <c r="R35" s="149"/>
      <c r="S35" s="149"/>
      <c r="T35" s="149"/>
      <c r="U35" s="149"/>
      <c r="V35" s="149"/>
      <c r="W35" s="149"/>
      <c r="X35" s="149"/>
      <c r="Y35" s="149"/>
      <c r="Z35" s="149"/>
      <c r="AA35" s="149"/>
      <c r="AB35" s="149"/>
    </row>
    <row r="36" ht="15.75" customHeight="1">
      <c r="C36" s="209" t="s">
        <v>899</v>
      </c>
      <c r="D36" s="134" t="s">
        <v>646</v>
      </c>
      <c r="E36" s="134" t="s">
        <v>647</v>
      </c>
      <c r="F36" s="194"/>
      <c r="G36" s="134" t="s">
        <v>900</v>
      </c>
      <c r="H36" s="194"/>
      <c r="I36" s="134"/>
      <c r="J36" s="194"/>
      <c r="K36" s="134"/>
      <c r="L36" s="194"/>
      <c r="M36" s="134"/>
      <c r="N36" s="194"/>
      <c r="O36" s="194"/>
      <c r="P36" s="194"/>
    </row>
    <row r="37">
      <c r="C37" s="42" t="s">
        <v>901</v>
      </c>
      <c r="D37" s="42" t="s">
        <v>876</v>
      </c>
      <c r="E37" s="42" t="s">
        <v>307</v>
      </c>
    </row>
    <row r="44" ht="15.75" customHeight="1">
      <c r="C44" s="155"/>
    </row>
    <row r="45" ht="15.75" customHeight="1">
      <c r="C45" s="155"/>
    </row>
    <row r="46" ht="15.75" customHeight="1">
      <c r="C46" s="155"/>
    </row>
    <row r="47" ht="15.75" customHeight="1">
      <c r="C47" s="155"/>
    </row>
    <row r="48" ht="15.75" customHeight="1">
      <c r="C48" s="155"/>
    </row>
    <row r="49" ht="15.75" customHeight="1">
      <c r="C49" s="155"/>
    </row>
    <row r="50" ht="15.75" customHeight="1">
      <c r="C50" s="155"/>
    </row>
    <row r="51" ht="15.75" customHeight="1">
      <c r="C51" s="155"/>
    </row>
    <row r="52" ht="15.75" customHeight="1">
      <c r="C52" s="155"/>
    </row>
    <row r="53" ht="15.75" customHeight="1">
      <c r="C53" s="155"/>
    </row>
    <row r="54" ht="15.75" customHeight="1">
      <c r="C54" s="155"/>
    </row>
    <row r="55" ht="15.75" customHeight="1">
      <c r="C55" s="155"/>
    </row>
    <row r="56" ht="15.75" customHeight="1">
      <c r="C56" s="155"/>
    </row>
    <row r="57" ht="15.75" customHeight="1">
      <c r="C57" s="155"/>
    </row>
    <row r="58" ht="15.75" customHeight="1">
      <c r="C58" s="155"/>
    </row>
    <row r="59" ht="15.75" customHeight="1">
      <c r="C59" s="155"/>
    </row>
    <row r="60" ht="15.75" customHeight="1">
      <c r="C60" s="155"/>
    </row>
    <row r="61" ht="15.75" customHeight="1">
      <c r="C61" s="155"/>
    </row>
    <row r="62" ht="15.75" customHeight="1">
      <c r="C62" s="155"/>
    </row>
    <row r="63" ht="15.75" customHeight="1">
      <c r="C63" s="155"/>
    </row>
    <row r="64" ht="15.75" customHeight="1">
      <c r="C64" s="155"/>
    </row>
    <row r="65" ht="15.75" customHeight="1">
      <c r="C65" s="155"/>
    </row>
    <row r="66" ht="15.75" customHeight="1">
      <c r="C66" s="155"/>
    </row>
    <row r="67" ht="15.75" customHeight="1">
      <c r="C67" s="155"/>
    </row>
    <row r="68" ht="15.75" customHeight="1">
      <c r="C68" s="155"/>
    </row>
    <row r="69" ht="15.75" customHeight="1">
      <c r="C69" s="155"/>
    </row>
    <row r="70" ht="15.75" customHeight="1">
      <c r="C70" s="155"/>
    </row>
    <row r="71" ht="15.75" customHeight="1">
      <c r="C71" s="155"/>
    </row>
    <row r="72" ht="15.75" customHeight="1">
      <c r="C72" s="155"/>
    </row>
    <row r="73" ht="15.75" customHeight="1">
      <c r="C73" s="155"/>
    </row>
    <row r="74" ht="15.75" customHeight="1">
      <c r="C74" s="155"/>
    </row>
    <row r="75" ht="15.75" customHeight="1">
      <c r="C75" s="155"/>
    </row>
    <row r="76" ht="15.75" customHeight="1">
      <c r="C76" s="155"/>
    </row>
    <row r="77" ht="15.75" customHeight="1">
      <c r="C77" s="155"/>
    </row>
    <row r="78" ht="15.75" customHeight="1">
      <c r="C78" s="155"/>
    </row>
    <row r="79" ht="15.75" customHeight="1">
      <c r="C79" s="155"/>
    </row>
    <row r="80" ht="15.75" customHeight="1">
      <c r="C80" s="155"/>
    </row>
    <row r="81" ht="15.75" customHeight="1">
      <c r="C81" s="155"/>
    </row>
    <row r="82" ht="15.75" customHeight="1">
      <c r="C82" s="155"/>
    </row>
    <row r="83" ht="15.75" customHeight="1">
      <c r="C83" s="155"/>
    </row>
    <row r="84" ht="15.75" customHeight="1">
      <c r="C84" s="155"/>
    </row>
    <row r="85" ht="15.75" customHeight="1">
      <c r="C85" s="155"/>
    </row>
    <row r="86" ht="15.75" customHeight="1">
      <c r="C86" s="155"/>
    </row>
    <row r="87" ht="15.75" customHeight="1">
      <c r="C87" s="155"/>
    </row>
    <row r="88" ht="15.75" customHeight="1">
      <c r="C88" s="155"/>
    </row>
    <row r="89" ht="15.75" customHeight="1">
      <c r="C89" s="155"/>
    </row>
    <row r="90" ht="15.75" customHeight="1">
      <c r="C90" s="155"/>
    </row>
    <row r="91" ht="15.75" customHeight="1">
      <c r="C91" s="155"/>
    </row>
    <row r="92" ht="15.75" customHeight="1">
      <c r="C92" s="155"/>
    </row>
    <row r="93" ht="15.75" customHeight="1">
      <c r="C93" s="155"/>
    </row>
    <row r="94" ht="15.75" customHeight="1">
      <c r="C94" s="155"/>
    </row>
    <row r="95" ht="15.75" customHeight="1">
      <c r="C95" s="155"/>
    </row>
    <row r="96" ht="15.75" customHeight="1">
      <c r="C96" s="155"/>
    </row>
    <row r="97" ht="15.75" customHeight="1">
      <c r="C97" s="155"/>
    </row>
    <row r="98" ht="15.75" customHeight="1">
      <c r="C98" s="155"/>
    </row>
    <row r="99" ht="15.75" customHeight="1">
      <c r="C99" s="155"/>
    </row>
    <row r="100" ht="15.75" customHeight="1">
      <c r="C100" s="155"/>
    </row>
    <row r="101" ht="15.75" customHeight="1">
      <c r="C101" s="155"/>
    </row>
    <row r="102" ht="15.75" customHeight="1">
      <c r="C102" s="155"/>
    </row>
    <row r="103" ht="15.75" customHeight="1">
      <c r="C103" s="155"/>
    </row>
    <row r="104" ht="15.75" customHeight="1">
      <c r="C104" s="155"/>
    </row>
    <row r="105" ht="15.75" customHeight="1">
      <c r="C105" s="155"/>
    </row>
    <row r="106" ht="15.75" customHeight="1">
      <c r="C106" s="155"/>
    </row>
    <row r="107" ht="15.75" customHeight="1">
      <c r="C107" s="155"/>
    </row>
    <row r="108" ht="15.75" customHeight="1">
      <c r="C108" s="155"/>
    </row>
    <row r="109" ht="15.75" customHeight="1">
      <c r="C109" s="155"/>
    </row>
    <row r="110" ht="15.75" customHeight="1">
      <c r="C110" s="155"/>
    </row>
    <row r="111" ht="15.75" customHeight="1">
      <c r="C111" s="155"/>
    </row>
    <row r="112" ht="15.75" customHeight="1">
      <c r="C112" s="155"/>
    </row>
    <row r="113" ht="15.75" customHeight="1">
      <c r="C113" s="155"/>
    </row>
    <row r="114" ht="15.75" customHeight="1">
      <c r="C114" s="155"/>
    </row>
    <row r="115" ht="15.75" customHeight="1">
      <c r="C115" s="155"/>
      <c r="L115" s="217"/>
    </row>
    <row r="116" ht="15.75" customHeight="1">
      <c r="C116" s="155"/>
      <c r="L116" s="217"/>
    </row>
    <row r="117" ht="15.75" customHeight="1">
      <c r="C117" s="155"/>
      <c r="L117" s="217"/>
    </row>
    <row r="118" ht="15.75" customHeight="1">
      <c r="C118" s="155"/>
      <c r="O118" s="149" t="s">
        <v>902</v>
      </c>
    </row>
    <row r="119" ht="15.75" customHeight="1">
      <c r="C119" s="155"/>
      <c r="L119" s="149"/>
      <c r="O119" s="149" t="s">
        <v>902</v>
      </c>
    </row>
    <row r="120" ht="15.75" customHeight="1">
      <c r="C120" s="155"/>
      <c r="L120" s="217" t="s">
        <v>903</v>
      </c>
      <c r="O120" s="149" t="s">
        <v>904</v>
      </c>
    </row>
    <row r="121" ht="15.75" customHeight="1">
      <c r="C121" s="155"/>
    </row>
    <row r="122" ht="15.75" customHeight="1">
      <c r="C122" s="155"/>
    </row>
    <row r="123" ht="15.75" customHeight="1">
      <c r="C123" s="155"/>
    </row>
    <row r="124" ht="15.75" customHeight="1">
      <c r="C124" s="155"/>
    </row>
    <row r="125" ht="15.75" customHeight="1">
      <c r="C125" s="155"/>
    </row>
    <row r="126" ht="15.75" customHeight="1">
      <c r="C126" s="155"/>
    </row>
    <row r="127" ht="15.75" customHeight="1">
      <c r="C127" s="155"/>
    </row>
    <row r="128" ht="15.75" customHeight="1">
      <c r="C128" s="155"/>
    </row>
    <row r="129" ht="15.75" customHeight="1">
      <c r="C129" s="155"/>
    </row>
    <row r="130" ht="15.75" customHeight="1">
      <c r="C130" s="155"/>
    </row>
    <row r="131" ht="15.75" customHeight="1">
      <c r="C131" s="155"/>
    </row>
    <row r="132" ht="15.75" customHeight="1">
      <c r="C132" s="155"/>
    </row>
    <row r="133" ht="15.75" customHeight="1">
      <c r="C133" s="155"/>
    </row>
    <row r="134" ht="15.75" customHeight="1">
      <c r="C134" s="155"/>
    </row>
    <row r="135" ht="15.75" customHeight="1">
      <c r="C135" s="155"/>
    </row>
    <row r="136" ht="15.75" customHeight="1">
      <c r="C136" s="155"/>
    </row>
    <row r="137" ht="15.75" customHeight="1">
      <c r="C137" s="155"/>
    </row>
    <row r="138" ht="15.75" customHeight="1">
      <c r="C138" s="155"/>
    </row>
    <row r="139" ht="15.75" customHeight="1">
      <c r="C139" s="155"/>
    </row>
    <row r="140" ht="15.75" customHeight="1">
      <c r="C140" s="155"/>
    </row>
    <row r="141" ht="15.75" customHeight="1">
      <c r="C141" s="155"/>
    </row>
    <row r="142" ht="15.75" customHeight="1">
      <c r="C142" s="155"/>
    </row>
    <row r="143" ht="15.75" customHeight="1">
      <c r="C143" s="155"/>
    </row>
    <row r="144" ht="15.75" customHeight="1">
      <c r="C144" s="155"/>
    </row>
    <row r="145" ht="15.75" customHeight="1">
      <c r="C145" s="155"/>
    </row>
    <row r="146" ht="15.75" customHeight="1">
      <c r="C146" s="155"/>
    </row>
    <row r="147" ht="15.75" customHeight="1">
      <c r="C147" s="155"/>
    </row>
    <row r="148" ht="15.75" customHeight="1">
      <c r="C148" s="155"/>
    </row>
    <row r="149" ht="15.75" customHeight="1">
      <c r="C149" s="155"/>
    </row>
    <row r="150" ht="15.75" customHeight="1">
      <c r="C150" s="155"/>
    </row>
    <row r="151" ht="15.75" customHeight="1">
      <c r="C151" s="155"/>
    </row>
    <row r="152" ht="15.75" customHeight="1">
      <c r="C152" s="155"/>
    </row>
    <row r="153" ht="15.75" customHeight="1">
      <c r="C153" s="155"/>
    </row>
    <row r="154" ht="15.75" customHeight="1">
      <c r="C154" s="155"/>
    </row>
    <row r="155" ht="15.75" customHeight="1">
      <c r="C155" s="155"/>
    </row>
    <row r="156" ht="15.75" customHeight="1">
      <c r="C156" s="155"/>
    </row>
    <row r="157" ht="15.75" customHeight="1">
      <c r="C157" s="155"/>
    </row>
    <row r="158" ht="15.75" customHeight="1">
      <c r="C158" s="155"/>
    </row>
    <row r="159" ht="15.75" customHeight="1">
      <c r="C159" s="155"/>
    </row>
    <row r="160" ht="15.75" customHeight="1">
      <c r="C160" s="155"/>
    </row>
    <row r="161" ht="15.75" customHeight="1">
      <c r="C161" s="155"/>
    </row>
    <row r="162" ht="15.75" customHeight="1">
      <c r="C162" s="155"/>
    </row>
    <row r="163" ht="15.75" customHeight="1">
      <c r="C163" s="155"/>
    </row>
    <row r="164" ht="15.75" customHeight="1">
      <c r="C164" s="155"/>
    </row>
    <row r="165" ht="15.75" customHeight="1">
      <c r="C165" s="155"/>
    </row>
    <row r="166" ht="15.75" customHeight="1">
      <c r="C166" s="155"/>
    </row>
    <row r="167" ht="15.75" customHeight="1">
      <c r="C167" s="155"/>
    </row>
    <row r="168" ht="15.75" customHeight="1">
      <c r="C168" s="155"/>
    </row>
    <row r="169" ht="15.75" customHeight="1">
      <c r="C169" s="155"/>
    </row>
    <row r="170" ht="15.75" customHeight="1">
      <c r="C170" s="155"/>
    </row>
    <row r="171" ht="15.75" customHeight="1">
      <c r="C171" s="155"/>
    </row>
    <row r="172" ht="15.75" customHeight="1">
      <c r="C172" s="155"/>
    </row>
    <row r="173" ht="15.75" customHeight="1">
      <c r="C173" s="155"/>
    </row>
    <row r="174" ht="15.75" customHeight="1">
      <c r="C174" s="155"/>
    </row>
    <row r="175" ht="15.75" customHeight="1">
      <c r="C175" s="155"/>
    </row>
    <row r="176" ht="15.75" customHeight="1">
      <c r="C176" s="155"/>
    </row>
    <row r="177" ht="15.75" customHeight="1">
      <c r="C177" s="155"/>
    </row>
    <row r="178" ht="15.75" customHeight="1">
      <c r="C178" s="155"/>
    </row>
    <row r="179" ht="15.75" customHeight="1">
      <c r="C179" s="155"/>
    </row>
    <row r="180" ht="15.75" customHeight="1">
      <c r="C180" s="155"/>
    </row>
    <row r="181" ht="15.75" customHeight="1">
      <c r="C181" s="155"/>
    </row>
    <row r="182" ht="15.75" customHeight="1">
      <c r="C182" s="155"/>
    </row>
    <row r="183" ht="15.75" customHeight="1">
      <c r="C183" s="155"/>
    </row>
    <row r="184" ht="15.75" customHeight="1">
      <c r="C184" s="155"/>
    </row>
    <row r="185" ht="15.75" customHeight="1">
      <c r="C185" s="155"/>
    </row>
    <row r="186" ht="15.75" customHeight="1">
      <c r="C186" s="155"/>
    </row>
    <row r="187" ht="15.75" customHeight="1">
      <c r="C187" s="155"/>
    </row>
    <row r="188" ht="15.75" customHeight="1">
      <c r="C188" s="155"/>
    </row>
    <row r="189" ht="15.75" customHeight="1">
      <c r="C189" s="155"/>
    </row>
    <row r="190" ht="15.75" customHeight="1">
      <c r="C190" s="155"/>
    </row>
    <row r="191" ht="15.75" customHeight="1">
      <c r="C191" s="155"/>
    </row>
    <row r="192" ht="15.75" customHeight="1">
      <c r="C192" s="155"/>
    </row>
    <row r="193" ht="15.75" customHeight="1">
      <c r="C193" s="155"/>
    </row>
    <row r="194" ht="15.75" customHeight="1">
      <c r="C194" s="155"/>
    </row>
    <row r="195" ht="15.75" customHeight="1">
      <c r="C195" s="155"/>
    </row>
    <row r="196" ht="15.75" customHeight="1">
      <c r="C196" s="155"/>
    </row>
    <row r="197" ht="15.75" customHeight="1">
      <c r="C197" s="155"/>
    </row>
    <row r="198" ht="15.75" customHeight="1">
      <c r="C198" s="155"/>
    </row>
    <row r="199" ht="15.75" customHeight="1">
      <c r="C199" s="155"/>
    </row>
    <row r="200" ht="15.75" customHeight="1">
      <c r="C200" s="155"/>
    </row>
    <row r="201" ht="15.75" customHeight="1">
      <c r="C201" s="155"/>
    </row>
    <row r="202" ht="15.75" customHeight="1">
      <c r="C202" s="155"/>
    </row>
    <row r="203" ht="15.75" customHeight="1">
      <c r="C203" s="155"/>
    </row>
    <row r="204" ht="15.75" customHeight="1">
      <c r="C204" s="155"/>
    </row>
    <row r="205" ht="15.75" customHeight="1">
      <c r="C205" s="155"/>
    </row>
    <row r="206" ht="15.75" customHeight="1">
      <c r="C206" s="155"/>
    </row>
    <row r="207" ht="15.75" customHeight="1">
      <c r="C207" s="155"/>
    </row>
    <row r="208" ht="15.75" customHeight="1">
      <c r="C208" s="155"/>
    </row>
    <row r="209" ht="15.75" customHeight="1">
      <c r="C209" s="155"/>
    </row>
    <row r="210" ht="15.75" customHeight="1">
      <c r="C210" s="155"/>
    </row>
    <row r="211" ht="15.75" customHeight="1">
      <c r="C211" s="155"/>
    </row>
    <row r="212" ht="15.75" customHeight="1">
      <c r="C212" s="155"/>
    </row>
    <row r="213" ht="15.75" customHeight="1">
      <c r="C213" s="155"/>
    </row>
    <row r="214" ht="15.75" customHeight="1">
      <c r="C214" s="155"/>
    </row>
    <row r="215" ht="15.75" customHeight="1">
      <c r="C215" s="155"/>
    </row>
    <row r="216" ht="15.75" customHeight="1">
      <c r="C216" s="155"/>
    </row>
    <row r="217" ht="15.75" customHeight="1">
      <c r="C217" s="155"/>
    </row>
    <row r="218" ht="15.75" customHeight="1">
      <c r="C218" s="155"/>
    </row>
    <row r="219" ht="15.75" customHeight="1">
      <c r="C219" s="155"/>
    </row>
    <row r="220" ht="15.75" customHeight="1">
      <c r="C220" s="155"/>
    </row>
    <row r="221" ht="15.75" customHeight="1">
      <c r="C221" s="155"/>
    </row>
    <row r="222" ht="15.75" customHeight="1">
      <c r="C222" s="155"/>
    </row>
    <row r="223" ht="15.75" customHeight="1">
      <c r="C223" s="155"/>
    </row>
    <row r="224" ht="15.75" customHeight="1">
      <c r="C224" s="155"/>
    </row>
    <row r="225" ht="15.75" customHeight="1">
      <c r="C225" s="155"/>
    </row>
    <row r="226" ht="15.75" customHeight="1">
      <c r="C226" s="155"/>
    </row>
    <row r="227" ht="15.75" customHeight="1">
      <c r="C227" s="155"/>
    </row>
    <row r="228" ht="15.75" customHeight="1">
      <c r="C228" s="155"/>
    </row>
    <row r="229" ht="15.75" customHeight="1">
      <c r="C229" s="155"/>
    </row>
    <row r="230" ht="15.75" customHeight="1">
      <c r="C230" s="155"/>
    </row>
    <row r="231" ht="15.75" customHeight="1">
      <c r="C231" s="155"/>
    </row>
    <row r="232" ht="15.75" customHeight="1">
      <c r="C232" s="155"/>
    </row>
    <row r="233" ht="15.75" customHeight="1">
      <c r="C233" s="155"/>
    </row>
    <row r="234" ht="15.75" customHeight="1">
      <c r="C234" s="155"/>
    </row>
    <row r="235" ht="15.75" customHeight="1">
      <c r="C235" s="155"/>
    </row>
    <row r="236" ht="15.75" customHeight="1">
      <c r="C236" s="155"/>
    </row>
    <row r="237" ht="15.75" customHeight="1">
      <c r="C237" s="155"/>
    </row>
    <row r="238" ht="15.75" customHeight="1">
      <c r="C238" s="155"/>
    </row>
    <row r="239" ht="15.75" customHeight="1">
      <c r="C239" s="155"/>
    </row>
    <row r="240" ht="15.75" customHeight="1">
      <c r="C240" s="155"/>
    </row>
    <row r="241" ht="15.75" customHeight="1">
      <c r="C241" s="155"/>
    </row>
    <row r="242" ht="15.75" customHeight="1">
      <c r="C242" s="155"/>
    </row>
    <row r="243" ht="15.75" customHeight="1">
      <c r="C243" s="155"/>
    </row>
    <row r="244" ht="15.75" customHeight="1">
      <c r="C244" s="155"/>
    </row>
    <row r="245" ht="15.75" customHeight="1">
      <c r="C245" s="155"/>
    </row>
    <row r="246" ht="15.75" customHeight="1">
      <c r="C246" s="155"/>
    </row>
    <row r="247" ht="15.75" customHeight="1">
      <c r="C247" s="155"/>
    </row>
    <row r="248" ht="15.75" customHeight="1">
      <c r="C248" s="155"/>
    </row>
    <row r="249" ht="15.75" customHeight="1">
      <c r="C249" s="155"/>
    </row>
    <row r="250" ht="15.75" customHeight="1">
      <c r="C250" s="155"/>
    </row>
    <row r="251" ht="15.75" customHeight="1">
      <c r="C251" s="155"/>
    </row>
    <row r="252" ht="15.75" customHeight="1">
      <c r="C252" s="155"/>
    </row>
    <row r="253" ht="15.75" customHeight="1">
      <c r="C253" s="155"/>
    </row>
    <row r="254" ht="15.75" customHeight="1">
      <c r="C254" s="155"/>
    </row>
    <row r="255" ht="15.75" customHeight="1">
      <c r="C255" s="155"/>
    </row>
    <row r="256" ht="15.75" customHeight="1">
      <c r="C256" s="155"/>
    </row>
    <row r="257" ht="15.75" customHeight="1">
      <c r="C257" s="155"/>
    </row>
    <row r="258" ht="15.75" customHeight="1">
      <c r="C258" s="155"/>
    </row>
    <row r="259" ht="15.75" customHeight="1">
      <c r="C259" s="155"/>
    </row>
    <row r="260" ht="15.75" customHeight="1">
      <c r="C260" s="155"/>
    </row>
    <row r="261" ht="15.75" customHeight="1">
      <c r="C261" s="155"/>
    </row>
    <row r="262" ht="15.75" customHeight="1">
      <c r="C262" s="155"/>
    </row>
    <row r="263" ht="15.75" customHeight="1">
      <c r="C263" s="155"/>
    </row>
    <row r="264" ht="15.75" customHeight="1">
      <c r="C264" s="155"/>
    </row>
    <row r="265" ht="15.75" customHeight="1">
      <c r="C265" s="155"/>
    </row>
    <row r="266" ht="15.75" customHeight="1">
      <c r="C266" s="155"/>
    </row>
    <row r="267" ht="15.75" customHeight="1">
      <c r="C267" s="155"/>
    </row>
    <row r="268" ht="15.75" customHeight="1">
      <c r="C268" s="155"/>
    </row>
    <row r="269" ht="15.75" customHeight="1">
      <c r="C269" s="155"/>
    </row>
    <row r="270" ht="15.75" customHeight="1">
      <c r="C270" s="155"/>
    </row>
    <row r="271" ht="15.75" customHeight="1">
      <c r="C271" s="155"/>
    </row>
    <row r="272" ht="15.75" customHeight="1">
      <c r="C272" s="155"/>
    </row>
    <row r="273" ht="15.75" customHeight="1">
      <c r="C273" s="155"/>
    </row>
    <row r="274" ht="15.75" customHeight="1">
      <c r="C274" s="155"/>
    </row>
    <row r="275" ht="15.75" customHeight="1">
      <c r="C275" s="155"/>
    </row>
    <row r="276" ht="15.75" customHeight="1">
      <c r="C276" s="155"/>
    </row>
    <row r="277" ht="15.75" customHeight="1">
      <c r="C277" s="155"/>
    </row>
    <row r="278" ht="15.75" customHeight="1">
      <c r="C278" s="155"/>
    </row>
    <row r="279" ht="15.75" customHeight="1">
      <c r="C279" s="155"/>
    </row>
    <row r="280" ht="15.75" customHeight="1">
      <c r="C280" s="155"/>
    </row>
    <row r="281" ht="15.75" customHeight="1">
      <c r="C281" s="155"/>
    </row>
    <row r="282" ht="15.75" customHeight="1">
      <c r="C282" s="155"/>
    </row>
    <row r="283" ht="15.75" customHeight="1">
      <c r="C283" s="155"/>
    </row>
    <row r="284" ht="15.75" customHeight="1">
      <c r="C284" s="155"/>
    </row>
    <row r="285" ht="15.75" customHeight="1">
      <c r="C285" s="155"/>
    </row>
    <row r="286" ht="15.75" customHeight="1">
      <c r="C286" s="155"/>
    </row>
    <row r="287" ht="15.75" customHeight="1">
      <c r="C287" s="155"/>
    </row>
    <row r="288" ht="15.75" customHeight="1">
      <c r="C288" s="155"/>
    </row>
    <row r="289" ht="15.75" customHeight="1">
      <c r="C289" s="155"/>
    </row>
    <row r="290" ht="15.75" customHeight="1">
      <c r="C290" s="155"/>
    </row>
    <row r="291" ht="15.75" customHeight="1">
      <c r="C291" s="155"/>
    </row>
    <row r="292" ht="15.75" customHeight="1">
      <c r="C292" s="155"/>
    </row>
    <row r="293" ht="15.75" customHeight="1">
      <c r="C293" s="155"/>
    </row>
    <row r="294" ht="15.75" customHeight="1">
      <c r="C294" s="155"/>
    </row>
    <row r="295" ht="15.75" customHeight="1">
      <c r="C295" s="155"/>
    </row>
    <row r="296" ht="15.75" customHeight="1">
      <c r="C296" s="155"/>
    </row>
    <row r="297" ht="15.75" customHeight="1">
      <c r="C297" s="155"/>
    </row>
    <row r="298" ht="15.75" customHeight="1">
      <c r="C298" s="155"/>
    </row>
    <row r="299" ht="15.75" customHeight="1">
      <c r="C299" s="155"/>
    </row>
    <row r="300" ht="15.75" customHeight="1">
      <c r="C300" s="155"/>
    </row>
    <row r="301" ht="15.75" customHeight="1">
      <c r="C301" s="155"/>
    </row>
    <row r="302" ht="15.75" customHeight="1">
      <c r="C302" s="155"/>
    </row>
    <row r="303" ht="15.75" customHeight="1">
      <c r="C303" s="155"/>
    </row>
    <row r="304" ht="15.75" customHeight="1">
      <c r="C304" s="155"/>
    </row>
    <row r="305" ht="15.75" customHeight="1">
      <c r="C305" s="155"/>
    </row>
    <row r="306" ht="15.75" customHeight="1">
      <c r="C306" s="155"/>
    </row>
    <row r="307" ht="15.75" customHeight="1">
      <c r="C307" s="155"/>
    </row>
    <row r="308" ht="15.75" customHeight="1">
      <c r="C308" s="155"/>
    </row>
    <row r="309" ht="15.75" customHeight="1">
      <c r="C309" s="155"/>
    </row>
    <row r="310" ht="15.75" customHeight="1">
      <c r="C310" s="155"/>
    </row>
    <row r="311" ht="15.75" customHeight="1">
      <c r="C311" s="155"/>
    </row>
    <row r="312" ht="15.75" customHeight="1">
      <c r="C312" s="155"/>
    </row>
    <row r="313" ht="15.75" customHeight="1">
      <c r="C313" s="155"/>
    </row>
    <row r="314" ht="15.75" customHeight="1">
      <c r="C314" s="155"/>
    </row>
    <row r="315" ht="15.75" customHeight="1">
      <c r="C315" s="155"/>
    </row>
    <row r="316" ht="15.75" customHeight="1">
      <c r="C316" s="155"/>
    </row>
    <row r="317" ht="15.75" customHeight="1">
      <c r="C317" s="155"/>
    </row>
    <row r="318" ht="15.75" customHeight="1">
      <c r="C318" s="155"/>
    </row>
    <row r="319" ht="15.75" customHeight="1">
      <c r="C319" s="155"/>
    </row>
    <row r="320" ht="15.75" customHeight="1">
      <c r="C320" s="155"/>
    </row>
    <row r="321" ht="15.75" customHeight="1">
      <c r="C321" s="155"/>
    </row>
    <row r="322" ht="15.75" customHeight="1">
      <c r="C322" s="155"/>
    </row>
    <row r="323" ht="15.75" customHeight="1">
      <c r="C323" s="155"/>
    </row>
    <row r="324" ht="15.75" customHeight="1">
      <c r="C324" s="155"/>
    </row>
    <row r="325" ht="15.75" customHeight="1">
      <c r="C325" s="155"/>
    </row>
    <row r="326" ht="15.75" customHeight="1">
      <c r="C326" s="155"/>
    </row>
    <row r="327" ht="15.75" customHeight="1">
      <c r="C327" s="155"/>
    </row>
    <row r="328" ht="15.75" customHeight="1">
      <c r="C328" s="155"/>
    </row>
    <row r="329" ht="15.75" customHeight="1">
      <c r="C329" s="155"/>
    </row>
    <row r="330" ht="15.75" customHeight="1">
      <c r="C330" s="155"/>
    </row>
    <row r="331" ht="15.75" customHeight="1">
      <c r="C331" s="155"/>
    </row>
    <row r="332" ht="15.75" customHeight="1">
      <c r="C332" s="155"/>
    </row>
    <row r="333" ht="15.75" customHeight="1">
      <c r="C333" s="155"/>
    </row>
    <row r="334" ht="15.75" customHeight="1">
      <c r="C334" s="155"/>
    </row>
    <row r="335" ht="15.75" customHeight="1">
      <c r="C335" s="155"/>
    </row>
    <row r="336" ht="15.75" customHeight="1">
      <c r="C336" s="155"/>
    </row>
    <row r="337" ht="15.75" customHeight="1">
      <c r="C337" s="155"/>
    </row>
    <row r="338" ht="15.75" customHeight="1">
      <c r="C338" s="155"/>
    </row>
    <row r="339" ht="15.75" customHeight="1">
      <c r="C339" s="155"/>
    </row>
    <row r="340" ht="15.75" customHeight="1">
      <c r="C340" s="155"/>
    </row>
    <row r="341" ht="15.75" customHeight="1">
      <c r="C341" s="155"/>
    </row>
    <row r="342" ht="15.75" customHeight="1">
      <c r="C342" s="155"/>
    </row>
    <row r="343" ht="15.75" customHeight="1">
      <c r="C343" s="155"/>
    </row>
    <row r="344" ht="15.75" customHeight="1">
      <c r="C344" s="155"/>
    </row>
    <row r="345" ht="15.75" customHeight="1">
      <c r="C345" s="155"/>
    </row>
    <row r="346" ht="15.75" customHeight="1">
      <c r="C346" s="155"/>
    </row>
    <row r="347" ht="15.75" customHeight="1">
      <c r="C347" s="155"/>
    </row>
    <row r="348" ht="15.75" customHeight="1">
      <c r="C348" s="155"/>
    </row>
    <row r="349" ht="15.75" customHeight="1">
      <c r="C349" s="155"/>
    </row>
    <row r="350" ht="15.75" customHeight="1">
      <c r="C350" s="155"/>
    </row>
    <row r="351" ht="15.75" customHeight="1">
      <c r="C351" s="155"/>
    </row>
    <row r="352" ht="15.75" customHeight="1">
      <c r="C352" s="155"/>
    </row>
    <row r="353" ht="15.75" customHeight="1">
      <c r="C353" s="155"/>
    </row>
    <row r="354" ht="15.75" customHeight="1">
      <c r="C354" s="155"/>
    </row>
    <row r="355" ht="15.75" customHeight="1">
      <c r="C355" s="155"/>
    </row>
    <row r="356" ht="15.75" customHeight="1">
      <c r="C356" s="155"/>
    </row>
    <row r="357" ht="15.75" customHeight="1">
      <c r="C357" s="155"/>
    </row>
    <row r="358" ht="15.75" customHeight="1">
      <c r="C358" s="155"/>
    </row>
    <row r="359" ht="15.75" customHeight="1">
      <c r="C359" s="155"/>
    </row>
    <row r="360" ht="15.75" customHeight="1">
      <c r="C360" s="155"/>
    </row>
    <row r="361" ht="15.75" customHeight="1">
      <c r="C361" s="155"/>
    </row>
    <row r="362" ht="15.75" customHeight="1">
      <c r="C362" s="155"/>
    </row>
    <row r="363" ht="15.75" customHeight="1">
      <c r="C363" s="155"/>
    </row>
    <row r="364" ht="15.75" customHeight="1">
      <c r="C364" s="155"/>
    </row>
    <row r="365" ht="15.75" customHeight="1">
      <c r="C365" s="155"/>
    </row>
    <row r="366" ht="15.75" customHeight="1">
      <c r="C366" s="155"/>
    </row>
    <row r="367" ht="15.75" customHeight="1">
      <c r="C367" s="155"/>
    </row>
    <row r="368" ht="15.75" customHeight="1">
      <c r="C368" s="155"/>
    </row>
    <row r="369" ht="15.75" customHeight="1">
      <c r="C369" s="155"/>
    </row>
    <row r="370" ht="15.75" customHeight="1">
      <c r="C370" s="155"/>
    </row>
    <row r="371" ht="15.75" customHeight="1">
      <c r="C371" s="155"/>
    </row>
    <row r="372" ht="15.75" customHeight="1">
      <c r="C372" s="155"/>
    </row>
    <row r="373" ht="15.75" customHeight="1">
      <c r="C373" s="155"/>
    </row>
    <row r="374" ht="15.75" customHeight="1">
      <c r="C374" s="155"/>
    </row>
    <row r="375" ht="15.75" customHeight="1">
      <c r="C375" s="155"/>
    </row>
    <row r="376" ht="15.75" customHeight="1">
      <c r="C376" s="155"/>
    </row>
    <row r="377" ht="15.75" customHeight="1">
      <c r="C377" s="155"/>
    </row>
    <row r="378" ht="15.75" customHeight="1">
      <c r="C378" s="155"/>
    </row>
    <row r="379" ht="15.75" customHeight="1">
      <c r="C379" s="155"/>
    </row>
    <row r="380" ht="15.75" customHeight="1">
      <c r="C380" s="155"/>
    </row>
    <row r="381" ht="15.75" customHeight="1">
      <c r="C381" s="155"/>
    </row>
    <row r="382" ht="15.75" customHeight="1">
      <c r="C382" s="155"/>
    </row>
    <row r="383" ht="15.75" customHeight="1">
      <c r="C383" s="155"/>
    </row>
    <row r="384" ht="15.75" customHeight="1">
      <c r="C384" s="155"/>
    </row>
    <row r="385" ht="15.75" customHeight="1">
      <c r="C385" s="155"/>
    </row>
    <row r="386" ht="15.75" customHeight="1">
      <c r="C386" s="155"/>
    </row>
    <row r="387" ht="15.75" customHeight="1">
      <c r="C387" s="155"/>
    </row>
    <row r="388" ht="15.75" customHeight="1">
      <c r="C388" s="155"/>
    </row>
    <row r="389" ht="15.75" customHeight="1">
      <c r="C389" s="155"/>
    </row>
    <row r="390" ht="15.75" customHeight="1">
      <c r="C390" s="155"/>
    </row>
    <row r="391" ht="15.75" customHeight="1">
      <c r="C391" s="155"/>
    </row>
    <row r="392" ht="15.75" customHeight="1">
      <c r="C392" s="155"/>
    </row>
    <row r="393" ht="15.75" customHeight="1">
      <c r="C393" s="155"/>
    </row>
    <row r="394" ht="15.75" customHeight="1">
      <c r="C394" s="155"/>
    </row>
    <row r="395" ht="15.75" customHeight="1">
      <c r="C395" s="155"/>
    </row>
    <row r="396" ht="15.75" customHeight="1">
      <c r="C396" s="155"/>
    </row>
    <row r="397" ht="15.75" customHeight="1">
      <c r="C397" s="155"/>
    </row>
    <row r="398" ht="15.75" customHeight="1">
      <c r="C398" s="155"/>
    </row>
    <row r="399" ht="15.75" customHeight="1">
      <c r="C399" s="155"/>
    </row>
    <row r="400" ht="15.75" customHeight="1">
      <c r="C400" s="155"/>
    </row>
    <row r="401" ht="15.75" customHeight="1">
      <c r="C401" s="155"/>
    </row>
    <row r="402" ht="15.75" customHeight="1">
      <c r="C402" s="155"/>
    </row>
    <row r="403" ht="15.75" customHeight="1">
      <c r="C403" s="155"/>
    </row>
    <row r="404" ht="15.75" customHeight="1">
      <c r="C404" s="155"/>
    </row>
    <row r="405" ht="15.75" customHeight="1">
      <c r="C405" s="155"/>
    </row>
    <row r="406" ht="15.75" customHeight="1">
      <c r="C406" s="155"/>
    </row>
    <row r="407" ht="15.75" customHeight="1">
      <c r="C407" s="155"/>
    </row>
    <row r="408" ht="15.75" customHeight="1">
      <c r="C408" s="155"/>
    </row>
    <row r="409" ht="15.75" customHeight="1">
      <c r="C409" s="155"/>
    </row>
    <row r="410" ht="15.75" customHeight="1">
      <c r="C410" s="155"/>
    </row>
    <row r="411" ht="15.75" customHeight="1">
      <c r="C411" s="155"/>
    </row>
    <row r="412" ht="15.75" customHeight="1">
      <c r="C412" s="155"/>
    </row>
    <row r="413" ht="15.75" customHeight="1">
      <c r="C413" s="155"/>
    </row>
    <row r="414" ht="15.75" customHeight="1">
      <c r="C414" s="155"/>
    </row>
    <row r="415" ht="15.75" customHeight="1">
      <c r="C415" s="155"/>
    </row>
    <row r="416" ht="15.75" customHeight="1">
      <c r="C416" s="155"/>
    </row>
    <row r="417" ht="15.75" customHeight="1">
      <c r="C417" s="155"/>
    </row>
    <row r="418" ht="15.75" customHeight="1">
      <c r="C418" s="155"/>
    </row>
    <row r="419" ht="15.75" customHeight="1">
      <c r="C419" s="155"/>
    </row>
    <row r="420" ht="15.75" customHeight="1">
      <c r="C420" s="155"/>
    </row>
    <row r="421" ht="15.75" customHeight="1">
      <c r="C421" s="155"/>
    </row>
    <row r="422" ht="15.75" customHeight="1">
      <c r="C422" s="155"/>
    </row>
    <row r="423" ht="15.75" customHeight="1">
      <c r="C423" s="155"/>
    </row>
    <row r="424" ht="15.75" customHeight="1">
      <c r="C424" s="155"/>
    </row>
    <row r="425" ht="15.75" customHeight="1">
      <c r="C425" s="155"/>
    </row>
    <row r="426" ht="15.75" customHeight="1">
      <c r="C426" s="155"/>
    </row>
    <row r="427" ht="15.75" customHeight="1">
      <c r="C427" s="155"/>
    </row>
    <row r="428" ht="15.75" customHeight="1">
      <c r="C428" s="155"/>
    </row>
    <row r="429" ht="15.75" customHeight="1">
      <c r="C429" s="155"/>
    </row>
    <row r="430" ht="15.75" customHeight="1">
      <c r="C430" s="155"/>
    </row>
    <row r="431" ht="15.75" customHeight="1">
      <c r="C431" s="155"/>
    </row>
    <row r="432" ht="15.75" customHeight="1">
      <c r="C432" s="155"/>
    </row>
    <row r="433" ht="15.75" customHeight="1">
      <c r="C433" s="155"/>
    </row>
    <row r="434" ht="15.75" customHeight="1">
      <c r="C434" s="155"/>
    </row>
    <row r="435" ht="15.75" customHeight="1">
      <c r="C435" s="155"/>
    </row>
    <row r="436" ht="15.75" customHeight="1">
      <c r="C436" s="155"/>
    </row>
    <row r="437" ht="15.75" customHeight="1">
      <c r="C437" s="155"/>
    </row>
    <row r="438" ht="15.75" customHeight="1">
      <c r="C438" s="155"/>
    </row>
    <row r="439" ht="15.75" customHeight="1">
      <c r="C439" s="155"/>
    </row>
    <row r="440" ht="15.75" customHeight="1">
      <c r="C440" s="155"/>
    </row>
    <row r="441" ht="15.75" customHeight="1">
      <c r="C441" s="155"/>
    </row>
    <row r="442" ht="15.75" customHeight="1">
      <c r="C442" s="155"/>
    </row>
    <row r="443" ht="15.75" customHeight="1">
      <c r="C443" s="155"/>
    </row>
    <row r="444" ht="15.75" customHeight="1">
      <c r="C444" s="155"/>
    </row>
    <row r="445" ht="15.75" customHeight="1">
      <c r="C445" s="155"/>
    </row>
    <row r="446" ht="15.75" customHeight="1">
      <c r="C446" s="155"/>
    </row>
    <row r="447" ht="15.75" customHeight="1">
      <c r="C447" s="155"/>
    </row>
    <row r="448" ht="15.75" customHeight="1">
      <c r="C448" s="155"/>
    </row>
    <row r="449" ht="15.75" customHeight="1">
      <c r="C449" s="155"/>
    </row>
    <row r="450" ht="15.75" customHeight="1">
      <c r="C450" s="155"/>
    </row>
    <row r="451" ht="15.75" customHeight="1">
      <c r="C451" s="155"/>
    </row>
    <row r="452" ht="15.75" customHeight="1">
      <c r="C452" s="155"/>
    </row>
    <row r="453" ht="15.75" customHeight="1">
      <c r="C453" s="155"/>
    </row>
    <row r="454" ht="15.75" customHeight="1">
      <c r="C454" s="155"/>
    </row>
    <row r="455" ht="15.75" customHeight="1">
      <c r="C455" s="155"/>
    </row>
    <row r="456" ht="15.75" customHeight="1">
      <c r="C456" s="155"/>
    </row>
    <row r="457" ht="15.75" customHeight="1">
      <c r="C457" s="155"/>
    </row>
    <row r="458" ht="15.75" customHeight="1">
      <c r="C458" s="155"/>
    </row>
    <row r="459" ht="15.75" customHeight="1">
      <c r="C459" s="155"/>
    </row>
    <row r="460" ht="15.75" customHeight="1">
      <c r="C460" s="155"/>
    </row>
    <row r="461" ht="15.75" customHeight="1">
      <c r="C461" s="155"/>
    </row>
    <row r="462" ht="15.75" customHeight="1">
      <c r="C462" s="155"/>
    </row>
    <row r="463" ht="15.75" customHeight="1">
      <c r="C463" s="155"/>
    </row>
    <row r="464" ht="15.75" customHeight="1">
      <c r="C464" s="155"/>
    </row>
    <row r="465" ht="15.75" customHeight="1">
      <c r="C465" s="155"/>
    </row>
    <row r="466" ht="15.75" customHeight="1">
      <c r="C466" s="155"/>
    </row>
    <row r="467" ht="15.75" customHeight="1">
      <c r="C467" s="155"/>
    </row>
    <row r="468" ht="15.75" customHeight="1">
      <c r="C468" s="155"/>
    </row>
    <row r="469" ht="15.75" customHeight="1">
      <c r="C469" s="155"/>
    </row>
    <row r="470" ht="15.75" customHeight="1">
      <c r="C470" s="155"/>
    </row>
    <row r="471" ht="15.75" customHeight="1">
      <c r="C471" s="155"/>
    </row>
    <row r="472" ht="15.75" customHeight="1">
      <c r="C472" s="155"/>
    </row>
    <row r="473" ht="15.75" customHeight="1">
      <c r="C473" s="155"/>
    </row>
    <row r="474" ht="15.75" customHeight="1">
      <c r="C474" s="155"/>
    </row>
    <row r="475" ht="15.75" customHeight="1">
      <c r="C475" s="155"/>
    </row>
    <row r="476" ht="15.75" customHeight="1">
      <c r="C476" s="155"/>
    </row>
    <row r="477" ht="15.75" customHeight="1">
      <c r="C477" s="155"/>
    </row>
    <row r="478" ht="15.75" customHeight="1">
      <c r="C478" s="155"/>
    </row>
    <row r="479" ht="15.75" customHeight="1">
      <c r="C479" s="155"/>
    </row>
    <row r="480" ht="15.75" customHeight="1">
      <c r="C480" s="155"/>
    </row>
    <row r="481" ht="15.75" customHeight="1">
      <c r="C481" s="155"/>
    </row>
    <row r="482" ht="15.75" customHeight="1">
      <c r="C482" s="155"/>
    </row>
    <row r="483" ht="15.75" customHeight="1">
      <c r="C483" s="155"/>
    </row>
    <row r="484" ht="15.75" customHeight="1">
      <c r="C484" s="155"/>
    </row>
    <row r="485" ht="15.75" customHeight="1">
      <c r="C485" s="155"/>
    </row>
    <row r="486" ht="15.75" customHeight="1">
      <c r="C486" s="155"/>
    </row>
    <row r="487" ht="15.75" customHeight="1">
      <c r="C487" s="155"/>
    </row>
    <row r="488" ht="15.75" customHeight="1">
      <c r="C488" s="155"/>
    </row>
    <row r="489" ht="15.75" customHeight="1">
      <c r="C489" s="155"/>
    </row>
    <row r="490" ht="15.75" customHeight="1">
      <c r="C490" s="155"/>
    </row>
    <row r="491" ht="15.75" customHeight="1">
      <c r="C491" s="155"/>
    </row>
    <row r="492" ht="15.75" customHeight="1">
      <c r="C492" s="155"/>
    </row>
    <row r="493" ht="15.75" customHeight="1">
      <c r="C493" s="155"/>
    </row>
    <row r="494" ht="15.75" customHeight="1">
      <c r="C494" s="155"/>
    </row>
    <row r="495" ht="15.75" customHeight="1">
      <c r="C495" s="155"/>
    </row>
    <row r="496" ht="15.75" customHeight="1">
      <c r="C496" s="155"/>
    </row>
    <row r="497" ht="15.75" customHeight="1">
      <c r="C497" s="155"/>
    </row>
    <row r="498" ht="15.75" customHeight="1">
      <c r="C498" s="155"/>
    </row>
    <row r="499" ht="15.75" customHeight="1">
      <c r="C499" s="155"/>
    </row>
    <row r="500" ht="15.75" customHeight="1">
      <c r="C500" s="155"/>
    </row>
    <row r="501" ht="15.75" customHeight="1">
      <c r="C501" s="155"/>
    </row>
    <row r="502" ht="15.75" customHeight="1">
      <c r="C502" s="155"/>
    </row>
    <row r="503" ht="15.75" customHeight="1">
      <c r="C503" s="155"/>
    </row>
    <row r="504" ht="15.75" customHeight="1">
      <c r="C504" s="155"/>
    </row>
    <row r="505" ht="15.75" customHeight="1">
      <c r="C505" s="155"/>
    </row>
    <row r="506" ht="15.75" customHeight="1">
      <c r="C506" s="155"/>
    </row>
    <row r="507" ht="15.75" customHeight="1">
      <c r="C507" s="155"/>
    </row>
    <row r="508" ht="15.75" customHeight="1">
      <c r="C508" s="155"/>
    </row>
    <row r="509" ht="15.75" customHeight="1">
      <c r="C509" s="155"/>
    </row>
    <row r="510" ht="15.75" customHeight="1">
      <c r="C510" s="155"/>
    </row>
    <row r="511" ht="15.75" customHeight="1">
      <c r="C511" s="155"/>
    </row>
    <row r="512" ht="15.75" customHeight="1">
      <c r="C512" s="155"/>
    </row>
    <row r="513" ht="15.75" customHeight="1">
      <c r="C513" s="155"/>
    </row>
    <row r="514" ht="15.75" customHeight="1">
      <c r="C514" s="155"/>
    </row>
    <row r="515" ht="15.75" customHeight="1">
      <c r="C515" s="155"/>
    </row>
    <row r="516" ht="15.75" customHeight="1">
      <c r="C516" s="155"/>
    </row>
    <row r="517" ht="15.75" customHeight="1">
      <c r="C517" s="155"/>
    </row>
    <row r="518" ht="15.75" customHeight="1">
      <c r="C518" s="155"/>
    </row>
    <row r="519" ht="15.75" customHeight="1">
      <c r="C519" s="155"/>
    </row>
    <row r="520" ht="15.75" customHeight="1">
      <c r="C520" s="155"/>
    </row>
    <row r="521" ht="15.75" customHeight="1">
      <c r="C521" s="155"/>
    </row>
    <row r="522" ht="15.75" customHeight="1">
      <c r="C522" s="155"/>
    </row>
    <row r="523" ht="15.75" customHeight="1">
      <c r="C523" s="155"/>
    </row>
    <row r="524" ht="15.75" customHeight="1">
      <c r="C524" s="155"/>
    </row>
    <row r="525" ht="15.75" customHeight="1">
      <c r="C525" s="155"/>
    </row>
    <row r="526" ht="15.75" customHeight="1">
      <c r="C526" s="155"/>
    </row>
    <row r="527" ht="15.75" customHeight="1">
      <c r="C527" s="155"/>
    </row>
    <row r="528" ht="15.75" customHeight="1">
      <c r="C528" s="155"/>
    </row>
    <row r="529" ht="15.75" customHeight="1">
      <c r="C529" s="155"/>
    </row>
    <row r="530" ht="15.75" customHeight="1">
      <c r="C530" s="155"/>
    </row>
    <row r="531" ht="15.75" customHeight="1">
      <c r="C531" s="155"/>
    </row>
    <row r="532" ht="15.75" customHeight="1">
      <c r="C532" s="155"/>
    </row>
    <row r="533" ht="15.75" customHeight="1">
      <c r="C533" s="155"/>
    </row>
    <row r="534" ht="15.75" customHeight="1">
      <c r="C534" s="155"/>
    </row>
    <row r="535" ht="15.75" customHeight="1">
      <c r="C535" s="155"/>
    </row>
    <row r="536" ht="15.75" customHeight="1">
      <c r="C536" s="155"/>
    </row>
    <row r="537" ht="15.75" customHeight="1">
      <c r="C537" s="155"/>
    </row>
    <row r="538" ht="15.75" customHeight="1">
      <c r="C538" s="155"/>
    </row>
    <row r="539" ht="15.75" customHeight="1">
      <c r="C539" s="155"/>
    </row>
    <row r="540" ht="15.75" customHeight="1">
      <c r="C540" s="155"/>
    </row>
    <row r="541" ht="15.75" customHeight="1">
      <c r="C541" s="155"/>
    </row>
    <row r="542" ht="15.75" customHeight="1">
      <c r="C542" s="155"/>
    </row>
    <row r="543" ht="15.75" customHeight="1">
      <c r="C543" s="155"/>
    </row>
    <row r="544" ht="15.75" customHeight="1">
      <c r="C544" s="155"/>
    </row>
    <row r="545" ht="15.75" customHeight="1">
      <c r="C545" s="155"/>
    </row>
    <row r="546" ht="15.75" customHeight="1">
      <c r="C546" s="155"/>
    </row>
    <row r="547" ht="15.75" customHeight="1">
      <c r="C547" s="155"/>
    </row>
    <row r="548" ht="15.75" customHeight="1">
      <c r="C548" s="155"/>
    </row>
    <row r="549" ht="15.75" customHeight="1">
      <c r="C549" s="155"/>
    </row>
    <row r="550" ht="15.75" customHeight="1">
      <c r="C550" s="155"/>
    </row>
    <row r="551" ht="15.75" customHeight="1">
      <c r="C551" s="155"/>
    </row>
    <row r="552" ht="15.75" customHeight="1">
      <c r="C552" s="155"/>
    </row>
    <row r="553" ht="15.75" customHeight="1">
      <c r="C553" s="155"/>
    </row>
    <row r="554" ht="15.75" customHeight="1">
      <c r="C554" s="155"/>
    </row>
    <row r="555" ht="15.75" customHeight="1">
      <c r="C555" s="155"/>
    </row>
    <row r="556" ht="15.75" customHeight="1">
      <c r="C556" s="155"/>
    </row>
    <row r="557" ht="15.75" customHeight="1">
      <c r="C557" s="155"/>
    </row>
    <row r="558" ht="15.75" customHeight="1">
      <c r="C558" s="155"/>
    </row>
    <row r="559" ht="15.75" customHeight="1">
      <c r="C559" s="155"/>
    </row>
    <row r="560" ht="15.75" customHeight="1">
      <c r="C560" s="155"/>
    </row>
    <row r="561" ht="15.75" customHeight="1">
      <c r="C561" s="155"/>
    </row>
    <row r="562" ht="15.75" customHeight="1">
      <c r="C562" s="155"/>
    </row>
    <row r="563" ht="15.75" customHeight="1">
      <c r="C563" s="155"/>
    </row>
    <row r="564" ht="15.75" customHeight="1">
      <c r="C564" s="155"/>
    </row>
    <row r="565" ht="15.75" customHeight="1">
      <c r="C565" s="155"/>
    </row>
    <row r="566" ht="15.75" customHeight="1">
      <c r="C566" s="155"/>
    </row>
    <row r="567" ht="15.75" customHeight="1">
      <c r="C567" s="155"/>
    </row>
    <row r="568" ht="15.75" customHeight="1">
      <c r="C568" s="155"/>
    </row>
    <row r="569" ht="15.75" customHeight="1">
      <c r="C569" s="155"/>
    </row>
    <row r="570" ht="15.75" customHeight="1">
      <c r="C570" s="155"/>
    </row>
    <row r="571" ht="15.75" customHeight="1">
      <c r="C571" s="155"/>
    </row>
    <row r="572" ht="15.75" customHeight="1">
      <c r="C572" s="155"/>
    </row>
    <row r="573" ht="15.75" customHeight="1">
      <c r="C573" s="155"/>
    </row>
    <row r="574" ht="15.75" customHeight="1">
      <c r="C574" s="155"/>
    </row>
    <row r="575" ht="15.75" customHeight="1">
      <c r="C575" s="155"/>
    </row>
    <row r="576" ht="15.75" customHeight="1">
      <c r="C576" s="155"/>
    </row>
    <row r="577" ht="15.75" customHeight="1">
      <c r="C577" s="155"/>
    </row>
    <row r="578" ht="15.75" customHeight="1">
      <c r="C578" s="155"/>
    </row>
    <row r="579" ht="15.75" customHeight="1">
      <c r="C579" s="155"/>
    </row>
    <row r="580" ht="15.75" customHeight="1">
      <c r="C580" s="155"/>
    </row>
    <row r="581" ht="15.75" customHeight="1">
      <c r="C581" s="155"/>
    </row>
    <row r="582" ht="15.75" customHeight="1">
      <c r="C582" s="155"/>
    </row>
    <row r="583" ht="15.75" customHeight="1">
      <c r="C583" s="155"/>
    </row>
    <row r="584" ht="15.75" customHeight="1">
      <c r="C584" s="155"/>
    </row>
    <row r="585" ht="15.75" customHeight="1">
      <c r="C585" s="155"/>
    </row>
    <row r="586" ht="15.75" customHeight="1">
      <c r="C586" s="155"/>
    </row>
    <row r="587" ht="15.75" customHeight="1">
      <c r="C587" s="155"/>
    </row>
    <row r="588" ht="15.75" customHeight="1">
      <c r="C588" s="155"/>
    </row>
    <row r="589" ht="15.75" customHeight="1">
      <c r="C589" s="155"/>
    </row>
    <row r="590" ht="15.75" customHeight="1">
      <c r="C590" s="155"/>
    </row>
    <row r="591" ht="15.75" customHeight="1">
      <c r="C591" s="155"/>
    </row>
    <row r="592" ht="15.75" customHeight="1">
      <c r="C592" s="155"/>
    </row>
    <row r="593" ht="15.75" customHeight="1">
      <c r="C593" s="155"/>
    </row>
    <row r="594" ht="15.75" customHeight="1">
      <c r="C594" s="155"/>
    </row>
    <row r="595" ht="15.75" customHeight="1">
      <c r="C595" s="155"/>
    </row>
    <row r="596" ht="15.75" customHeight="1">
      <c r="C596" s="155"/>
    </row>
    <row r="597" ht="15.75" customHeight="1">
      <c r="C597" s="155"/>
    </row>
    <row r="598" ht="15.75" customHeight="1">
      <c r="C598" s="155"/>
    </row>
    <row r="599" ht="15.75" customHeight="1">
      <c r="C599" s="155"/>
    </row>
    <row r="600" ht="15.75" customHeight="1">
      <c r="C600" s="155"/>
    </row>
    <row r="601" ht="15.75" customHeight="1">
      <c r="C601" s="155"/>
    </row>
    <row r="602" ht="15.75" customHeight="1">
      <c r="C602" s="155"/>
    </row>
    <row r="603" ht="15.75" customHeight="1">
      <c r="C603" s="155"/>
    </row>
    <row r="604" ht="15.75" customHeight="1">
      <c r="C604" s="155"/>
    </row>
    <row r="605" ht="15.75" customHeight="1">
      <c r="C605" s="155"/>
    </row>
    <row r="606" ht="15.75" customHeight="1">
      <c r="C606" s="155"/>
    </row>
    <row r="607" ht="15.75" customHeight="1">
      <c r="C607" s="155"/>
    </row>
    <row r="608" ht="15.75" customHeight="1">
      <c r="C608" s="155"/>
    </row>
    <row r="609" ht="15.75" customHeight="1">
      <c r="C609" s="155"/>
    </row>
    <row r="610" ht="15.75" customHeight="1">
      <c r="C610" s="155"/>
    </row>
    <row r="611" ht="15.75" customHeight="1">
      <c r="C611" s="155"/>
    </row>
    <row r="612" ht="15.75" customHeight="1">
      <c r="C612" s="155"/>
    </row>
    <row r="613" ht="15.75" customHeight="1">
      <c r="C613" s="155"/>
    </row>
    <row r="614" ht="15.75" customHeight="1">
      <c r="C614" s="155"/>
    </row>
    <row r="615" ht="15.75" customHeight="1">
      <c r="C615" s="155"/>
    </row>
    <row r="616" ht="15.75" customHeight="1">
      <c r="C616" s="155"/>
    </row>
    <row r="617" ht="15.75" customHeight="1">
      <c r="C617" s="155"/>
    </row>
    <row r="618" ht="15.75" customHeight="1">
      <c r="C618" s="155"/>
    </row>
    <row r="619" ht="15.75" customHeight="1">
      <c r="C619" s="155"/>
    </row>
    <row r="620" ht="15.75" customHeight="1">
      <c r="C620" s="155"/>
    </row>
    <row r="621" ht="15.75" customHeight="1">
      <c r="C621" s="155"/>
    </row>
    <row r="622" ht="15.75" customHeight="1">
      <c r="C622" s="155"/>
    </row>
    <row r="623" ht="15.75" customHeight="1">
      <c r="C623" s="155"/>
    </row>
    <row r="624" ht="15.75" customHeight="1">
      <c r="C624" s="155"/>
    </row>
    <row r="625" ht="15.75" customHeight="1">
      <c r="C625" s="155"/>
    </row>
    <row r="626" ht="15.75" customHeight="1">
      <c r="C626" s="155"/>
    </row>
    <row r="627" ht="15.75" customHeight="1">
      <c r="C627" s="155"/>
    </row>
    <row r="628" ht="15.75" customHeight="1">
      <c r="C628" s="155"/>
    </row>
    <row r="629" ht="15.75" customHeight="1">
      <c r="C629" s="155"/>
    </row>
    <row r="630" ht="15.75" customHeight="1">
      <c r="C630" s="155"/>
    </row>
    <row r="631" ht="15.75" customHeight="1">
      <c r="C631" s="155"/>
    </row>
    <row r="632" ht="15.75" customHeight="1">
      <c r="C632" s="155"/>
    </row>
    <row r="633" ht="15.75" customHeight="1">
      <c r="C633" s="155"/>
    </row>
    <row r="634" ht="15.75" customHeight="1">
      <c r="C634" s="155"/>
    </row>
    <row r="635" ht="15.75" customHeight="1">
      <c r="C635" s="155"/>
    </row>
    <row r="636" ht="15.75" customHeight="1">
      <c r="C636" s="155"/>
    </row>
    <row r="637" ht="15.75" customHeight="1">
      <c r="C637" s="155"/>
    </row>
    <row r="638" ht="15.75" customHeight="1">
      <c r="C638" s="155"/>
    </row>
    <row r="639" ht="15.75" customHeight="1">
      <c r="C639" s="155"/>
    </row>
    <row r="640" ht="15.75" customHeight="1">
      <c r="C640" s="155"/>
    </row>
    <row r="641" ht="15.75" customHeight="1">
      <c r="C641" s="155"/>
    </row>
    <row r="642" ht="15.75" customHeight="1">
      <c r="C642" s="155"/>
    </row>
    <row r="643" ht="15.75" customHeight="1">
      <c r="C643" s="155"/>
    </row>
    <row r="644" ht="15.75" customHeight="1">
      <c r="C644" s="155"/>
    </row>
    <row r="645" ht="15.75" customHeight="1">
      <c r="C645" s="155"/>
    </row>
    <row r="646" ht="15.75" customHeight="1">
      <c r="C646" s="155"/>
    </row>
    <row r="647" ht="15.75" customHeight="1">
      <c r="C647" s="155"/>
    </row>
    <row r="648" ht="15.75" customHeight="1">
      <c r="C648" s="155"/>
    </row>
    <row r="649" ht="15.75" customHeight="1">
      <c r="C649" s="155"/>
    </row>
    <row r="650" ht="15.75" customHeight="1">
      <c r="C650" s="155"/>
    </row>
    <row r="651" ht="15.75" customHeight="1">
      <c r="C651" s="155"/>
    </row>
    <row r="652" ht="15.75" customHeight="1">
      <c r="C652" s="155"/>
    </row>
    <row r="653" ht="15.75" customHeight="1">
      <c r="C653" s="155"/>
    </row>
    <row r="654" ht="15.75" customHeight="1">
      <c r="C654" s="155"/>
    </row>
    <row r="655" ht="15.75" customHeight="1">
      <c r="C655" s="155"/>
    </row>
    <row r="656" ht="15.75" customHeight="1">
      <c r="C656" s="155"/>
    </row>
    <row r="657" ht="15.75" customHeight="1">
      <c r="C657" s="155"/>
    </row>
    <row r="658" ht="15.75" customHeight="1">
      <c r="C658" s="155"/>
    </row>
    <row r="659" ht="15.75" customHeight="1">
      <c r="C659" s="155"/>
    </row>
    <row r="660" ht="15.75" customHeight="1">
      <c r="C660" s="155"/>
    </row>
    <row r="661" ht="15.75" customHeight="1">
      <c r="C661" s="155"/>
    </row>
    <row r="662" ht="15.75" customHeight="1">
      <c r="C662" s="155"/>
    </row>
    <row r="663" ht="15.75" customHeight="1">
      <c r="C663" s="155"/>
    </row>
    <row r="664" ht="15.75" customHeight="1">
      <c r="C664" s="155"/>
    </row>
    <row r="665" ht="15.75" customHeight="1">
      <c r="C665" s="155"/>
    </row>
    <row r="666" ht="15.75" customHeight="1">
      <c r="C666" s="155"/>
    </row>
    <row r="667" ht="15.75" customHeight="1">
      <c r="C667" s="155"/>
    </row>
    <row r="668" ht="15.75" customHeight="1">
      <c r="C668" s="155"/>
    </row>
    <row r="669" ht="15.75" customHeight="1">
      <c r="C669" s="155"/>
    </row>
    <row r="670" ht="15.75" customHeight="1">
      <c r="C670" s="155"/>
    </row>
    <row r="671" ht="15.75" customHeight="1">
      <c r="C671" s="155"/>
    </row>
    <row r="672" ht="15.75" customHeight="1">
      <c r="C672" s="155"/>
    </row>
    <row r="673" ht="15.75" customHeight="1">
      <c r="C673" s="155"/>
    </row>
    <row r="674" ht="15.75" customHeight="1">
      <c r="C674" s="155"/>
    </row>
    <row r="675" ht="15.75" customHeight="1">
      <c r="C675" s="155"/>
    </row>
    <row r="676" ht="15.75" customHeight="1">
      <c r="C676" s="155"/>
    </row>
    <row r="677" ht="15.75" customHeight="1">
      <c r="C677" s="155"/>
    </row>
    <row r="678" ht="15.75" customHeight="1">
      <c r="C678" s="155"/>
    </row>
    <row r="679" ht="15.75" customHeight="1">
      <c r="C679" s="155"/>
    </row>
    <row r="680" ht="15.75" customHeight="1">
      <c r="C680" s="155"/>
    </row>
    <row r="681" ht="15.75" customHeight="1">
      <c r="C681" s="155"/>
    </row>
    <row r="682" ht="15.75" customHeight="1">
      <c r="C682" s="155"/>
    </row>
    <row r="683" ht="15.75" customHeight="1">
      <c r="C683" s="155"/>
    </row>
    <row r="684" ht="15.75" customHeight="1">
      <c r="C684" s="155"/>
    </row>
    <row r="685" ht="15.75" customHeight="1">
      <c r="C685" s="155"/>
    </row>
    <row r="686" ht="15.75" customHeight="1">
      <c r="C686" s="155"/>
    </row>
    <row r="687" ht="15.75" customHeight="1">
      <c r="C687" s="155"/>
    </row>
    <row r="688" ht="15.75" customHeight="1">
      <c r="C688" s="155"/>
    </row>
    <row r="689" ht="15.75" customHeight="1">
      <c r="C689" s="155"/>
    </row>
    <row r="690" ht="15.75" customHeight="1">
      <c r="C690" s="155"/>
    </row>
    <row r="691" ht="15.75" customHeight="1">
      <c r="C691" s="155"/>
    </row>
    <row r="692" ht="15.75" customHeight="1">
      <c r="C692" s="155"/>
    </row>
    <row r="693" ht="15.75" customHeight="1">
      <c r="C693" s="155"/>
    </row>
    <row r="694" ht="15.75" customHeight="1">
      <c r="C694" s="155"/>
    </row>
    <row r="695" ht="15.75" customHeight="1">
      <c r="C695" s="155"/>
    </row>
    <row r="696" ht="15.75" customHeight="1">
      <c r="C696" s="155"/>
    </row>
    <row r="697" ht="15.75" customHeight="1">
      <c r="C697" s="155"/>
    </row>
    <row r="698" ht="15.75" customHeight="1">
      <c r="C698" s="155"/>
    </row>
    <row r="699" ht="15.75" customHeight="1">
      <c r="C699" s="155"/>
    </row>
    <row r="700" ht="15.75" customHeight="1">
      <c r="C700" s="155"/>
    </row>
    <row r="701" ht="15.75" customHeight="1">
      <c r="C701" s="155"/>
    </row>
    <row r="702" ht="15.75" customHeight="1">
      <c r="C702" s="155"/>
    </row>
    <row r="703" ht="15.75" customHeight="1">
      <c r="C703" s="155"/>
    </row>
    <row r="704" ht="15.75" customHeight="1">
      <c r="C704" s="155"/>
    </row>
    <row r="705" ht="15.75" customHeight="1">
      <c r="C705" s="155"/>
    </row>
    <row r="706" ht="15.75" customHeight="1">
      <c r="C706" s="155"/>
    </row>
    <row r="707" ht="15.75" customHeight="1">
      <c r="C707" s="155"/>
    </row>
    <row r="708" ht="15.75" customHeight="1">
      <c r="C708" s="155"/>
    </row>
    <row r="709" ht="15.75" customHeight="1">
      <c r="C709" s="155"/>
    </row>
    <row r="710" ht="15.75" customHeight="1">
      <c r="C710" s="155"/>
    </row>
    <row r="711" ht="15.75" customHeight="1">
      <c r="C711" s="155"/>
    </row>
    <row r="712" ht="15.75" customHeight="1">
      <c r="C712" s="155"/>
    </row>
    <row r="713" ht="15.75" customHeight="1">
      <c r="C713" s="155"/>
    </row>
    <row r="714" ht="15.75" customHeight="1">
      <c r="C714" s="155"/>
    </row>
    <row r="715" ht="15.75" customHeight="1">
      <c r="C715" s="155"/>
    </row>
    <row r="716" ht="15.75" customHeight="1">
      <c r="C716" s="155"/>
    </row>
    <row r="717" ht="15.75" customHeight="1">
      <c r="C717" s="155"/>
    </row>
    <row r="718" ht="15.75" customHeight="1">
      <c r="C718" s="155"/>
    </row>
    <row r="719" ht="15.75" customHeight="1">
      <c r="C719" s="155"/>
    </row>
    <row r="720" ht="15.75" customHeight="1">
      <c r="C720" s="155"/>
    </row>
    <row r="721" ht="15.75" customHeight="1">
      <c r="C721" s="155"/>
    </row>
    <row r="722" ht="15.75" customHeight="1">
      <c r="C722" s="155"/>
    </row>
    <row r="723" ht="15.75" customHeight="1">
      <c r="C723" s="155"/>
    </row>
    <row r="724" ht="15.75" customHeight="1">
      <c r="C724" s="155"/>
    </row>
    <row r="725" ht="15.75" customHeight="1">
      <c r="C725" s="155"/>
    </row>
    <row r="726" ht="15.75" customHeight="1">
      <c r="C726" s="155"/>
    </row>
    <row r="727" ht="15.75" customHeight="1">
      <c r="C727" s="155"/>
    </row>
    <row r="728" ht="15.75" customHeight="1">
      <c r="C728" s="155"/>
    </row>
    <row r="729" ht="15.75" customHeight="1">
      <c r="C729" s="155"/>
    </row>
    <row r="730" ht="15.75" customHeight="1">
      <c r="C730" s="155"/>
    </row>
    <row r="731" ht="15.75" customHeight="1">
      <c r="C731" s="155"/>
    </row>
    <row r="732" ht="15.75" customHeight="1">
      <c r="C732" s="155"/>
    </row>
    <row r="733" ht="15.75" customHeight="1">
      <c r="C733" s="155"/>
    </row>
    <row r="734" ht="15.75" customHeight="1">
      <c r="C734" s="155"/>
    </row>
    <row r="735" ht="15.75" customHeight="1">
      <c r="C735" s="155"/>
    </row>
    <row r="736" ht="15.75" customHeight="1">
      <c r="C736" s="155"/>
    </row>
    <row r="737" ht="15.75" customHeight="1">
      <c r="C737" s="155"/>
    </row>
    <row r="738" ht="15.75" customHeight="1">
      <c r="C738" s="155"/>
    </row>
    <row r="739" ht="15.75" customHeight="1">
      <c r="C739" s="155"/>
    </row>
    <row r="740" ht="15.75" customHeight="1">
      <c r="C740" s="155"/>
    </row>
    <row r="741" ht="15.75" customHeight="1">
      <c r="C741" s="155"/>
    </row>
    <row r="742" ht="15.75" customHeight="1">
      <c r="C742" s="155"/>
    </row>
    <row r="743" ht="15.75" customHeight="1">
      <c r="C743" s="155"/>
    </row>
    <row r="744" ht="15.75" customHeight="1">
      <c r="C744" s="155"/>
    </row>
    <row r="745" ht="15.75" customHeight="1">
      <c r="C745" s="155"/>
    </row>
    <row r="746" ht="15.75" customHeight="1">
      <c r="C746" s="155"/>
    </row>
    <row r="747" ht="15.75" customHeight="1">
      <c r="C747" s="155"/>
    </row>
    <row r="748" ht="15.75" customHeight="1">
      <c r="C748" s="155"/>
    </row>
    <row r="749" ht="15.75" customHeight="1">
      <c r="C749" s="155"/>
    </row>
    <row r="750" ht="15.75" customHeight="1">
      <c r="C750" s="155"/>
    </row>
    <row r="751" ht="15.75" customHeight="1">
      <c r="C751" s="155"/>
    </row>
    <row r="752" ht="15.75" customHeight="1">
      <c r="C752" s="155"/>
    </row>
    <row r="753" ht="15.75" customHeight="1">
      <c r="C753" s="155"/>
    </row>
    <row r="754" ht="15.75" customHeight="1">
      <c r="C754" s="155"/>
    </row>
    <row r="755" ht="15.75" customHeight="1">
      <c r="C755" s="155"/>
    </row>
    <row r="756" ht="15.75" customHeight="1">
      <c r="C756" s="155"/>
    </row>
    <row r="757" ht="15.75" customHeight="1">
      <c r="C757" s="155"/>
    </row>
    <row r="758" ht="15.75" customHeight="1">
      <c r="C758" s="155"/>
    </row>
    <row r="759" ht="15.75" customHeight="1">
      <c r="C759" s="155"/>
    </row>
    <row r="760" ht="15.75" customHeight="1">
      <c r="C760" s="155"/>
    </row>
    <row r="761" ht="15.75" customHeight="1">
      <c r="C761" s="155"/>
    </row>
    <row r="762" ht="15.75" customHeight="1">
      <c r="C762" s="155"/>
    </row>
    <row r="763" ht="15.75" customHeight="1">
      <c r="C763" s="155"/>
    </row>
    <row r="764" ht="15.75" customHeight="1">
      <c r="C764" s="155"/>
    </row>
    <row r="765" ht="15.75" customHeight="1">
      <c r="C765" s="155"/>
    </row>
    <row r="766" ht="15.75" customHeight="1">
      <c r="C766" s="155"/>
    </row>
    <row r="767" ht="15.75" customHeight="1">
      <c r="C767" s="155"/>
    </row>
    <row r="768" ht="15.75" customHeight="1">
      <c r="C768" s="155"/>
    </row>
    <row r="769" ht="15.75" customHeight="1">
      <c r="C769" s="155"/>
    </row>
    <row r="770" ht="15.75" customHeight="1">
      <c r="C770" s="155"/>
    </row>
    <row r="771" ht="15.75" customHeight="1">
      <c r="C771" s="155"/>
    </row>
    <row r="772" ht="15.75" customHeight="1">
      <c r="C772" s="155"/>
    </row>
    <row r="773" ht="15.75" customHeight="1">
      <c r="C773" s="155"/>
    </row>
    <row r="774" ht="15.75" customHeight="1">
      <c r="C774" s="155"/>
    </row>
    <row r="775" ht="15.75" customHeight="1">
      <c r="C775" s="155"/>
    </row>
    <row r="776" ht="15.75" customHeight="1">
      <c r="C776" s="155"/>
    </row>
    <row r="777" ht="15.75" customHeight="1">
      <c r="C777" s="155"/>
    </row>
    <row r="778" ht="15.75" customHeight="1">
      <c r="C778" s="155"/>
    </row>
    <row r="779" ht="15.75" customHeight="1">
      <c r="C779" s="155"/>
    </row>
    <row r="780" ht="15.75" customHeight="1">
      <c r="C780" s="155"/>
    </row>
    <row r="781" ht="15.75" customHeight="1">
      <c r="C781" s="155"/>
    </row>
    <row r="782" ht="15.75" customHeight="1">
      <c r="C782" s="155"/>
    </row>
    <row r="783" ht="15.75" customHeight="1">
      <c r="C783" s="155"/>
    </row>
    <row r="784" ht="15.75" customHeight="1">
      <c r="C784" s="155"/>
    </row>
    <row r="785" ht="15.75" customHeight="1">
      <c r="C785" s="155"/>
    </row>
    <row r="786" ht="15.75" customHeight="1">
      <c r="C786" s="155"/>
    </row>
    <row r="787" ht="15.75" customHeight="1">
      <c r="C787" s="155"/>
    </row>
    <row r="788" ht="15.75" customHeight="1">
      <c r="C788" s="155"/>
    </row>
    <row r="789" ht="15.75" customHeight="1">
      <c r="C789" s="155"/>
    </row>
    <row r="790" ht="15.75" customHeight="1">
      <c r="C790" s="155"/>
    </row>
    <row r="791" ht="15.75" customHeight="1">
      <c r="C791" s="155"/>
    </row>
    <row r="792" ht="15.75" customHeight="1">
      <c r="C792" s="155"/>
    </row>
    <row r="793" ht="15.75" customHeight="1">
      <c r="C793" s="155"/>
    </row>
    <row r="794" ht="15.75" customHeight="1">
      <c r="C794" s="155"/>
    </row>
    <row r="795" ht="15.75" customHeight="1">
      <c r="C795" s="155"/>
    </row>
    <row r="796" ht="15.75" customHeight="1">
      <c r="C796" s="155"/>
    </row>
    <row r="797" ht="15.75" customHeight="1">
      <c r="C797" s="155"/>
    </row>
    <row r="798" ht="15.75" customHeight="1">
      <c r="C798" s="155"/>
    </row>
    <row r="799" ht="15.75" customHeight="1">
      <c r="C799" s="155"/>
    </row>
    <row r="800" ht="15.75" customHeight="1">
      <c r="C800" s="155"/>
    </row>
    <row r="801" ht="15.75" customHeight="1">
      <c r="C801" s="155"/>
    </row>
    <row r="802" ht="15.75" customHeight="1">
      <c r="C802" s="155"/>
    </row>
    <row r="803" ht="15.75" customHeight="1">
      <c r="C803" s="155"/>
    </row>
    <row r="804" ht="15.75" customHeight="1">
      <c r="C804" s="155"/>
    </row>
    <row r="805" ht="15.75" customHeight="1">
      <c r="C805" s="155"/>
    </row>
    <row r="806" ht="15.75" customHeight="1">
      <c r="C806" s="155"/>
    </row>
    <row r="807" ht="15.75" customHeight="1">
      <c r="C807" s="155"/>
    </row>
    <row r="808" ht="15.75" customHeight="1">
      <c r="C808" s="155"/>
    </row>
    <row r="809" ht="15.75" customHeight="1">
      <c r="C809" s="155"/>
    </row>
    <row r="810" ht="15.75" customHeight="1">
      <c r="C810" s="155"/>
    </row>
    <row r="811" ht="15.75" customHeight="1">
      <c r="C811" s="155"/>
    </row>
    <row r="812" ht="15.75" customHeight="1">
      <c r="C812" s="155"/>
    </row>
    <row r="813" ht="15.75" customHeight="1">
      <c r="C813" s="155"/>
    </row>
    <row r="814" ht="15.75" customHeight="1">
      <c r="C814" s="155"/>
    </row>
    <row r="815" ht="15.75" customHeight="1">
      <c r="C815" s="155"/>
    </row>
    <row r="816" ht="15.75" customHeight="1">
      <c r="C816" s="155"/>
    </row>
    <row r="817" ht="15.75" customHeight="1">
      <c r="C817" s="155"/>
    </row>
    <row r="818" ht="15.75" customHeight="1">
      <c r="C818" s="155"/>
    </row>
    <row r="819" ht="15.75" customHeight="1">
      <c r="C819" s="155"/>
    </row>
    <row r="820" ht="15.75" customHeight="1">
      <c r="C820" s="155"/>
    </row>
    <row r="821" ht="15.75" customHeight="1">
      <c r="C821" s="155"/>
    </row>
    <row r="822" ht="15.75" customHeight="1">
      <c r="C822" s="155"/>
    </row>
    <row r="823" ht="15.75" customHeight="1">
      <c r="C823" s="155"/>
    </row>
    <row r="824" ht="15.75" customHeight="1">
      <c r="C824" s="155"/>
    </row>
    <row r="825" ht="15.75" customHeight="1">
      <c r="C825" s="155"/>
    </row>
    <row r="826" ht="15.75" customHeight="1">
      <c r="C826" s="155"/>
    </row>
    <row r="827" ht="15.75" customHeight="1">
      <c r="C827" s="155"/>
    </row>
    <row r="828" ht="15.75" customHeight="1">
      <c r="C828" s="155"/>
    </row>
    <row r="829" ht="15.75" customHeight="1">
      <c r="C829" s="155"/>
    </row>
    <row r="830" ht="15.75" customHeight="1">
      <c r="C830" s="155"/>
    </row>
    <row r="831" ht="15.75" customHeight="1">
      <c r="C831" s="155"/>
    </row>
    <row r="832" ht="15.75" customHeight="1">
      <c r="C832" s="155"/>
    </row>
    <row r="833" ht="15.75" customHeight="1">
      <c r="C833" s="155"/>
    </row>
    <row r="834" ht="15.75" customHeight="1">
      <c r="C834" s="155"/>
    </row>
    <row r="835" ht="15.75" customHeight="1">
      <c r="C835" s="155"/>
    </row>
    <row r="836" ht="15.75" customHeight="1">
      <c r="C836" s="155"/>
    </row>
    <row r="837" ht="15.75" customHeight="1">
      <c r="C837" s="155"/>
    </row>
    <row r="838" ht="15.75" customHeight="1">
      <c r="C838" s="155"/>
    </row>
    <row r="839" ht="15.75" customHeight="1">
      <c r="C839" s="155"/>
    </row>
    <row r="840" ht="15.75" customHeight="1">
      <c r="C840" s="155"/>
    </row>
    <row r="841" ht="15.75" customHeight="1">
      <c r="C841" s="155"/>
    </row>
    <row r="842" ht="15.75" customHeight="1">
      <c r="C842" s="155"/>
    </row>
    <row r="843" ht="15.75" customHeight="1">
      <c r="C843" s="155"/>
    </row>
    <row r="844" ht="15.75" customHeight="1">
      <c r="C844" s="155"/>
    </row>
    <row r="845" ht="15.75" customHeight="1">
      <c r="C845" s="155"/>
    </row>
    <row r="846" ht="15.75" customHeight="1">
      <c r="C846" s="155"/>
    </row>
    <row r="847" ht="15.75" customHeight="1">
      <c r="C847" s="155"/>
    </row>
    <row r="848" ht="15.75" customHeight="1">
      <c r="C848" s="155"/>
    </row>
    <row r="849" ht="15.75" customHeight="1">
      <c r="C849" s="155"/>
    </row>
    <row r="850" ht="15.75" customHeight="1">
      <c r="C850" s="155"/>
    </row>
    <row r="851" ht="15.75" customHeight="1">
      <c r="C851" s="155"/>
    </row>
    <row r="852" ht="15.75" customHeight="1">
      <c r="C852" s="155"/>
    </row>
    <row r="853" ht="15.75" customHeight="1">
      <c r="C853" s="155"/>
    </row>
    <row r="854" ht="15.75" customHeight="1">
      <c r="C854" s="155"/>
    </row>
    <row r="855" ht="15.75" customHeight="1">
      <c r="C855" s="155"/>
    </row>
    <row r="856" ht="15.75" customHeight="1">
      <c r="C856" s="155"/>
    </row>
    <row r="857" ht="15.75" customHeight="1">
      <c r="C857" s="155"/>
    </row>
    <row r="858" ht="15.75" customHeight="1">
      <c r="C858" s="155"/>
    </row>
    <row r="859" ht="15.75" customHeight="1">
      <c r="C859" s="155"/>
    </row>
    <row r="860" ht="15.75" customHeight="1">
      <c r="C860" s="155"/>
    </row>
    <row r="861" ht="15.75" customHeight="1">
      <c r="C861" s="155"/>
    </row>
    <row r="862" ht="15.75" customHeight="1">
      <c r="C862" s="155"/>
    </row>
    <row r="863" ht="15.75" customHeight="1">
      <c r="C863" s="155"/>
    </row>
    <row r="864" ht="15.75" customHeight="1">
      <c r="C864" s="155"/>
    </row>
    <row r="865" ht="15.75" customHeight="1">
      <c r="C865" s="155"/>
    </row>
    <row r="866" ht="15.75" customHeight="1">
      <c r="C866" s="155"/>
    </row>
    <row r="867" ht="15.75" customHeight="1">
      <c r="C867" s="155"/>
    </row>
    <row r="868" ht="15.75" customHeight="1">
      <c r="C868" s="155"/>
    </row>
    <row r="869" ht="15.75" customHeight="1">
      <c r="C869" s="155"/>
    </row>
    <row r="870" ht="15.75" customHeight="1">
      <c r="C870" s="155"/>
    </row>
    <row r="871" ht="15.75" customHeight="1">
      <c r="C871" s="155"/>
    </row>
    <row r="872" ht="15.75" customHeight="1">
      <c r="C872" s="155"/>
    </row>
    <row r="873" ht="15.75" customHeight="1">
      <c r="C873" s="155"/>
    </row>
    <row r="874" ht="15.75" customHeight="1">
      <c r="C874" s="155"/>
    </row>
    <row r="875" ht="15.75" customHeight="1">
      <c r="C875" s="155"/>
    </row>
    <row r="876" ht="15.75" customHeight="1">
      <c r="C876" s="155"/>
    </row>
    <row r="877" ht="15.75" customHeight="1">
      <c r="C877" s="155"/>
    </row>
    <row r="878" ht="15.75" customHeight="1">
      <c r="C878" s="155"/>
    </row>
    <row r="879" ht="15.75" customHeight="1">
      <c r="C879" s="155"/>
    </row>
    <row r="880" ht="15.75" customHeight="1">
      <c r="C880" s="155"/>
    </row>
    <row r="881" ht="15.75" customHeight="1">
      <c r="C881" s="155"/>
    </row>
    <row r="882" ht="15.75" customHeight="1">
      <c r="C882" s="155"/>
    </row>
    <row r="883" ht="15.75" customHeight="1">
      <c r="C883" s="155"/>
    </row>
    <row r="884" ht="15.75" customHeight="1">
      <c r="C884" s="155"/>
    </row>
    <row r="885" ht="15.75" customHeight="1">
      <c r="C885" s="155"/>
    </row>
    <row r="886" ht="15.75" customHeight="1">
      <c r="C886" s="155"/>
    </row>
    <row r="887" ht="15.75" customHeight="1">
      <c r="C887" s="155"/>
    </row>
    <row r="888" ht="15.75" customHeight="1">
      <c r="C888" s="155"/>
    </row>
    <row r="889" ht="15.75" customHeight="1">
      <c r="C889" s="155"/>
    </row>
    <row r="890" ht="15.75" customHeight="1">
      <c r="C890" s="155"/>
    </row>
    <row r="891" ht="15.75" customHeight="1">
      <c r="C891" s="155"/>
    </row>
    <row r="892" ht="15.75" customHeight="1">
      <c r="C892" s="155"/>
    </row>
    <row r="893" ht="15.75" customHeight="1">
      <c r="C893" s="155"/>
    </row>
    <row r="894" ht="15.75" customHeight="1">
      <c r="C894" s="155"/>
    </row>
    <row r="895" ht="15.75" customHeight="1">
      <c r="C895" s="155"/>
    </row>
    <row r="896" ht="15.75" customHeight="1">
      <c r="C896" s="155"/>
    </row>
    <row r="897" ht="15.75" customHeight="1">
      <c r="C897" s="155"/>
    </row>
    <row r="898" ht="15.75" customHeight="1">
      <c r="C898" s="155"/>
    </row>
    <row r="899" ht="15.75" customHeight="1">
      <c r="C899" s="155"/>
    </row>
    <row r="900" ht="15.75" customHeight="1">
      <c r="C900" s="155"/>
    </row>
    <row r="901" ht="15.75" customHeight="1">
      <c r="C901" s="155"/>
    </row>
    <row r="902" ht="15.75" customHeight="1">
      <c r="C902" s="155"/>
    </row>
    <row r="903" ht="15.75" customHeight="1">
      <c r="C903" s="155"/>
    </row>
    <row r="904" ht="15.75" customHeight="1">
      <c r="C904" s="155"/>
    </row>
    <row r="905" ht="15.75" customHeight="1">
      <c r="C905" s="155"/>
    </row>
    <row r="906" ht="15.75" customHeight="1">
      <c r="C906" s="155"/>
    </row>
    <row r="907" ht="15.75" customHeight="1">
      <c r="C907" s="155"/>
    </row>
    <row r="908" ht="15.75" customHeight="1">
      <c r="C908" s="155"/>
    </row>
    <row r="909" ht="15.75" customHeight="1">
      <c r="C909" s="155"/>
    </row>
    <row r="910" ht="15.75" customHeight="1">
      <c r="C910" s="155"/>
    </row>
    <row r="911" ht="15.75" customHeight="1">
      <c r="C911" s="155"/>
    </row>
    <row r="912" ht="15.75" customHeight="1">
      <c r="C912" s="155"/>
    </row>
    <row r="913" ht="15.75" customHeight="1">
      <c r="C913" s="155"/>
    </row>
    <row r="914" ht="15.75" customHeight="1">
      <c r="C914" s="155"/>
    </row>
    <row r="915" ht="15.75" customHeight="1">
      <c r="C915" s="155"/>
    </row>
    <row r="916" ht="15.75" customHeight="1">
      <c r="C916" s="155"/>
    </row>
    <row r="917" ht="15.75" customHeight="1">
      <c r="C917" s="155"/>
    </row>
    <row r="918" ht="15.75" customHeight="1">
      <c r="C918" s="155"/>
    </row>
    <row r="919" ht="15.75" customHeight="1">
      <c r="C919" s="155"/>
    </row>
    <row r="920" ht="15.75" customHeight="1">
      <c r="C920" s="155"/>
    </row>
    <row r="921" ht="15.75" customHeight="1">
      <c r="C921" s="155"/>
    </row>
    <row r="922" ht="15.75" customHeight="1">
      <c r="C922" s="155"/>
    </row>
    <row r="923" ht="15.75" customHeight="1">
      <c r="C923" s="155"/>
    </row>
    <row r="924" ht="15.75" customHeight="1">
      <c r="C924" s="155"/>
    </row>
    <row r="925" ht="15.75" customHeight="1">
      <c r="C925" s="155"/>
    </row>
    <row r="926" ht="15.75" customHeight="1">
      <c r="C926" s="155"/>
    </row>
    <row r="927" ht="15.75" customHeight="1">
      <c r="C927" s="155"/>
    </row>
    <row r="928" ht="15.75" customHeight="1">
      <c r="C928" s="155"/>
    </row>
    <row r="929" ht="15.75" customHeight="1">
      <c r="C929" s="155"/>
    </row>
    <row r="930" ht="15.75" customHeight="1">
      <c r="C930" s="155"/>
    </row>
    <row r="931" ht="15.75" customHeight="1">
      <c r="C931" s="155"/>
    </row>
    <row r="932" ht="15.75" customHeight="1">
      <c r="C932" s="155"/>
    </row>
    <row r="933" ht="15.75" customHeight="1">
      <c r="C933" s="155"/>
    </row>
    <row r="934" ht="15.75" customHeight="1">
      <c r="C934" s="155"/>
    </row>
    <row r="935" ht="15.75" customHeight="1">
      <c r="C935" s="155"/>
    </row>
    <row r="936" ht="15.75" customHeight="1">
      <c r="C936" s="155"/>
    </row>
    <row r="937" ht="15.75" customHeight="1">
      <c r="C937" s="155"/>
    </row>
    <row r="938" ht="15.75" customHeight="1">
      <c r="C938" s="155"/>
    </row>
    <row r="939" ht="15.75" customHeight="1">
      <c r="C939" s="155"/>
    </row>
    <row r="940" ht="15.75" customHeight="1">
      <c r="C940" s="155"/>
    </row>
    <row r="941" ht="15.75" customHeight="1">
      <c r="C941" s="155"/>
    </row>
    <row r="942" ht="15.75" customHeight="1">
      <c r="C942" s="155"/>
    </row>
    <row r="943" ht="15.75" customHeight="1">
      <c r="C943" s="155"/>
    </row>
    <row r="944" ht="15.75" customHeight="1">
      <c r="C944" s="155"/>
    </row>
    <row r="945" ht="15.75" customHeight="1">
      <c r="C945" s="155"/>
    </row>
    <row r="946" ht="15.75" customHeight="1">
      <c r="C946" s="155"/>
    </row>
    <row r="947" ht="15.75" customHeight="1">
      <c r="C947" s="155"/>
    </row>
    <row r="948" ht="15.75" customHeight="1">
      <c r="C948" s="155"/>
    </row>
    <row r="949" ht="15.75" customHeight="1">
      <c r="C949" s="155"/>
    </row>
    <row r="950" ht="15.75" customHeight="1">
      <c r="C950" s="155"/>
    </row>
    <row r="951" ht="15.75" customHeight="1">
      <c r="C951" s="155"/>
    </row>
    <row r="952" ht="15.75" customHeight="1">
      <c r="C952" s="155"/>
    </row>
    <row r="953" ht="15.75" customHeight="1">
      <c r="C953" s="155"/>
    </row>
    <row r="954" ht="15.75" customHeight="1">
      <c r="C954" s="155"/>
    </row>
    <row r="955" ht="15.75" customHeight="1">
      <c r="C955" s="155"/>
    </row>
    <row r="956" ht="15.75" customHeight="1">
      <c r="C956" s="155"/>
    </row>
    <row r="957" ht="15.75" customHeight="1">
      <c r="C957" s="155"/>
    </row>
    <row r="958" ht="15.75" customHeight="1">
      <c r="C958" s="155"/>
    </row>
    <row r="959" ht="15.75" customHeight="1">
      <c r="C959" s="155"/>
    </row>
    <row r="960" ht="15.75" customHeight="1">
      <c r="C960" s="155"/>
    </row>
    <row r="961" ht="15.75" customHeight="1">
      <c r="C961" s="155"/>
    </row>
    <row r="962" ht="15.75" customHeight="1">
      <c r="C962" s="155"/>
    </row>
    <row r="963" ht="15.75" customHeight="1">
      <c r="C963" s="155"/>
    </row>
    <row r="964" ht="15.75" customHeight="1">
      <c r="C964" s="155"/>
    </row>
    <row r="965" ht="15.75" customHeight="1">
      <c r="C965" s="155"/>
    </row>
    <row r="966" ht="15.75" customHeight="1">
      <c r="C966" s="155"/>
    </row>
    <row r="967" ht="15.75" customHeight="1">
      <c r="C967" s="155"/>
    </row>
    <row r="968" ht="15.75" customHeight="1">
      <c r="C968" s="155"/>
    </row>
    <row r="969" ht="15.75" customHeight="1">
      <c r="C969" s="155"/>
    </row>
    <row r="970" ht="15.75" customHeight="1">
      <c r="C970" s="155"/>
    </row>
    <row r="971" ht="15.75" customHeight="1">
      <c r="C971" s="155"/>
    </row>
    <row r="972" ht="15.75" customHeight="1">
      <c r="C972" s="155"/>
    </row>
    <row r="973" ht="15.75" customHeight="1">
      <c r="C973" s="155"/>
    </row>
    <row r="974" ht="15.75" customHeight="1">
      <c r="C974" s="155"/>
    </row>
    <row r="975" ht="15.75" customHeight="1">
      <c r="C975" s="155"/>
    </row>
    <row r="976" ht="15.75" customHeight="1">
      <c r="C976" s="155"/>
    </row>
    <row r="977" ht="15.75" customHeight="1">
      <c r="C977" s="155"/>
    </row>
  </sheetData>
  <mergeCells count="5">
    <mergeCell ref="A2:A13"/>
    <mergeCell ref="A16:A19"/>
    <mergeCell ref="A22:A24"/>
    <mergeCell ref="A25:A28"/>
    <mergeCell ref="A29:A35"/>
  </mergeCells>
  <dataValidations>
    <dataValidation type="list" allowBlank="1" showErrorMessage="1" sqref="E2:E28">
      <formula1>"Yes,No"</formula1>
    </dataValidation>
    <dataValidation type="list" allowBlank="1" showErrorMessage="1" sqref="F2:F36">
      <formula1>"System generated,User generated"</formula1>
    </dataValidation>
    <dataValidation type="list" allowBlank="1" showErrorMessage="1" sqref="D2:D28">
      <formula1>"Text,Numeric,Single select,Multi select,Image,Date,Autocalculate"</formula1>
    </dataValidation>
  </dataValidations>
  <printOptions/>
  <pageMargins bottom="0.75" footer="0.0" header="0.0" left="0.7" right="0.7" top="0.75"/>
  <pageSetup orientation="landscape"/>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37.88"/>
  </cols>
  <sheetData>
    <row r="1">
      <c r="A1" s="5" t="s">
        <v>905</v>
      </c>
      <c r="B1" s="5" t="s">
        <v>906</v>
      </c>
      <c r="C1" s="5" t="s">
        <v>634</v>
      </c>
      <c r="D1" s="5" t="s">
        <v>907</v>
      </c>
      <c r="E1" s="5" t="s">
        <v>641</v>
      </c>
      <c r="F1" s="5" t="s">
        <v>637</v>
      </c>
      <c r="G1" s="5" t="s">
        <v>638</v>
      </c>
      <c r="H1" s="5" t="s">
        <v>639</v>
      </c>
      <c r="I1" s="5" t="s">
        <v>908</v>
      </c>
      <c r="J1" s="5" t="s">
        <v>909</v>
      </c>
      <c r="K1" s="5" t="s">
        <v>643</v>
      </c>
      <c r="L1" s="5" t="s">
        <v>642</v>
      </c>
      <c r="M1" s="5" t="s">
        <v>640</v>
      </c>
      <c r="N1" s="5" t="s">
        <v>910</v>
      </c>
      <c r="O1" s="18"/>
      <c r="P1" s="18"/>
      <c r="Q1" s="18"/>
      <c r="R1" s="18"/>
      <c r="S1" s="18"/>
      <c r="T1" s="18"/>
      <c r="U1" s="18"/>
      <c r="V1" s="18"/>
      <c r="W1" s="18"/>
      <c r="X1" s="18"/>
      <c r="Y1" s="18"/>
      <c r="Z1" s="18"/>
    </row>
    <row r="2">
      <c r="A2" s="218"/>
      <c r="B2" s="218"/>
      <c r="C2" s="218"/>
      <c r="D2" s="218"/>
      <c r="E2" s="218"/>
      <c r="F2" s="218"/>
      <c r="G2" s="218"/>
      <c r="H2" s="218"/>
      <c r="I2" s="218"/>
      <c r="J2" s="218"/>
      <c r="K2" s="218"/>
      <c r="L2" s="18"/>
      <c r="M2" s="18"/>
      <c r="N2" s="18"/>
      <c r="O2" s="18"/>
      <c r="P2" s="18"/>
      <c r="Q2" s="18"/>
      <c r="R2" s="18"/>
      <c r="S2" s="18"/>
      <c r="T2" s="18"/>
      <c r="U2" s="18"/>
      <c r="V2" s="18"/>
      <c r="W2" s="18"/>
      <c r="X2" s="18"/>
      <c r="Y2" s="18"/>
      <c r="Z2" s="18"/>
    </row>
    <row r="3">
      <c r="A3" s="218"/>
      <c r="B3" s="218"/>
      <c r="C3" s="218"/>
      <c r="D3" s="218"/>
      <c r="E3" s="218"/>
      <c r="F3" s="218"/>
      <c r="G3" s="218"/>
      <c r="H3" s="218"/>
      <c r="I3" s="218"/>
      <c r="J3" s="218"/>
      <c r="K3" s="218"/>
      <c r="L3" s="18"/>
      <c r="M3" s="18"/>
      <c r="N3" s="18"/>
      <c r="O3" s="18"/>
      <c r="P3" s="18"/>
      <c r="Q3" s="18"/>
      <c r="R3" s="18"/>
      <c r="S3" s="18"/>
      <c r="T3" s="18"/>
      <c r="U3" s="18"/>
      <c r="V3" s="18"/>
      <c r="W3" s="18"/>
      <c r="X3" s="18"/>
      <c r="Y3" s="18"/>
      <c r="Z3" s="18"/>
    </row>
    <row r="4">
      <c r="B4" s="218" t="s">
        <v>911</v>
      </c>
      <c r="C4" s="218" t="s">
        <v>912</v>
      </c>
      <c r="D4" s="218" t="s">
        <v>728</v>
      </c>
      <c r="E4" s="219" t="s">
        <v>913</v>
      </c>
      <c r="F4" s="218"/>
      <c r="G4" s="218"/>
      <c r="H4" s="219"/>
      <c r="I4" s="218"/>
      <c r="J4" s="218"/>
      <c r="K4" s="218"/>
      <c r="L4" s="218"/>
      <c r="M4" s="218"/>
      <c r="N4" s="218"/>
      <c r="O4" s="218"/>
      <c r="P4" s="218"/>
      <c r="Q4" s="218"/>
      <c r="R4" s="218"/>
      <c r="S4" s="218"/>
      <c r="T4" s="218"/>
      <c r="U4" s="218"/>
      <c r="V4" s="218"/>
      <c r="W4" s="218"/>
      <c r="X4" s="218"/>
      <c r="Y4" s="218"/>
      <c r="Z4" s="218"/>
    </row>
    <row r="5">
      <c r="A5" s="180"/>
      <c r="B5" s="204" t="s">
        <v>914</v>
      </c>
      <c r="C5" s="204" t="s">
        <v>646</v>
      </c>
      <c r="D5" s="204" t="s">
        <v>728</v>
      </c>
      <c r="E5" s="180"/>
      <c r="F5" s="204" t="s">
        <v>915</v>
      </c>
      <c r="G5" s="180"/>
      <c r="H5" s="180"/>
      <c r="I5" s="180"/>
      <c r="J5" s="180"/>
      <c r="K5" s="180"/>
    </row>
  </sheetData>
  <mergeCells count="1">
    <mergeCell ref="A3:A4"/>
  </mergeCell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38"/>
    <col customWidth="1" min="2" max="2" width="10.63"/>
    <col customWidth="1" min="3" max="3" width="57.88"/>
    <col customWidth="1" min="4" max="4" width="18.25"/>
    <col customWidth="1" min="5" max="5" width="12.63"/>
    <col customWidth="1" min="6" max="6" width="19.75"/>
    <col customWidth="1" min="11" max="11" width="38.5"/>
    <col customWidth="1" min="12" max="12" width="18.38"/>
    <col customWidth="1" min="13" max="13" width="30.38"/>
    <col customWidth="1" min="15" max="15" width="17.25"/>
    <col customWidth="1" min="16" max="16" width="16.0"/>
  </cols>
  <sheetData>
    <row r="1" ht="15.75" customHeight="1">
      <c r="A1" s="220" t="s">
        <v>916</v>
      </c>
      <c r="B1" s="147" t="s">
        <v>632</v>
      </c>
      <c r="C1" s="147" t="s">
        <v>633</v>
      </c>
      <c r="D1" s="147" t="s">
        <v>634</v>
      </c>
      <c r="E1" s="147" t="s">
        <v>824</v>
      </c>
      <c r="F1" s="147" t="s">
        <v>636</v>
      </c>
      <c r="G1" s="147" t="s">
        <v>637</v>
      </c>
      <c r="H1" s="147" t="s">
        <v>638</v>
      </c>
      <c r="I1" s="147" t="s">
        <v>639</v>
      </c>
      <c r="J1" s="147" t="s">
        <v>640</v>
      </c>
      <c r="K1" s="147" t="s">
        <v>641</v>
      </c>
      <c r="L1" s="147" t="s">
        <v>642</v>
      </c>
      <c r="M1" s="184" t="s">
        <v>722</v>
      </c>
      <c r="N1" s="184" t="s">
        <v>723</v>
      </c>
      <c r="O1" s="184" t="s">
        <v>724</v>
      </c>
      <c r="P1" s="184" t="s">
        <v>725</v>
      </c>
      <c r="Q1" s="149"/>
      <c r="R1" s="149"/>
      <c r="S1" s="149"/>
      <c r="T1" s="149"/>
      <c r="U1" s="149"/>
      <c r="V1" s="149"/>
      <c r="W1" s="149"/>
      <c r="X1" s="149"/>
      <c r="Y1" s="149"/>
      <c r="Z1" s="149"/>
      <c r="AA1" s="149"/>
      <c r="AB1" s="149"/>
    </row>
    <row r="2" ht="15.75" customHeight="1">
      <c r="A2" s="201" t="s">
        <v>917</v>
      </c>
      <c r="B2" s="166"/>
      <c r="C2" s="196" t="s">
        <v>918</v>
      </c>
      <c r="D2" s="171" t="s">
        <v>649</v>
      </c>
      <c r="E2" s="166" t="s">
        <v>647</v>
      </c>
      <c r="F2" s="166"/>
      <c r="G2" s="166"/>
      <c r="H2" s="166"/>
      <c r="I2" s="166"/>
      <c r="J2" s="166"/>
      <c r="K2" s="166"/>
      <c r="L2" s="166"/>
      <c r="M2" s="166"/>
      <c r="N2" s="166"/>
      <c r="O2" s="166"/>
      <c r="P2" s="166"/>
      <c r="Q2" s="170"/>
      <c r="R2" s="170"/>
      <c r="S2" s="170"/>
      <c r="T2" s="170"/>
      <c r="U2" s="170"/>
      <c r="V2" s="170"/>
      <c r="W2" s="170"/>
      <c r="X2" s="170"/>
      <c r="Y2" s="170"/>
      <c r="Z2" s="170"/>
      <c r="AA2" s="170"/>
      <c r="AB2" s="170"/>
    </row>
    <row r="3" ht="15.75" customHeight="1">
      <c r="A3" s="26"/>
      <c r="B3" s="156"/>
      <c r="C3" s="134" t="s">
        <v>919</v>
      </c>
      <c r="D3" s="156" t="s">
        <v>655</v>
      </c>
      <c r="E3" s="156" t="s">
        <v>647</v>
      </c>
      <c r="F3" s="151"/>
      <c r="G3" s="151"/>
      <c r="H3" s="151"/>
      <c r="I3" s="156" t="s">
        <v>920</v>
      </c>
      <c r="J3" s="151"/>
      <c r="K3" s="151"/>
      <c r="L3" s="151"/>
      <c r="M3" s="151"/>
      <c r="N3" s="151"/>
      <c r="O3" s="151"/>
      <c r="P3" s="151"/>
    </row>
    <row r="4" ht="15.75" customHeight="1">
      <c r="A4" s="26"/>
      <c r="B4" s="151"/>
      <c r="C4" s="186" t="s">
        <v>921</v>
      </c>
      <c r="D4" s="156" t="s">
        <v>738</v>
      </c>
      <c r="E4" s="151" t="s">
        <v>647</v>
      </c>
      <c r="F4" s="151" t="s">
        <v>652</v>
      </c>
      <c r="G4" s="151"/>
      <c r="H4" s="151"/>
      <c r="I4" s="151"/>
      <c r="J4" s="151"/>
      <c r="K4" s="151"/>
      <c r="L4" s="156" t="s">
        <v>922</v>
      </c>
      <c r="N4" s="151"/>
      <c r="O4" s="151"/>
      <c r="P4" s="151"/>
    </row>
    <row r="5" ht="15.75" customHeight="1">
      <c r="A5" s="26"/>
      <c r="B5" s="158"/>
      <c r="C5" s="193" t="s">
        <v>923</v>
      </c>
      <c r="D5" s="162" t="s">
        <v>655</v>
      </c>
      <c r="E5" s="162" t="s">
        <v>647</v>
      </c>
      <c r="F5" s="158"/>
      <c r="G5" s="158"/>
      <c r="H5" s="158"/>
      <c r="I5" s="162"/>
      <c r="J5" s="158"/>
      <c r="K5" s="162" t="s">
        <v>753</v>
      </c>
      <c r="L5" s="158"/>
      <c r="M5" s="221"/>
      <c r="N5" s="158"/>
      <c r="O5" s="158"/>
      <c r="P5" s="158"/>
      <c r="Q5" s="163"/>
      <c r="R5" s="163"/>
      <c r="S5" s="163"/>
      <c r="T5" s="163"/>
      <c r="U5" s="163"/>
      <c r="V5" s="163"/>
      <c r="W5" s="163"/>
      <c r="X5" s="163"/>
      <c r="Y5" s="163"/>
      <c r="Z5" s="163"/>
      <c r="AA5" s="163"/>
      <c r="AB5" s="163"/>
    </row>
    <row r="6" ht="15.75" customHeight="1">
      <c r="A6" s="26"/>
      <c r="B6" s="158"/>
      <c r="C6" s="193" t="s">
        <v>924</v>
      </c>
      <c r="D6" s="162" t="s">
        <v>655</v>
      </c>
      <c r="E6" s="162" t="s">
        <v>647</v>
      </c>
      <c r="F6" s="158"/>
      <c r="G6" s="162" t="s">
        <v>925</v>
      </c>
      <c r="H6" s="158"/>
      <c r="I6" s="162"/>
      <c r="J6" s="158"/>
      <c r="K6" s="162" t="s">
        <v>926</v>
      </c>
      <c r="L6" s="158"/>
      <c r="M6" s="221"/>
      <c r="N6" s="158"/>
      <c r="O6" s="158"/>
      <c r="P6" s="158"/>
      <c r="Q6" s="163"/>
      <c r="R6" s="163"/>
      <c r="S6" s="163"/>
      <c r="T6" s="163"/>
      <c r="U6" s="163"/>
      <c r="V6" s="163"/>
      <c r="W6" s="163"/>
      <c r="X6" s="163"/>
      <c r="Y6" s="163"/>
      <c r="Z6" s="163"/>
      <c r="AA6" s="163"/>
      <c r="AB6" s="163"/>
    </row>
    <row r="7" ht="15.75" customHeight="1">
      <c r="A7" s="26"/>
      <c r="B7" s="151"/>
      <c r="C7" s="186" t="s">
        <v>927</v>
      </c>
      <c r="D7" s="156" t="s">
        <v>655</v>
      </c>
      <c r="E7" s="156" t="s">
        <v>647</v>
      </c>
      <c r="F7" s="151"/>
      <c r="G7" s="151"/>
      <c r="H7" s="151"/>
      <c r="I7" s="156"/>
      <c r="J7" s="151"/>
      <c r="K7" s="156" t="s">
        <v>753</v>
      </c>
      <c r="L7" s="151"/>
      <c r="M7" s="222"/>
      <c r="N7" s="151"/>
      <c r="O7" s="151"/>
      <c r="P7" s="151"/>
    </row>
    <row r="8" ht="15.75" customHeight="1">
      <c r="A8" s="26"/>
      <c r="B8" s="156"/>
      <c r="C8" s="223" t="s">
        <v>928</v>
      </c>
      <c r="D8" s="156" t="s">
        <v>646</v>
      </c>
      <c r="E8" s="151" t="s">
        <v>647</v>
      </c>
      <c r="F8" s="151"/>
      <c r="G8" s="151"/>
      <c r="H8" s="151"/>
      <c r="I8" s="151"/>
      <c r="J8" s="151"/>
      <c r="K8" s="151"/>
      <c r="L8" s="151"/>
      <c r="M8" s="224" t="s">
        <v>832</v>
      </c>
      <c r="N8" s="151" t="s">
        <v>833</v>
      </c>
      <c r="O8" s="151"/>
      <c r="P8" s="151"/>
    </row>
    <row r="9" ht="15.75" customHeight="1">
      <c r="A9" s="26"/>
      <c r="B9" s="151"/>
      <c r="C9" s="213" t="s">
        <v>929</v>
      </c>
      <c r="D9" s="156" t="s">
        <v>655</v>
      </c>
      <c r="E9" s="151" t="s">
        <v>647</v>
      </c>
      <c r="F9" s="151"/>
      <c r="G9" s="151"/>
      <c r="H9" s="151"/>
      <c r="I9" s="151"/>
      <c r="J9" s="151"/>
      <c r="K9" s="225" t="s">
        <v>753</v>
      </c>
      <c r="L9" s="151"/>
      <c r="M9" s="151"/>
      <c r="N9" s="151"/>
      <c r="O9" s="151"/>
      <c r="P9" s="151"/>
    </row>
    <row r="10" ht="15.75" customHeight="1">
      <c r="A10" s="26"/>
      <c r="B10" s="151"/>
      <c r="C10" s="226" t="s">
        <v>930</v>
      </c>
      <c r="D10" s="134" t="s">
        <v>655</v>
      </c>
      <c r="E10" s="151" t="s">
        <v>647</v>
      </c>
      <c r="F10" s="151"/>
      <c r="G10" s="194"/>
      <c r="H10" s="156"/>
      <c r="I10" s="151"/>
      <c r="J10" s="151"/>
      <c r="K10" s="227" t="s">
        <v>753</v>
      </c>
      <c r="N10" s="151"/>
      <c r="O10" s="151"/>
      <c r="P10" s="151"/>
    </row>
    <row r="11" ht="15.75" customHeight="1">
      <c r="A11" s="26"/>
      <c r="B11" s="156"/>
      <c r="C11" s="226" t="s">
        <v>931</v>
      </c>
      <c r="D11" s="134" t="s">
        <v>655</v>
      </c>
      <c r="E11" s="151" t="s">
        <v>647</v>
      </c>
      <c r="F11" s="151"/>
      <c r="G11" s="151"/>
      <c r="H11" s="156"/>
      <c r="I11" s="151"/>
      <c r="J11" s="151"/>
      <c r="K11" s="227" t="s">
        <v>673</v>
      </c>
      <c r="L11" s="151"/>
      <c r="M11" s="151"/>
      <c r="N11" s="151"/>
      <c r="O11" s="151"/>
      <c r="P11" s="151"/>
    </row>
    <row r="12" ht="15.75" customHeight="1">
      <c r="A12" s="26"/>
      <c r="B12" s="151"/>
      <c r="C12" s="226" t="s">
        <v>932</v>
      </c>
      <c r="D12" s="134" t="s">
        <v>655</v>
      </c>
      <c r="E12" s="151"/>
      <c r="F12" s="151"/>
      <c r="G12" s="213"/>
      <c r="H12" s="187"/>
      <c r="I12" s="151"/>
      <c r="J12" s="151"/>
      <c r="K12" s="228" t="s">
        <v>673</v>
      </c>
      <c r="N12" s="151"/>
      <c r="O12" s="151"/>
      <c r="P12" s="151"/>
    </row>
    <row r="13" ht="15.75" customHeight="1">
      <c r="A13" s="26"/>
      <c r="B13" s="156"/>
      <c r="C13" s="186" t="s">
        <v>933</v>
      </c>
      <c r="D13" s="134" t="s">
        <v>655</v>
      </c>
      <c r="E13" s="156" t="s">
        <v>647</v>
      </c>
      <c r="F13" s="151"/>
      <c r="G13" s="213"/>
      <c r="H13" s="187"/>
      <c r="J13" s="151"/>
      <c r="K13" s="227" t="s">
        <v>753</v>
      </c>
      <c r="N13" s="151"/>
      <c r="O13" s="151"/>
      <c r="P13" s="151"/>
    </row>
    <row r="14" ht="15.75" customHeight="1">
      <c r="A14" s="26"/>
      <c r="B14" s="151"/>
      <c r="C14" s="186" t="s">
        <v>934</v>
      </c>
      <c r="D14" s="134" t="s">
        <v>851</v>
      </c>
      <c r="E14" s="151" t="s">
        <v>647</v>
      </c>
      <c r="F14" s="151"/>
      <c r="G14" s="151"/>
      <c r="H14" s="151"/>
      <c r="I14" s="151"/>
      <c r="J14" s="151"/>
      <c r="K14" s="156" t="s">
        <v>935</v>
      </c>
      <c r="M14" s="134"/>
      <c r="N14" s="151"/>
      <c r="O14" s="151"/>
      <c r="P14" s="151"/>
    </row>
    <row r="15" ht="15.75" customHeight="1">
      <c r="A15" s="26"/>
      <c r="B15" s="156"/>
      <c r="C15" s="146" t="s">
        <v>683</v>
      </c>
      <c r="D15" s="134" t="s">
        <v>646</v>
      </c>
      <c r="E15" s="156" t="s">
        <v>647</v>
      </c>
      <c r="F15" s="151"/>
      <c r="G15" s="156" t="s">
        <v>936</v>
      </c>
      <c r="H15" s="151"/>
      <c r="J15" s="151"/>
      <c r="K15" s="156"/>
      <c r="M15" s="134"/>
      <c r="N15" s="151"/>
      <c r="O15" s="151"/>
      <c r="P15" s="151"/>
    </row>
    <row r="16" ht="15.75" customHeight="1">
      <c r="A16" s="26"/>
      <c r="B16" s="156"/>
      <c r="C16" s="146" t="s">
        <v>937</v>
      </c>
      <c r="D16" s="194" t="s">
        <v>655</v>
      </c>
      <c r="E16" s="151" t="s">
        <v>647</v>
      </c>
      <c r="F16" s="151"/>
      <c r="G16" s="151"/>
      <c r="H16" s="151"/>
      <c r="J16" s="151"/>
      <c r="K16" s="156" t="s">
        <v>673</v>
      </c>
      <c r="M16" s="134"/>
      <c r="N16" s="151"/>
      <c r="O16" s="151"/>
      <c r="P16" s="151"/>
    </row>
    <row r="17" ht="15.75" customHeight="1">
      <c r="A17" s="27"/>
      <c r="B17" s="151"/>
      <c r="C17" s="226" t="s">
        <v>938</v>
      </c>
      <c r="D17" s="134" t="s">
        <v>646</v>
      </c>
      <c r="E17" s="156" t="s">
        <v>647</v>
      </c>
      <c r="F17" s="151"/>
      <c r="J17" s="151"/>
      <c r="K17" s="151"/>
      <c r="M17" s="151"/>
      <c r="N17" s="151"/>
      <c r="O17" s="151"/>
      <c r="P17" s="151"/>
    </row>
    <row r="18" ht="15.75" customHeight="1">
      <c r="A18" s="229" t="s">
        <v>939</v>
      </c>
      <c r="B18" s="151"/>
      <c r="C18" s="35" t="s">
        <v>859</v>
      </c>
      <c r="D18" s="134" t="s">
        <v>851</v>
      </c>
      <c r="E18" s="151" t="s">
        <v>647</v>
      </c>
      <c r="F18" s="151"/>
      <c r="G18" s="151"/>
      <c r="I18" s="230" t="s">
        <v>860</v>
      </c>
      <c r="J18" s="151"/>
      <c r="K18" s="162" t="s">
        <v>940</v>
      </c>
      <c r="L18" s="134" t="s">
        <v>941</v>
      </c>
      <c r="M18" s="151"/>
      <c r="N18" s="151"/>
      <c r="O18" s="151"/>
      <c r="P18" s="151"/>
    </row>
    <row r="19" ht="15.75" customHeight="1">
      <c r="A19" s="231" t="s">
        <v>864</v>
      </c>
      <c r="B19" s="156"/>
      <c r="C19" s="186" t="s">
        <v>863</v>
      </c>
      <c r="D19" s="194" t="s">
        <v>655</v>
      </c>
      <c r="E19" s="151" t="s">
        <v>647</v>
      </c>
      <c r="F19" s="151"/>
      <c r="G19" s="151"/>
      <c r="H19" s="151"/>
      <c r="I19" s="151"/>
      <c r="J19" s="151"/>
      <c r="K19" s="225" t="s">
        <v>673</v>
      </c>
      <c r="L19" s="151"/>
      <c r="M19" s="151"/>
      <c r="N19" s="151"/>
      <c r="O19" s="151"/>
      <c r="P19" s="151"/>
    </row>
    <row r="20" ht="15.75" customHeight="1">
      <c r="A20" s="26"/>
      <c r="B20" s="156"/>
      <c r="C20" s="186" t="s">
        <v>865</v>
      </c>
      <c r="D20" s="162" t="s">
        <v>851</v>
      </c>
      <c r="E20" s="156" t="s">
        <v>647</v>
      </c>
      <c r="F20" s="151"/>
      <c r="G20" s="156" t="s">
        <v>866</v>
      </c>
      <c r="H20" s="151"/>
      <c r="I20" s="151"/>
      <c r="J20" s="151"/>
      <c r="K20" s="232" t="s">
        <v>942</v>
      </c>
      <c r="M20" s="151"/>
    </row>
    <row r="21" ht="15.75" customHeight="1">
      <c r="A21" s="26"/>
      <c r="B21" s="156"/>
      <c r="C21" s="186" t="s">
        <v>943</v>
      </c>
      <c r="D21" s="156" t="s">
        <v>646</v>
      </c>
      <c r="E21" s="156" t="s">
        <v>647</v>
      </c>
      <c r="F21" s="151"/>
      <c r="G21" s="156" t="s">
        <v>944</v>
      </c>
      <c r="H21" s="151"/>
      <c r="I21" s="151"/>
      <c r="J21" s="151"/>
      <c r="K21" s="233"/>
      <c r="M21" s="151"/>
    </row>
    <row r="22" ht="15.75" customHeight="1">
      <c r="A22" s="27"/>
      <c r="B22" s="156"/>
      <c r="C22" s="186" t="s">
        <v>870</v>
      </c>
      <c r="D22" s="156" t="s">
        <v>851</v>
      </c>
      <c r="E22" s="156" t="s">
        <v>647</v>
      </c>
      <c r="F22" s="151"/>
      <c r="G22" s="156" t="s">
        <v>866</v>
      </c>
      <c r="I22" s="151"/>
      <c r="J22" s="151"/>
      <c r="K22" s="156" t="s">
        <v>945</v>
      </c>
      <c r="L22" s="134" t="s">
        <v>941</v>
      </c>
      <c r="M22" s="151"/>
    </row>
    <row r="23" ht="15.75" customHeight="1">
      <c r="A23" s="220"/>
      <c r="B23" s="156"/>
      <c r="C23" s="186" t="s">
        <v>946</v>
      </c>
      <c r="D23" s="194" t="s">
        <v>655</v>
      </c>
      <c r="E23" s="151" t="s">
        <v>647</v>
      </c>
      <c r="F23" s="151"/>
      <c r="G23" s="134" t="s">
        <v>947</v>
      </c>
      <c r="H23" s="151"/>
      <c r="I23" s="151"/>
      <c r="J23" s="151"/>
      <c r="K23" s="232" t="s">
        <v>673</v>
      </c>
    </row>
    <row r="24" ht="15.75" customHeight="1">
      <c r="A24" s="220"/>
      <c r="B24" s="156"/>
      <c r="C24" s="186" t="s">
        <v>948</v>
      </c>
      <c r="D24" s="134" t="s">
        <v>649</v>
      </c>
      <c r="E24" s="156" t="s">
        <v>647</v>
      </c>
      <c r="F24" s="151"/>
      <c r="G24" s="134" t="s">
        <v>949</v>
      </c>
      <c r="H24" s="151"/>
      <c r="I24" s="151"/>
      <c r="J24" s="151"/>
      <c r="K24" s="232"/>
      <c r="L24" s="42" t="s">
        <v>950</v>
      </c>
    </row>
    <row r="25" ht="15.75" customHeight="1">
      <c r="A25" s="231" t="s">
        <v>951</v>
      </c>
      <c r="B25" s="156"/>
      <c r="C25" s="186" t="s">
        <v>952</v>
      </c>
      <c r="D25" s="134" t="s">
        <v>655</v>
      </c>
      <c r="E25" s="156" t="s">
        <v>647</v>
      </c>
      <c r="F25" s="151"/>
      <c r="G25" s="194"/>
      <c r="H25" s="151"/>
      <c r="I25" s="156"/>
      <c r="J25" s="151"/>
      <c r="K25" s="232" t="s">
        <v>953</v>
      </c>
    </row>
    <row r="26" ht="15.75" customHeight="1">
      <c r="A26" s="26"/>
      <c r="B26" s="156"/>
      <c r="C26" s="213" t="s">
        <v>954</v>
      </c>
      <c r="D26" s="134" t="s">
        <v>655</v>
      </c>
      <c r="E26" s="151" t="s">
        <v>647</v>
      </c>
      <c r="F26" s="151"/>
      <c r="G26" s="186" t="s">
        <v>955</v>
      </c>
      <c r="H26" s="151"/>
      <c r="I26" s="151"/>
      <c r="J26" s="151"/>
      <c r="K26" s="232" t="s">
        <v>953</v>
      </c>
    </row>
    <row r="27" ht="15.75" customHeight="1">
      <c r="A27" s="26"/>
      <c r="B27" s="156"/>
      <c r="C27" s="186" t="s">
        <v>956</v>
      </c>
      <c r="D27" s="134" t="s">
        <v>646</v>
      </c>
      <c r="E27" s="156" t="s">
        <v>647</v>
      </c>
      <c r="F27" s="151"/>
      <c r="G27" s="134" t="s">
        <v>957</v>
      </c>
      <c r="H27" s="151"/>
      <c r="I27" s="151"/>
      <c r="J27" s="151"/>
      <c r="K27" s="234"/>
      <c r="L27" s="138"/>
      <c r="M27" s="138"/>
      <c r="N27" s="138"/>
      <c r="O27" s="138"/>
      <c r="P27" s="138"/>
    </row>
    <row r="28" ht="15.75" customHeight="1">
      <c r="A28" s="27"/>
      <c r="B28" s="156"/>
      <c r="C28" s="186" t="s">
        <v>958</v>
      </c>
      <c r="D28" s="162" t="s">
        <v>851</v>
      </c>
      <c r="E28" s="151" t="s">
        <v>647</v>
      </c>
      <c r="F28" s="151"/>
      <c r="G28" s="186" t="s">
        <v>955</v>
      </c>
      <c r="H28" s="151"/>
      <c r="I28" s="151"/>
      <c r="J28" s="151"/>
      <c r="K28" s="232" t="s">
        <v>959</v>
      </c>
      <c r="M28" s="151"/>
    </row>
    <row r="29" ht="15.75" customHeight="1">
      <c r="A29" s="220"/>
      <c r="B29" s="156"/>
      <c r="C29" s="186" t="s">
        <v>960</v>
      </c>
      <c r="D29" s="134" t="s">
        <v>646</v>
      </c>
      <c r="E29" s="156" t="s">
        <v>647</v>
      </c>
      <c r="F29" s="235"/>
      <c r="G29" s="236" t="s">
        <v>961</v>
      </c>
      <c r="H29" s="235"/>
      <c r="I29" s="235"/>
      <c r="J29" s="235"/>
      <c r="K29" s="237"/>
      <c r="M29" s="138"/>
    </row>
    <row r="30" ht="15.75" customHeight="1">
      <c r="A30" s="231" t="s">
        <v>962</v>
      </c>
      <c r="B30" s="156"/>
      <c r="C30" s="238" t="s">
        <v>963</v>
      </c>
      <c r="D30" s="194" t="s">
        <v>689</v>
      </c>
      <c r="E30" s="156" t="s">
        <v>647</v>
      </c>
      <c r="F30" s="235"/>
      <c r="G30" s="186" t="s">
        <v>955</v>
      </c>
      <c r="H30" s="235"/>
      <c r="I30" s="235"/>
      <c r="J30" s="235"/>
      <c r="K30" s="235"/>
      <c r="L30" s="141" t="s">
        <v>964</v>
      </c>
      <c r="M30" s="138"/>
      <c r="N30" s="138"/>
      <c r="O30" s="138"/>
      <c r="P30" s="138"/>
    </row>
    <row r="31" ht="15.75" customHeight="1">
      <c r="A31" s="26"/>
      <c r="B31" s="156"/>
      <c r="C31" s="238" t="s">
        <v>965</v>
      </c>
      <c r="D31" s="194" t="s">
        <v>689</v>
      </c>
      <c r="E31" s="156" t="s">
        <v>647</v>
      </c>
      <c r="F31" s="235"/>
      <c r="G31" s="186" t="s">
        <v>955</v>
      </c>
      <c r="H31" s="235"/>
      <c r="I31" s="235"/>
      <c r="J31" s="235"/>
      <c r="K31" s="235"/>
      <c r="L31" s="141" t="s">
        <v>964</v>
      </c>
      <c r="M31" s="138"/>
      <c r="N31" s="138"/>
      <c r="O31" s="138"/>
      <c r="P31" s="138"/>
    </row>
    <row r="32" ht="15.75" customHeight="1">
      <c r="A32" s="26"/>
      <c r="B32" s="156"/>
      <c r="C32" s="238" t="s">
        <v>966</v>
      </c>
      <c r="D32" s="194" t="s">
        <v>689</v>
      </c>
      <c r="E32" s="156" t="s">
        <v>647</v>
      </c>
      <c r="F32" s="235"/>
      <c r="G32" s="186" t="s">
        <v>955</v>
      </c>
      <c r="H32" s="235"/>
      <c r="I32" s="235"/>
      <c r="J32" s="235"/>
      <c r="K32" s="235"/>
      <c r="L32" s="141" t="s">
        <v>964</v>
      </c>
      <c r="M32" s="138"/>
      <c r="N32" s="138"/>
      <c r="O32" s="138"/>
      <c r="P32" s="138"/>
    </row>
    <row r="33" ht="15.75" customHeight="1">
      <c r="A33" s="27"/>
      <c r="B33" s="156"/>
      <c r="C33" s="238" t="s">
        <v>967</v>
      </c>
      <c r="D33" s="194" t="s">
        <v>689</v>
      </c>
      <c r="E33" s="156" t="s">
        <v>647</v>
      </c>
      <c r="F33" s="235"/>
      <c r="G33" s="186" t="s">
        <v>955</v>
      </c>
      <c r="H33" s="235"/>
      <c r="I33" s="235"/>
      <c r="J33" s="235"/>
      <c r="K33" s="235"/>
      <c r="L33" s="141" t="s">
        <v>964</v>
      </c>
      <c r="M33" s="138"/>
      <c r="N33" s="138"/>
      <c r="O33" s="138"/>
      <c r="P33" s="138"/>
    </row>
    <row r="34" ht="15.75" customHeight="1">
      <c r="A34" s="231" t="s">
        <v>968</v>
      </c>
      <c r="B34" s="156"/>
      <c r="C34" s="238" t="s">
        <v>969</v>
      </c>
      <c r="D34" s="194" t="s">
        <v>689</v>
      </c>
      <c r="E34" s="156" t="s">
        <v>647</v>
      </c>
      <c r="F34" s="235"/>
      <c r="G34" s="186" t="s">
        <v>955</v>
      </c>
      <c r="H34" s="235"/>
      <c r="I34" s="235"/>
      <c r="J34" s="235"/>
      <c r="K34" s="235"/>
      <c r="L34" s="141" t="s">
        <v>970</v>
      </c>
      <c r="M34" s="138"/>
      <c r="N34" s="138"/>
      <c r="O34" s="138"/>
      <c r="P34" s="138"/>
    </row>
    <row r="35" ht="15.75" customHeight="1">
      <c r="A35" s="26"/>
      <c r="B35" s="156"/>
      <c r="C35" s="238" t="s">
        <v>971</v>
      </c>
      <c r="D35" s="194" t="s">
        <v>689</v>
      </c>
      <c r="E35" s="156" t="s">
        <v>647</v>
      </c>
      <c r="F35" s="235"/>
      <c r="G35" s="186" t="s">
        <v>955</v>
      </c>
      <c r="H35" s="235"/>
      <c r="I35" s="235"/>
      <c r="J35" s="235"/>
      <c r="K35" s="235"/>
      <c r="L35" s="141" t="s">
        <v>970</v>
      </c>
      <c r="M35" s="138"/>
      <c r="N35" s="138"/>
      <c r="O35" s="138"/>
      <c r="P35" s="138"/>
    </row>
    <row r="36" ht="15.75" customHeight="1">
      <c r="A36" s="27"/>
      <c r="B36" s="156"/>
      <c r="C36" s="186" t="s">
        <v>972</v>
      </c>
      <c r="D36" s="194" t="s">
        <v>689</v>
      </c>
      <c r="E36" s="156" t="s">
        <v>647</v>
      </c>
      <c r="F36" s="235"/>
      <c r="G36" s="186" t="s">
        <v>955</v>
      </c>
      <c r="H36" s="235"/>
      <c r="I36" s="235"/>
      <c r="J36" s="235"/>
      <c r="K36" s="235"/>
      <c r="L36" s="141" t="s">
        <v>970</v>
      </c>
      <c r="M36" s="138"/>
      <c r="N36" s="138"/>
      <c r="O36" s="138"/>
      <c r="P36" s="138"/>
    </row>
    <row r="37" ht="15.75" customHeight="1">
      <c r="A37" s="231" t="s">
        <v>973</v>
      </c>
      <c r="B37" s="156"/>
      <c r="C37" s="238" t="s">
        <v>974</v>
      </c>
      <c r="D37" s="194" t="s">
        <v>689</v>
      </c>
      <c r="E37" s="156" t="s">
        <v>647</v>
      </c>
      <c r="F37" s="235"/>
      <c r="G37" s="186" t="s">
        <v>955</v>
      </c>
      <c r="H37" s="235"/>
      <c r="I37" s="235"/>
      <c r="J37" s="235"/>
      <c r="K37" s="235"/>
      <c r="L37" s="141" t="s">
        <v>975</v>
      </c>
      <c r="M37" s="138"/>
      <c r="N37" s="138"/>
      <c r="O37" s="138"/>
      <c r="P37" s="138"/>
    </row>
    <row r="38" ht="15.75" customHeight="1">
      <c r="A38" s="26"/>
      <c r="B38" s="156"/>
      <c r="C38" s="238" t="s">
        <v>976</v>
      </c>
      <c r="D38" s="194" t="s">
        <v>689</v>
      </c>
      <c r="E38" s="156" t="s">
        <v>647</v>
      </c>
      <c r="F38" s="235"/>
      <c r="G38" s="186" t="s">
        <v>955</v>
      </c>
      <c r="H38" s="235"/>
      <c r="I38" s="235"/>
      <c r="J38" s="235"/>
      <c r="K38" s="235"/>
      <c r="L38" s="141" t="s">
        <v>975</v>
      </c>
      <c r="M38" s="138"/>
      <c r="N38" s="138"/>
      <c r="O38" s="138"/>
      <c r="P38" s="138"/>
    </row>
    <row r="39" ht="15.75" customHeight="1">
      <c r="A39" s="27"/>
      <c r="B39" s="156"/>
      <c r="C39" s="238" t="s">
        <v>977</v>
      </c>
      <c r="D39" s="194" t="s">
        <v>689</v>
      </c>
      <c r="E39" s="156" t="s">
        <v>647</v>
      </c>
      <c r="F39" s="235"/>
      <c r="G39" s="186" t="s">
        <v>955</v>
      </c>
      <c r="H39" s="235"/>
      <c r="I39" s="235"/>
      <c r="J39" s="235"/>
      <c r="K39" s="235"/>
      <c r="L39" s="141" t="s">
        <v>975</v>
      </c>
      <c r="M39" s="138"/>
      <c r="N39" s="138"/>
      <c r="O39" s="138"/>
      <c r="P39" s="138"/>
    </row>
    <row r="40" ht="15.75" customHeight="1">
      <c r="A40" s="231" t="s">
        <v>978</v>
      </c>
      <c r="B40" s="156"/>
      <c r="C40" s="238" t="s">
        <v>979</v>
      </c>
      <c r="D40" s="194" t="s">
        <v>689</v>
      </c>
      <c r="E40" s="156" t="s">
        <v>647</v>
      </c>
      <c r="F40" s="235"/>
      <c r="G40" s="186" t="s">
        <v>955</v>
      </c>
      <c r="H40" s="235"/>
      <c r="I40" s="235"/>
      <c r="J40" s="235"/>
      <c r="K40" s="235"/>
      <c r="L40" s="141" t="s">
        <v>975</v>
      </c>
      <c r="M40" s="138"/>
      <c r="N40" s="138"/>
      <c r="O40" s="138"/>
      <c r="P40" s="138"/>
    </row>
    <row r="41" ht="15.75" customHeight="1">
      <c r="A41" s="26"/>
      <c r="B41" s="156"/>
      <c r="C41" s="238" t="s">
        <v>980</v>
      </c>
      <c r="D41" s="194" t="s">
        <v>689</v>
      </c>
      <c r="E41" s="156" t="s">
        <v>647</v>
      </c>
      <c r="F41" s="235"/>
      <c r="G41" s="186" t="s">
        <v>955</v>
      </c>
      <c r="H41" s="235"/>
      <c r="I41" s="235"/>
      <c r="J41" s="235"/>
      <c r="K41" s="235"/>
      <c r="L41" s="141" t="s">
        <v>975</v>
      </c>
      <c r="M41" s="138"/>
      <c r="N41" s="138"/>
      <c r="O41" s="138"/>
      <c r="P41" s="138"/>
    </row>
    <row r="42" ht="15.75" customHeight="1">
      <c r="A42" s="26"/>
      <c r="B42" s="156"/>
      <c r="C42" s="238" t="s">
        <v>981</v>
      </c>
      <c r="D42" s="194" t="s">
        <v>689</v>
      </c>
      <c r="E42" s="156" t="s">
        <v>647</v>
      </c>
      <c r="F42" s="235"/>
      <c r="G42" s="186" t="s">
        <v>955</v>
      </c>
      <c r="H42" s="235"/>
      <c r="I42" s="235"/>
      <c r="J42" s="235"/>
      <c r="K42" s="238"/>
      <c r="L42" s="141" t="s">
        <v>982</v>
      </c>
      <c r="M42" s="138"/>
      <c r="N42" s="138"/>
      <c r="O42" s="138"/>
      <c r="P42" s="138"/>
    </row>
    <row r="43" ht="15.75" customHeight="1">
      <c r="A43" s="26"/>
      <c r="B43" s="156"/>
      <c r="C43" s="238" t="s">
        <v>983</v>
      </c>
      <c r="D43" s="194" t="s">
        <v>689</v>
      </c>
      <c r="E43" s="156" t="s">
        <v>647</v>
      </c>
      <c r="F43" s="235"/>
      <c r="G43" s="186" t="s">
        <v>955</v>
      </c>
      <c r="H43" s="235"/>
      <c r="I43" s="235"/>
      <c r="J43" s="235"/>
      <c r="K43" s="238"/>
      <c r="L43" s="141" t="s">
        <v>975</v>
      </c>
      <c r="M43" s="138"/>
      <c r="N43" s="138"/>
      <c r="O43" s="138"/>
      <c r="P43" s="138"/>
    </row>
    <row r="44" ht="15.75" customHeight="1">
      <c r="A44" s="26"/>
      <c r="B44" s="156"/>
      <c r="C44" s="238" t="s">
        <v>984</v>
      </c>
      <c r="D44" s="194" t="s">
        <v>689</v>
      </c>
      <c r="E44" s="156" t="s">
        <v>647</v>
      </c>
      <c r="F44" s="235"/>
      <c r="G44" s="186" t="s">
        <v>955</v>
      </c>
      <c r="H44" s="235"/>
      <c r="I44" s="235"/>
      <c r="J44" s="235"/>
      <c r="K44" s="238"/>
      <c r="L44" s="141" t="s">
        <v>975</v>
      </c>
      <c r="M44" s="138"/>
      <c r="N44" s="138"/>
      <c r="O44" s="138"/>
      <c r="P44" s="138"/>
    </row>
    <row r="45" ht="15.75" customHeight="1">
      <c r="A45" s="26"/>
      <c r="B45" s="156"/>
      <c r="C45" s="238" t="s">
        <v>985</v>
      </c>
      <c r="D45" s="194" t="s">
        <v>689</v>
      </c>
      <c r="E45" s="156" t="s">
        <v>647</v>
      </c>
      <c r="F45" s="235"/>
      <c r="G45" s="186" t="s">
        <v>955</v>
      </c>
      <c r="H45" s="235"/>
      <c r="I45" s="235"/>
      <c r="J45" s="235"/>
      <c r="K45" s="238"/>
      <c r="L45" s="141" t="s">
        <v>982</v>
      </c>
      <c r="M45" s="138"/>
      <c r="N45" s="138"/>
      <c r="O45" s="138"/>
      <c r="P45" s="138"/>
    </row>
    <row r="46" ht="15.75" customHeight="1">
      <c r="A46" s="27"/>
      <c r="B46" s="156"/>
      <c r="C46" s="238" t="s">
        <v>986</v>
      </c>
      <c r="D46" s="194" t="s">
        <v>689</v>
      </c>
      <c r="E46" s="156" t="s">
        <v>647</v>
      </c>
      <c r="F46" s="235"/>
      <c r="G46" s="186" t="s">
        <v>955</v>
      </c>
      <c r="H46" s="235"/>
      <c r="I46" s="235"/>
      <c r="J46" s="235"/>
      <c r="K46" s="238"/>
      <c r="L46" s="141" t="s">
        <v>975</v>
      </c>
      <c r="M46" s="138"/>
      <c r="N46" s="138"/>
      <c r="O46" s="138"/>
      <c r="P46" s="138"/>
    </row>
    <row r="47" ht="15.75" customHeight="1">
      <c r="A47" s="220" t="s">
        <v>987</v>
      </c>
      <c r="B47" s="156"/>
      <c r="C47" s="238" t="s">
        <v>988</v>
      </c>
      <c r="D47" s="194" t="s">
        <v>689</v>
      </c>
      <c r="E47" s="156" t="s">
        <v>647</v>
      </c>
      <c r="F47" s="235"/>
      <c r="G47" s="186" t="s">
        <v>955</v>
      </c>
      <c r="H47" s="235"/>
      <c r="I47" s="235"/>
      <c r="J47" s="235"/>
      <c r="K47" s="238"/>
      <c r="L47" s="141" t="s">
        <v>989</v>
      </c>
      <c r="M47" s="138"/>
      <c r="N47" s="138"/>
      <c r="O47" s="138"/>
      <c r="P47" s="138"/>
    </row>
    <row r="48" ht="15.75" customHeight="1">
      <c r="A48" s="239"/>
      <c r="B48" s="162"/>
      <c r="C48" s="193" t="s">
        <v>990</v>
      </c>
      <c r="D48" s="133" t="s">
        <v>738</v>
      </c>
      <c r="E48" s="162" t="s">
        <v>647</v>
      </c>
      <c r="F48" s="240"/>
      <c r="G48" s="241"/>
      <c r="H48" s="240"/>
      <c r="I48" s="240"/>
      <c r="J48" s="240"/>
      <c r="K48" s="242"/>
      <c r="L48" s="243" t="s">
        <v>991</v>
      </c>
      <c r="M48" s="244"/>
      <c r="N48" s="163"/>
      <c r="O48" s="163"/>
      <c r="P48" s="163"/>
      <c r="Q48" s="163"/>
      <c r="R48" s="163"/>
      <c r="S48" s="163"/>
      <c r="T48" s="163"/>
      <c r="U48" s="163"/>
      <c r="V48" s="163"/>
      <c r="W48" s="163"/>
      <c r="X48" s="163"/>
      <c r="Y48" s="163"/>
      <c r="Z48" s="163"/>
      <c r="AA48" s="163"/>
      <c r="AB48" s="163"/>
    </row>
    <row r="49" ht="15.75" customHeight="1">
      <c r="A49" s="245" t="s">
        <v>992</v>
      </c>
      <c r="B49" s="138"/>
      <c r="C49" s="246" t="s">
        <v>993</v>
      </c>
      <c r="D49" s="134" t="s">
        <v>738</v>
      </c>
      <c r="E49" s="156" t="s">
        <v>647</v>
      </c>
      <c r="F49" s="141"/>
      <c r="G49" s="40" t="s">
        <v>994</v>
      </c>
      <c r="H49" s="138"/>
      <c r="I49" s="138"/>
      <c r="J49" s="138"/>
      <c r="K49" s="138"/>
      <c r="L49" s="141" t="s">
        <v>995</v>
      </c>
      <c r="M49" s="138"/>
      <c r="N49" s="138"/>
      <c r="O49" s="138"/>
      <c r="P49" s="138"/>
    </row>
    <row r="50" ht="15.75" customHeight="1">
      <c r="A50" s="27"/>
      <c r="B50" s="138"/>
      <c r="C50" s="247" t="s">
        <v>996</v>
      </c>
      <c r="D50" s="134" t="s">
        <v>738</v>
      </c>
      <c r="E50" s="156" t="s">
        <v>647</v>
      </c>
      <c r="F50" s="141"/>
      <c r="G50" s="40" t="s">
        <v>997</v>
      </c>
      <c r="H50" s="138"/>
      <c r="I50" s="138"/>
      <c r="J50" s="138"/>
      <c r="K50" s="138"/>
      <c r="L50" s="141" t="s">
        <v>998</v>
      </c>
      <c r="M50" s="138"/>
      <c r="N50" s="138"/>
      <c r="O50" s="138"/>
      <c r="P50" s="138"/>
    </row>
    <row r="51" ht="15.75" customHeight="1">
      <c r="A51" s="248" t="s">
        <v>999</v>
      </c>
      <c r="C51" s="249"/>
    </row>
    <row r="52">
      <c r="C52" s="42" t="s">
        <v>901</v>
      </c>
      <c r="D52" s="42" t="s">
        <v>876</v>
      </c>
      <c r="E52" s="42" t="s">
        <v>307</v>
      </c>
    </row>
    <row r="53" ht="15.75" customHeight="1">
      <c r="A53" s="250"/>
      <c r="C53" s="251"/>
    </row>
    <row r="54" ht="15.75" customHeight="1">
      <c r="A54" s="250"/>
      <c r="C54" s="251"/>
    </row>
    <row r="55" ht="15.75" customHeight="1">
      <c r="A55" s="250"/>
      <c r="C55" s="180"/>
    </row>
    <row r="56" ht="15.75" customHeight="1">
      <c r="A56" s="250"/>
      <c r="C56" s="180"/>
    </row>
    <row r="57" ht="15.75" customHeight="1">
      <c r="A57" s="250"/>
      <c r="C57" s="180"/>
    </row>
    <row r="58" ht="15.75" customHeight="1">
      <c r="A58" s="250"/>
      <c r="C58" s="180"/>
    </row>
    <row r="59" ht="15.75" customHeight="1">
      <c r="A59" s="250"/>
      <c r="C59" s="180"/>
    </row>
    <row r="60" ht="15.75" customHeight="1">
      <c r="A60" s="250"/>
      <c r="C60" s="180"/>
    </row>
    <row r="61" ht="15.75" customHeight="1">
      <c r="A61" s="250"/>
      <c r="C61" s="180"/>
    </row>
    <row r="62" ht="15.75" customHeight="1">
      <c r="A62" s="250"/>
      <c r="C62" s="180"/>
    </row>
    <row r="63" ht="15.75" customHeight="1">
      <c r="A63" s="250"/>
      <c r="C63" s="180"/>
    </row>
    <row r="64" ht="15.75" customHeight="1">
      <c r="A64" s="250"/>
      <c r="C64" s="180"/>
    </row>
    <row r="65" ht="15.75" customHeight="1">
      <c r="A65" s="250"/>
      <c r="C65" s="180"/>
    </row>
    <row r="66" ht="15.75" customHeight="1">
      <c r="A66" s="250"/>
      <c r="C66" s="180"/>
    </row>
    <row r="67" ht="15.75" customHeight="1">
      <c r="A67" s="250"/>
      <c r="C67" s="180"/>
    </row>
    <row r="68" ht="15.75" customHeight="1">
      <c r="A68" s="250"/>
      <c r="C68" s="180"/>
    </row>
    <row r="69" ht="15.75" customHeight="1">
      <c r="A69" s="250"/>
      <c r="C69" s="180"/>
    </row>
    <row r="70" ht="15.75" customHeight="1">
      <c r="A70" s="250"/>
      <c r="C70" s="180"/>
    </row>
    <row r="71" ht="15.75" customHeight="1">
      <c r="A71" s="250"/>
      <c r="C71" s="180"/>
    </row>
    <row r="72" ht="15.75" customHeight="1">
      <c r="A72" s="250"/>
      <c r="C72" s="180"/>
    </row>
    <row r="73" ht="15.75" customHeight="1">
      <c r="A73" s="250"/>
      <c r="C73" s="180"/>
    </row>
    <row r="74" ht="15.75" customHeight="1">
      <c r="A74" s="250"/>
      <c r="C74" s="180"/>
    </row>
    <row r="75" ht="15.75" customHeight="1">
      <c r="A75" s="250"/>
      <c r="C75" s="180"/>
    </row>
    <row r="76" ht="15.75" customHeight="1">
      <c r="A76" s="250"/>
      <c r="C76" s="180"/>
    </row>
    <row r="77" ht="15.75" customHeight="1">
      <c r="A77" s="250"/>
      <c r="C77" s="180"/>
    </row>
    <row r="78" ht="15.75" customHeight="1">
      <c r="A78" s="250"/>
      <c r="C78" s="180"/>
    </row>
    <row r="79" ht="15.75" customHeight="1">
      <c r="A79" s="250"/>
      <c r="C79" s="180"/>
    </row>
    <row r="80" ht="15.75" customHeight="1">
      <c r="A80" s="250"/>
      <c r="C80" s="180"/>
    </row>
    <row r="81" ht="15.75" customHeight="1">
      <c r="A81" s="250"/>
      <c r="C81" s="180"/>
    </row>
    <row r="82" ht="15.75" customHeight="1">
      <c r="A82" s="250"/>
      <c r="C82" s="180"/>
    </row>
    <row r="83" ht="15.75" customHeight="1">
      <c r="A83" s="250"/>
      <c r="C83" s="180"/>
    </row>
    <row r="84" ht="15.75" customHeight="1">
      <c r="A84" s="250"/>
      <c r="C84" s="180"/>
    </row>
    <row r="85" ht="15.75" customHeight="1">
      <c r="A85" s="250"/>
      <c r="C85" s="180"/>
    </row>
    <row r="86" ht="15.75" customHeight="1">
      <c r="A86" s="250"/>
      <c r="C86" s="180"/>
    </row>
    <row r="87" ht="15.75" customHeight="1">
      <c r="A87" s="250"/>
      <c r="C87" s="180"/>
    </row>
    <row r="88" ht="15.75" customHeight="1">
      <c r="A88" s="250"/>
      <c r="C88" s="180"/>
    </row>
    <row r="89" ht="15.75" customHeight="1">
      <c r="A89" s="250"/>
      <c r="C89" s="180"/>
    </row>
    <row r="90" ht="15.75" customHeight="1">
      <c r="A90" s="250"/>
      <c r="C90" s="180"/>
    </row>
    <row r="91" ht="15.75" customHeight="1">
      <c r="A91" s="250"/>
      <c r="C91" s="180"/>
    </row>
    <row r="92" ht="15.75" customHeight="1">
      <c r="A92" s="250"/>
      <c r="C92" s="180"/>
    </row>
    <row r="93" ht="15.75" customHeight="1">
      <c r="A93" s="250"/>
      <c r="C93" s="180"/>
    </row>
    <row r="94" ht="15.75" customHeight="1">
      <c r="A94" s="250"/>
      <c r="C94" s="180"/>
    </row>
    <row r="95" ht="15.75" customHeight="1">
      <c r="A95" s="250"/>
      <c r="C95" s="180"/>
    </row>
    <row r="96" ht="15.75" customHeight="1">
      <c r="A96" s="250"/>
      <c r="C96" s="180"/>
    </row>
    <row r="97" ht="15.75" customHeight="1">
      <c r="A97" s="250"/>
      <c r="C97" s="180"/>
    </row>
    <row r="98" ht="15.75" customHeight="1">
      <c r="A98" s="250"/>
      <c r="C98" s="180"/>
    </row>
    <row r="99" ht="15.75" customHeight="1">
      <c r="A99" s="250"/>
      <c r="C99" s="180"/>
    </row>
    <row r="100" ht="15.75" customHeight="1">
      <c r="A100" s="250"/>
      <c r="C100" s="180"/>
    </row>
    <row r="101" ht="15.75" customHeight="1">
      <c r="A101" s="250"/>
      <c r="C101" s="180"/>
      <c r="L101" s="217"/>
    </row>
    <row r="102" ht="15.75" customHeight="1">
      <c r="A102" s="250"/>
      <c r="C102" s="180"/>
      <c r="L102" s="217"/>
    </row>
    <row r="103" ht="15.75" customHeight="1">
      <c r="A103" s="250"/>
      <c r="C103" s="180"/>
      <c r="L103" s="217"/>
    </row>
    <row r="104" ht="15.75" customHeight="1">
      <c r="A104" s="250"/>
      <c r="C104" s="180"/>
      <c r="O104" s="149"/>
    </row>
    <row r="105" ht="15.75" customHeight="1">
      <c r="A105" s="250"/>
      <c r="C105" s="180"/>
      <c r="L105" s="149"/>
      <c r="O105" s="149"/>
    </row>
    <row r="106" ht="15.75" customHeight="1">
      <c r="A106" s="250"/>
      <c r="C106" s="180"/>
      <c r="L106" s="217"/>
      <c r="O106" s="149"/>
    </row>
    <row r="107" ht="15.75" customHeight="1">
      <c r="A107" s="250"/>
      <c r="C107" s="180"/>
    </row>
    <row r="108" ht="15.75" customHeight="1">
      <c r="A108" s="250"/>
      <c r="C108" s="180"/>
    </row>
    <row r="109" ht="15.75" customHeight="1">
      <c r="A109" s="250"/>
      <c r="C109" s="180"/>
    </row>
    <row r="110" ht="15.75" customHeight="1">
      <c r="A110" s="250"/>
      <c r="C110" s="180"/>
    </row>
    <row r="111" ht="15.75" customHeight="1">
      <c r="A111" s="250"/>
      <c r="C111" s="180"/>
    </row>
    <row r="112" ht="15.75" customHeight="1">
      <c r="A112" s="250"/>
      <c r="C112" s="180"/>
    </row>
    <row r="113" ht="15.75" customHeight="1">
      <c r="A113" s="250"/>
      <c r="C113" s="180"/>
    </row>
    <row r="114" ht="15.75" customHeight="1">
      <c r="A114" s="250"/>
      <c r="C114" s="180"/>
    </row>
    <row r="115" ht="15.75" customHeight="1">
      <c r="A115" s="250"/>
      <c r="C115" s="180"/>
    </row>
    <row r="116" ht="15.75" customHeight="1">
      <c r="A116" s="250"/>
      <c r="C116" s="180"/>
    </row>
    <row r="117" ht="15.75" customHeight="1">
      <c r="A117" s="250"/>
      <c r="C117" s="180"/>
    </row>
    <row r="118" ht="15.75" customHeight="1">
      <c r="A118" s="250"/>
      <c r="C118" s="180"/>
    </row>
    <row r="119" ht="15.75" customHeight="1">
      <c r="A119" s="250"/>
      <c r="C119" s="180"/>
    </row>
    <row r="120" ht="15.75" customHeight="1">
      <c r="A120" s="250"/>
      <c r="C120" s="180"/>
    </row>
    <row r="121" ht="15.75" customHeight="1">
      <c r="A121" s="250"/>
      <c r="C121" s="180"/>
    </row>
    <row r="122" ht="15.75" customHeight="1">
      <c r="A122" s="250"/>
      <c r="C122" s="180"/>
    </row>
    <row r="123" ht="15.75" customHeight="1">
      <c r="A123" s="250"/>
      <c r="C123" s="180"/>
    </row>
    <row r="124" ht="15.75" customHeight="1">
      <c r="A124" s="250"/>
      <c r="C124" s="180"/>
    </row>
    <row r="125" ht="15.75" customHeight="1">
      <c r="A125" s="250"/>
      <c r="C125" s="180"/>
    </row>
    <row r="126" ht="15.75" customHeight="1">
      <c r="A126" s="250"/>
      <c r="C126" s="180"/>
    </row>
    <row r="127" ht="15.75" customHeight="1">
      <c r="A127" s="250"/>
      <c r="C127" s="180"/>
    </row>
    <row r="128" ht="15.75" customHeight="1">
      <c r="A128" s="250"/>
      <c r="C128" s="180"/>
    </row>
    <row r="129" ht="15.75" customHeight="1">
      <c r="A129" s="250"/>
      <c r="C129" s="180"/>
    </row>
    <row r="130" ht="15.75" customHeight="1">
      <c r="A130" s="250"/>
      <c r="C130" s="180"/>
    </row>
    <row r="131" ht="15.75" customHeight="1">
      <c r="A131" s="250"/>
      <c r="C131" s="180"/>
    </row>
    <row r="132" ht="15.75" customHeight="1">
      <c r="A132" s="250"/>
      <c r="C132" s="180"/>
    </row>
    <row r="133" ht="15.75" customHeight="1">
      <c r="A133" s="250"/>
      <c r="C133" s="180"/>
    </row>
    <row r="134" ht="15.75" customHeight="1">
      <c r="A134" s="250"/>
      <c r="C134" s="180"/>
    </row>
    <row r="135" ht="15.75" customHeight="1">
      <c r="A135" s="250"/>
      <c r="C135" s="180"/>
    </row>
    <row r="136" ht="15.75" customHeight="1">
      <c r="A136" s="250"/>
      <c r="C136" s="180"/>
    </row>
    <row r="137" ht="15.75" customHeight="1">
      <c r="A137" s="250"/>
      <c r="C137" s="180"/>
    </row>
    <row r="138" ht="15.75" customHeight="1">
      <c r="A138" s="250"/>
      <c r="C138" s="180"/>
    </row>
    <row r="139" ht="15.75" customHeight="1">
      <c r="A139" s="250"/>
      <c r="C139" s="180"/>
    </row>
    <row r="140" ht="15.75" customHeight="1">
      <c r="A140" s="250"/>
      <c r="C140" s="180"/>
    </row>
    <row r="141" ht="15.75" customHeight="1">
      <c r="A141" s="250"/>
      <c r="C141" s="180"/>
    </row>
    <row r="142" ht="15.75" customHeight="1">
      <c r="A142" s="250"/>
      <c r="C142" s="180"/>
    </row>
    <row r="143" ht="15.75" customHeight="1">
      <c r="A143" s="250"/>
      <c r="C143" s="180"/>
    </row>
    <row r="144" ht="15.75" customHeight="1">
      <c r="A144" s="250"/>
      <c r="C144" s="180"/>
    </row>
    <row r="145" ht="15.75" customHeight="1">
      <c r="A145" s="250"/>
      <c r="C145" s="180"/>
    </row>
    <row r="146" ht="15.75" customHeight="1">
      <c r="A146" s="250"/>
      <c r="C146" s="180"/>
    </row>
    <row r="147" ht="15.75" customHeight="1">
      <c r="A147" s="250"/>
      <c r="C147" s="180"/>
    </row>
    <row r="148" ht="15.75" customHeight="1">
      <c r="A148" s="250"/>
      <c r="C148" s="180"/>
    </row>
    <row r="149" ht="15.75" customHeight="1">
      <c r="A149" s="250"/>
      <c r="C149" s="180"/>
    </row>
    <row r="150" ht="15.75" customHeight="1">
      <c r="A150" s="250"/>
      <c r="C150" s="180"/>
    </row>
    <row r="151" ht="15.75" customHeight="1">
      <c r="A151" s="250"/>
      <c r="C151" s="180"/>
    </row>
    <row r="152" ht="15.75" customHeight="1">
      <c r="A152" s="250"/>
      <c r="C152" s="180"/>
    </row>
    <row r="153" ht="15.75" customHeight="1">
      <c r="A153" s="250"/>
      <c r="C153" s="180"/>
    </row>
    <row r="154" ht="15.75" customHeight="1">
      <c r="A154" s="250"/>
      <c r="C154" s="180"/>
    </row>
    <row r="155" ht="15.75" customHeight="1">
      <c r="A155" s="250"/>
      <c r="C155" s="180"/>
    </row>
    <row r="156" ht="15.75" customHeight="1">
      <c r="A156" s="250"/>
      <c r="C156" s="180"/>
    </row>
    <row r="157" ht="15.75" customHeight="1">
      <c r="A157" s="250"/>
      <c r="C157" s="180"/>
    </row>
    <row r="158" ht="15.75" customHeight="1">
      <c r="A158" s="250"/>
      <c r="C158" s="180"/>
    </row>
    <row r="159" ht="15.75" customHeight="1">
      <c r="A159" s="250"/>
      <c r="C159" s="180"/>
    </row>
    <row r="160" ht="15.75" customHeight="1">
      <c r="A160" s="250"/>
      <c r="C160" s="180"/>
    </row>
    <row r="161" ht="15.75" customHeight="1">
      <c r="A161" s="250"/>
      <c r="C161" s="180"/>
    </row>
    <row r="162" ht="15.75" customHeight="1">
      <c r="A162" s="250"/>
      <c r="C162" s="180"/>
    </row>
    <row r="163" ht="15.75" customHeight="1">
      <c r="A163" s="250"/>
      <c r="C163" s="180"/>
    </row>
    <row r="164" ht="15.75" customHeight="1">
      <c r="A164" s="250"/>
      <c r="C164" s="180"/>
    </row>
    <row r="165" ht="15.75" customHeight="1">
      <c r="A165" s="250"/>
      <c r="C165" s="180"/>
    </row>
    <row r="166" ht="15.75" customHeight="1">
      <c r="A166" s="250"/>
      <c r="C166" s="180"/>
    </row>
    <row r="167" ht="15.75" customHeight="1">
      <c r="A167" s="250"/>
      <c r="C167" s="180"/>
    </row>
    <row r="168" ht="15.75" customHeight="1">
      <c r="A168" s="250"/>
      <c r="C168" s="180"/>
    </row>
    <row r="169" ht="15.75" customHeight="1">
      <c r="A169" s="250"/>
      <c r="C169" s="180"/>
    </row>
    <row r="170" ht="15.75" customHeight="1">
      <c r="A170" s="250"/>
      <c r="C170" s="180"/>
    </row>
    <row r="171" ht="15.75" customHeight="1">
      <c r="A171" s="250"/>
      <c r="C171" s="180"/>
    </row>
    <row r="172" ht="15.75" customHeight="1">
      <c r="A172" s="250"/>
      <c r="C172" s="180"/>
    </row>
    <row r="173" ht="15.75" customHeight="1">
      <c r="A173" s="250"/>
      <c r="C173" s="180"/>
    </row>
    <row r="174" ht="15.75" customHeight="1">
      <c r="A174" s="250"/>
      <c r="C174" s="180"/>
    </row>
    <row r="175" ht="15.75" customHeight="1">
      <c r="A175" s="250"/>
      <c r="C175" s="180"/>
    </row>
    <row r="176" ht="15.75" customHeight="1">
      <c r="A176" s="250"/>
      <c r="C176" s="180"/>
    </row>
    <row r="177" ht="15.75" customHeight="1">
      <c r="A177" s="250"/>
      <c r="C177" s="180"/>
    </row>
    <row r="178" ht="15.75" customHeight="1">
      <c r="A178" s="250"/>
      <c r="C178" s="180"/>
    </row>
    <row r="179" ht="15.75" customHeight="1">
      <c r="A179" s="250"/>
      <c r="C179" s="180"/>
    </row>
    <row r="180" ht="15.75" customHeight="1">
      <c r="A180" s="250"/>
      <c r="C180" s="180"/>
    </row>
    <row r="181" ht="15.75" customHeight="1">
      <c r="A181" s="250"/>
      <c r="C181" s="180"/>
    </row>
    <row r="182" ht="15.75" customHeight="1">
      <c r="A182" s="250"/>
      <c r="C182" s="180"/>
    </row>
    <row r="183" ht="15.75" customHeight="1">
      <c r="A183" s="250"/>
      <c r="C183" s="180"/>
    </row>
    <row r="184" ht="15.75" customHeight="1">
      <c r="A184" s="250"/>
      <c r="C184" s="180"/>
    </row>
    <row r="185" ht="15.75" customHeight="1">
      <c r="A185" s="250"/>
      <c r="C185" s="180"/>
    </row>
    <row r="186" ht="15.75" customHeight="1">
      <c r="A186" s="250"/>
      <c r="C186" s="180"/>
    </row>
    <row r="187" ht="15.75" customHeight="1">
      <c r="A187" s="250"/>
      <c r="C187" s="180"/>
    </row>
    <row r="188" ht="15.75" customHeight="1">
      <c r="A188" s="250"/>
      <c r="C188" s="180"/>
    </row>
    <row r="189" ht="15.75" customHeight="1">
      <c r="A189" s="250"/>
      <c r="C189" s="180"/>
    </row>
    <row r="190" ht="15.75" customHeight="1">
      <c r="A190" s="250"/>
      <c r="C190" s="180"/>
    </row>
    <row r="191" ht="15.75" customHeight="1">
      <c r="A191" s="250"/>
      <c r="C191" s="180"/>
    </row>
    <row r="192" ht="15.75" customHeight="1">
      <c r="A192" s="250"/>
      <c r="C192" s="180"/>
    </row>
    <row r="193" ht="15.75" customHeight="1">
      <c r="A193" s="250"/>
      <c r="C193" s="180"/>
    </row>
    <row r="194" ht="15.75" customHeight="1">
      <c r="A194" s="250"/>
      <c r="C194" s="180"/>
    </row>
    <row r="195" ht="15.75" customHeight="1">
      <c r="A195" s="250"/>
      <c r="C195" s="180"/>
    </row>
    <row r="196" ht="15.75" customHeight="1">
      <c r="A196" s="250"/>
      <c r="C196" s="180"/>
    </row>
    <row r="197" ht="15.75" customHeight="1">
      <c r="A197" s="250"/>
      <c r="C197" s="180"/>
    </row>
    <row r="198" ht="15.75" customHeight="1">
      <c r="A198" s="250"/>
      <c r="C198" s="180"/>
    </row>
    <row r="199" ht="15.75" customHeight="1">
      <c r="A199" s="250"/>
      <c r="C199" s="180"/>
    </row>
    <row r="200" ht="15.75" customHeight="1">
      <c r="A200" s="250"/>
      <c r="C200" s="180"/>
    </row>
    <row r="201" ht="15.75" customHeight="1">
      <c r="A201" s="250"/>
      <c r="C201" s="180"/>
    </row>
    <row r="202" ht="15.75" customHeight="1">
      <c r="A202" s="250"/>
      <c r="C202" s="180"/>
    </row>
    <row r="203" ht="15.75" customHeight="1">
      <c r="A203" s="250"/>
      <c r="C203" s="180"/>
    </row>
    <row r="204" ht="15.75" customHeight="1">
      <c r="A204" s="250"/>
      <c r="C204" s="180"/>
    </row>
    <row r="205" ht="15.75" customHeight="1">
      <c r="A205" s="250"/>
      <c r="C205" s="180"/>
    </row>
    <row r="206" ht="15.75" customHeight="1">
      <c r="A206" s="250"/>
      <c r="C206" s="180"/>
    </row>
    <row r="207" ht="15.75" customHeight="1">
      <c r="A207" s="250"/>
      <c r="C207" s="180"/>
    </row>
    <row r="208" ht="15.75" customHeight="1">
      <c r="A208" s="250"/>
      <c r="C208" s="180"/>
    </row>
    <row r="209" ht="15.75" customHeight="1">
      <c r="A209" s="250"/>
      <c r="C209" s="180"/>
    </row>
    <row r="210" ht="15.75" customHeight="1">
      <c r="A210" s="250"/>
      <c r="C210" s="180"/>
    </row>
    <row r="211" ht="15.75" customHeight="1">
      <c r="A211" s="250"/>
      <c r="C211" s="180"/>
    </row>
    <row r="212" ht="15.75" customHeight="1">
      <c r="A212" s="250"/>
      <c r="C212" s="180"/>
    </row>
    <row r="213" ht="15.75" customHeight="1">
      <c r="A213" s="250"/>
      <c r="C213" s="180"/>
    </row>
    <row r="214" ht="15.75" customHeight="1">
      <c r="A214" s="250"/>
      <c r="C214" s="180"/>
    </row>
    <row r="215" ht="15.75" customHeight="1">
      <c r="A215" s="250"/>
      <c r="C215" s="180"/>
    </row>
    <row r="216" ht="15.75" customHeight="1">
      <c r="A216" s="250"/>
      <c r="C216" s="180"/>
    </row>
    <row r="217" ht="15.75" customHeight="1">
      <c r="A217" s="250"/>
      <c r="C217" s="180"/>
    </row>
    <row r="218" ht="15.75" customHeight="1">
      <c r="A218" s="250"/>
      <c r="C218" s="180"/>
    </row>
    <row r="219" ht="15.75" customHeight="1">
      <c r="A219" s="250"/>
      <c r="C219" s="180"/>
    </row>
    <row r="220" ht="15.75" customHeight="1">
      <c r="A220" s="250"/>
      <c r="C220" s="180"/>
    </row>
    <row r="221" ht="15.75" customHeight="1">
      <c r="A221" s="250"/>
      <c r="C221" s="180"/>
    </row>
    <row r="222" ht="15.75" customHeight="1">
      <c r="A222" s="250"/>
      <c r="C222" s="180"/>
    </row>
    <row r="223" ht="15.75" customHeight="1">
      <c r="A223" s="250"/>
      <c r="C223" s="180"/>
    </row>
    <row r="224" ht="15.75" customHeight="1">
      <c r="A224" s="250"/>
      <c r="C224" s="180"/>
    </row>
    <row r="225" ht="15.75" customHeight="1">
      <c r="A225" s="250"/>
      <c r="C225" s="180"/>
    </row>
    <row r="226" ht="15.75" customHeight="1">
      <c r="A226" s="250"/>
      <c r="C226" s="180"/>
    </row>
    <row r="227" ht="15.75" customHeight="1">
      <c r="A227" s="250"/>
      <c r="C227" s="180"/>
    </row>
    <row r="228" ht="15.75" customHeight="1">
      <c r="A228" s="250"/>
      <c r="C228" s="180"/>
    </row>
    <row r="229" ht="15.75" customHeight="1">
      <c r="A229" s="250"/>
      <c r="C229" s="180"/>
    </row>
    <row r="230" ht="15.75" customHeight="1">
      <c r="A230" s="250"/>
      <c r="C230" s="180"/>
    </row>
    <row r="231" ht="15.75" customHeight="1">
      <c r="A231" s="250"/>
      <c r="C231" s="180"/>
    </row>
    <row r="232" ht="15.75" customHeight="1">
      <c r="A232" s="250"/>
      <c r="C232" s="180"/>
    </row>
    <row r="233" ht="15.75" customHeight="1">
      <c r="A233" s="250"/>
      <c r="C233" s="180"/>
    </row>
    <row r="234" ht="15.75" customHeight="1">
      <c r="A234" s="250"/>
      <c r="C234" s="180"/>
    </row>
    <row r="235" ht="15.75" customHeight="1">
      <c r="A235" s="250"/>
      <c r="C235" s="180"/>
    </row>
    <row r="236" ht="15.75" customHeight="1">
      <c r="A236" s="250"/>
      <c r="C236" s="180"/>
    </row>
    <row r="237" ht="15.75" customHeight="1">
      <c r="A237" s="250"/>
      <c r="C237" s="180"/>
    </row>
    <row r="238" ht="15.75" customHeight="1">
      <c r="A238" s="250"/>
      <c r="C238" s="180"/>
    </row>
    <row r="239" ht="15.75" customHeight="1">
      <c r="A239" s="250"/>
      <c r="C239" s="180"/>
    </row>
    <row r="240" ht="15.75" customHeight="1">
      <c r="A240" s="250"/>
      <c r="C240" s="180"/>
    </row>
    <row r="241" ht="15.75" customHeight="1">
      <c r="A241" s="250"/>
      <c r="C241" s="180"/>
    </row>
    <row r="242" ht="15.75" customHeight="1">
      <c r="A242" s="250"/>
      <c r="C242" s="180"/>
    </row>
    <row r="243" ht="15.75" customHeight="1">
      <c r="A243" s="250"/>
      <c r="C243" s="180"/>
    </row>
    <row r="244" ht="15.75" customHeight="1">
      <c r="A244" s="250"/>
      <c r="C244" s="180"/>
    </row>
    <row r="245" ht="15.75" customHeight="1">
      <c r="A245" s="250"/>
      <c r="C245" s="180"/>
    </row>
    <row r="246" ht="15.75" customHeight="1">
      <c r="A246" s="250"/>
      <c r="C246" s="180"/>
    </row>
    <row r="247" ht="15.75" customHeight="1">
      <c r="A247" s="250"/>
      <c r="C247" s="180"/>
    </row>
    <row r="248" ht="15.75" customHeight="1">
      <c r="A248" s="250"/>
      <c r="C248" s="180"/>
    </row>
    <row r="249" ht="15.75" customHeight="1">
      <c r="A249" s="250"/>
      <c r="C249" s="180"/>
    </row>
    <row r="250" ht="15.75" customHeight="1">
      <c r="A250" s="250"/>
      <c r="C250" s="180"/>
    </row>
    <row r="251" ht="15.75" customHeight="1">
      <c r="A251" s="250"/>
      <c r="C251" s="180"/>
    </row>
    <row r="252" ht="15.75" customHeight="1">
      <c r="A252" s="250"/>
      <c r="C252" s="180"/>
    </row>
    <row r="253" ht="15.75" customHeight="1">
      <c r="A253" s="250"/>
      <c r="C253" s="180"/>
    </row>
    <row r="254" ht="15.75" customHeight="1">
      <c r="A254" s="250"/>
      <c r="C254" s="180"/>
    </row>
    <row r="255" ht="15.75" customHeight="1">
      <c r="A255" s="250"/>
      <c r="C255" s="180"/>
    </row>
    <row r="256" ht="15.75" customHeight="1">
      <c r="A256" s="250"/>
      <c r="C256" s="180"/>
    </row>
    <row r="257" ht="15.75" customHeight="1">
      <c r="A257" s="250"/>
      <c r="C257" s="180"/>
    </row>
    <row r="258" ht="15.75" customHeight="1">
      <c r="A258" s="250"/>
      <c r="C258" s="180"/>
    </row>
    <row r="259" ht="15.75" customHeight="1">
      <c r="A259" s="250"/>
      <c r="C259" s="180"/>
    </row>
    <row r="260" ht="15.75" customHeight="1">
      <c r="A260" s="250"/>
      <c r="C260" s="180"/>
    </row>
    <row r="261" ht="15.75" customHeight="1">
      <c r="A261" s="250"/>
      <c r="C261" s="180"/>
    </row>
    <row r="262" ht="15.75" customHeight="1">
      <c r="A262" s="250"/>
      <c r="C262" s="180"/>
    </row>
    <row r="263" ht="15.75" customHeight="1">
      <c r="A263" s="250"/>
      <c r="C263" s="180"/>
    </row>
    <row r="264" ht="15.75" customHeight="1">
      <c r="A264" s="250"/>
      <c r="C264" s="180"/>
    </row>
    <row r="265" ht="15.75" customHeight="1">
      <c r="A265" s="250"/>
      <c r="C265" s="180"/>
    </row>
    <row r="266" ht="15.75" customHeight="1">
      <c r="A266" s="250"/>
      <c r="C266" s="180"/>
    </row>
    <row r="267" ht="15.75" customHeight="1">
      <c r="A267" s="250"/>
      <c r="C267" s="180"/>
    </row>
    <row r="268" ht="15.75" customHeight="1">
      <c r="A268" s="250"/>
      <c r="C268" s="180"/>
    </row>
    <row r="269" ht="15.75" customHeight="1">
      <c r="A269" s="250"/>
      <c r="C269" s="180"/>
    </row>
    <row r="270" ht="15.75" customHeight="1">
      <c r="A270" s="250"/>
      <c r="C270" s="180"/>
    </row>
    <row r="271" ht="15.75" customHeight="1">
      <c r="A271" s="250"/>
      <c r="C271" s="180"/>
    </row>
    <row r="272" ht="15.75" customHeight="1">
      <c r="A272" s="250"/>
      <c r="C272" s="180"/>
    </row>
    <row r="273" ht="15.75" customHeight="1">
      <c r="A273" s="250"/>
      <c r="C273" s="180"/>
    </row>
    <row r="274" ht="15.75" customHeight="1">
      <c r="A274" s="250"/>
      <c r="C274" s="180"/>
    </row>
    <row r="275" ht="15.75" customHeight="1">
      <c r="A275" s="250"/>
      <c r="C275" s="180"/>
    </row>
    <row r="276" ht="15.75" customHeight="1">
      <c r="A276" s="250"/>
      <c r="C276" s="180"/>
    </row>
    <row r="277" ht="15.75" customHeight="1">
      <c r="A277" s="250"/>
      <c r="C277" s="180"/>
    </row>
    <row r="278" ht="15.75" customHeight="1">
      <c r="A278" s="250"/>
      <c r="C278" s="180"/>
    </row>
    <row r="279" ht="15.75" customHeight="1">
      <c r="A279" s="250"/>
      <c r="C279" s="180"/>
    </row>
    <row r="280" ht="15.75" customHeight="1">
      <c r="A280" s="250"/>
      <c r="C280" s="180"/>
    </row>
    <row r="281" ht="15.75" customHeight="1">
      <c r="A281" s="250"/>
      <c r="C281" s="180"/>
    </row>
    <row r="282" ht="15.75" customHeight="1">
      <c r="A282" s="250"/>
      <c r="C282" s="180"/>
    </row>
    <row r="283" ht="15.75" customHeight="1">
      <c r="A283" s="250"/>
      <c r="C283" s="180"/>
    </row>
    <row r="284" ht="15.75" customHeight="1">
      <c r="A284" s="250"/>
      <c r="C284" s="180"/>
    </row>
    <row r="285" ht="15.75" customHeight="1">
      <c r="A285" s="250"/>
      <c r="C285" s="180"/>
    </row>
    <row r="286" ht="15.75" customHeight="1">
      <c r="A286" s="250"/>
      <c r="C286" s="180"/>
    </row>
    <row r="287" ht="15.75" customHeight="1">
      <c r="A287" s="250"/>
      <c r="C287" s="180"/>
    </row>
    <row r="288" ht="15.75" customHeight="1">
      <c r="A288" s="250"/>
      <c r="C288" s="180"/>
    </row>
    <row r="289" ht="15.75" customHeight="1">
      <c r="A289" s="250"/>
      <c r="C289" s="180"/>
    </row>
    <row r="290" ht="15.75" customHeight="1">
      <c r="A290" s="250"/>
      <c r="C290" s="180"/>
    </row>
    <row r="291" ht="15.75" customHeight="1">
      <c r="A291" s="250"/>
      <c r="C291" s="180"/>
    </row>
    <row r="292" ht="15.75" customHeight="1">
      <c r="A292" s="250"/>
      <c r="C292" s="180"/>
    </row>
    <row r="293" ht="15.75" customHeight="1">
      <c r="A293" s="250"/>
      <c r="C293" s="180"/>
    </row>
    <row r="294" ht="15.75" customHeight="1">
      <c r="A294" s="250"/>
      <c r="C294" s="180"/>
    </row>
    <row r="295" ht="15.75" customHeight="1">
      <c r="A295" s="250"/>
      <c r="C295" s="180"/>
    </row>
    <row r="296" ht="15.75" customHeight="1">
      <c r="A296" s="250"/>
      <c r="C296" s="180"/>
    </row>
    <row r="297" ht="15.75" customHeight="1">
      <c r="A297" s="250"/>
      <c r="C297" s="180"/>
    </row>
    <row r="298" ht="15.75" customHeight="1">
      <c r="A298" s="250"/>
      <c r="C298" s="180"/>
    </row>
    <row r="299" ht="15.75" customHeight="1">
      <c r="A299" s="250"/>
      <c r="C299" s="180"/>
    </row>
    <row r="300" ht="15.75" customHeight="1">
      <c r="A300" s="250"/>
      <c r="C300" s="180"/>
    </row>
    <row r="301" ht="15.75" customHeight="1">
      <c r="A301" s="250"/>
      <c r="C301" s="180"/>
    </row>
    <row r="302" ht="15.75" customHeight="1">
      <c r="A302" s="250"/>
      <c r="C302" s="180"/>
    </row>
    <row r="303" ht="15.75" customHeight="1">
      <c r="A303" s="250"/>
      <c r="C303" s="180"/>
    </row>
    <row r="304" ht="15.75" customHeight="1">
      <c r="A304" s="250"/>
      <c r="C304" s="180"/>
    </row>
    <row r="305" ht="15.75" customHeight="1">
      <c r="A305" s="250"/>
      <c r="C305" s="180"/>
    </row>
    <row r="306" ht="15.75" customHeight="1">
      <c r="A306" s="250"/>
      <c r="C306" s="180"/>
    </row>
    <row r="307" ht="15.75" customHeight="1">
      <c r="A307" s="250"/>
      <c r="C307" s="180"/>
    </row>
    <row r="308" ht="15.75" customHeight="1">
      <c r="A308" s="250"/>
      <c r="C308" s="180"/>
    </row>
    <row r="309" ht="15.75" customHeight="1">
      <c r="A309" s="250"/>
      <c r="C309" s="180"/>
    </row>
    <row r="310" ht="15.75" customHeight="1">
      <c r="A310" s="250"/>
      <c r="C310" s="180"/>
    </row>
    <row r="311" ht="15.75" customHeight="1">
      <c r="A311" s="250"/>
      <c r="C311" s="180"/>
    </row>
    <row r="312" ht="15.75" customHeight="1">
      <c r="A312" s="250"/>
      <c r="C312" s="180"/>
    </row>
    <row r="313" ht="15.75" customHeight="1">
      <c r="A313" s="250"/>
      <c r="C313" s="180"/>
    </row>
    <row r="314" ht="15.75" customHeight="1">
      <c r="A314" s="250"/>
      <c r="C314" s="180"/>
    </row>
    <row r="315" ht="15.75" customHeight="1">
      <c r="A315" s="250"/>
      <c r="C315" s="180"/>
    </row>
    <row r="316" ht="15.75" customHeight="1">
      <c r="A316" s="250"/>
      <c r="C316" s="180"/>
    </row>
    <row r="317" ht="15.75" customHeight="1">
      <c r="A317" s="250"/>
      <c r="C317" s="180"/>
    </row>
    <row r="318" ht="15.75" customHeight="1">
      <c r="A318" s="250"/>
      <c r="C318" s="180"/>
    </row>
    <row r="319" ht="15.75" customHeight="1">
      <c r="A319" s="250"/>
      <c r="C319" s="180"/>
    </row>
    <row r="320" ht="15.75" customHeight="1">
      <c r="A320" s="250"/>
      <c r="C320" s="180"/>
    </row>
    <row r="321" ht="15.75" customHeight="1">
      <c r="A321" s="250"/>
      <c r="C321" s="180"/>
    </row>
    <row r="322" ht="15.75" customHeight="1">
      <c r="A322" s="250"/>
      <c r="C322" s="180"/>
    </row>
    <row r="323" ht="15.75" customHeight="1">
      <c r="A323" s="250"/>
      <c r="C323" s="180"/>
    </row>
    <row r="324" ht="15.75" customHeight="1">
      <c r="A324" s="250"/>
      <c r="C324" s="180"/>
    </row>
    <row r="325" ht="15.75" customHeight="1">
      <c r="A325" s="250"/>
      <c r="C325" s="180"/>
    </row>
    <row r="326" ht="15.75" customHeight="1">
      <c r="A326" s="250"/>
      <c r="C326" s="180"/>
    </row>
    <row r="327" ht="15.75" customHeight="1">
      <c r="A327" s="250"/>
      <c r="C327" s="180"/>
    </row>
    <row r="328" ht="15.75" customHeight="1">
      <c r="A328" s="250"/>
      <c r="C328" s="180"/>
    </row>
    <row r="329" ht="15.75" customHeight="1">
      <c r="A329" s="250"/>
      <c r="C329" s="180"/>
    </row>
    <row r="330" ht="15.75" customHeight="1">
      <c r="A330" s="250"/>
      <c r="C330" s="180"/>
    </row>
    <row r="331" ht="15.75" customHeight="1">
      <c r="A331" s="250"/>
      <c r="C331" s="180"/>
    </row>
    <row r="332" ht="15.75" customHeight="1">
      <c r="A332" s="250"/>
      <c r="C332" s="180"/>
    </row>
    <row r="333" ht="15.75" customHeight="1">
      <c r="A333" s="250"/>
      <c r="C333" s="180"/>
    </row>
    <row r="334" ht="15.75" customHeight="1">
      <c r="A334" s="250"/>
      <c r="C334" s="180"/>
    </row>
    <row r="335" ht="15.75" customHeight="1">
      <c r="A335" s="250"/>
      <c r="C335" s="180"/>
    </row>
    <row r="336" ht="15.75" customHeight="1">
      <c r="A336" s="250"/>
      <c r="C336" s="180"/>
    </row>
    <row r="337" ht="15.75" customHeight="1">
      <c r="A337" s="250"/>
      <c r="C337" s="180"/>
    </row>
    <row r="338" ht="15.75" customHeight="1">
      <c r="A338" s="250"/>
      <c r="C338" s="180"/>
    </row>
    <row r="339" ht="15.75" customHeight="1">
      <c r="A339" s="250"/>
      <c r="C339" s="180"/>
    </row>
    <row r="340" ht="15.75" customHeight="1">
      <c r="A340" s="250"/>
      <c r="C340" s="180"/>
    </row>
    <row r="341" ht="15.75" customHeight="1">
      <c r="A341" s="250"/>
      <c r="C341" s="180"/>
    </row>
    <row r="342" ht="15.75" customHeight="1">
      <c r="A342" s="250"/>
      <c r="C342" s="180"/>
    </row>
    <row r="343" ht="15.75" customHeight="1">
      <c r="A343" s="250"/>
      <c r="C343" s="180"/>
    </row>
    <row r="344" ht="15.75" customHeight="1">
      <c r="A344" s="250"/>
      <c r="C344" s="180"/>
    </row>
    <row r="345" ht="15.75" customHeight="1">
      <c r="A345" s="250"/>
      <c r="C345" s="180"/>
    </row>
    <row r="346" ht="15.75" customHeight="1">
      <c r="A346" s="250"/>
      <c r="C346" s="180"/>
    </row>
    <row r="347" ht="15.75" customHeight="1">
      <c r="A347" s="250"/>
      <c r="C347" s="180"/>
    </row>
    <row r="348" ht="15.75" customHeight="1">
      <c r="A348" s="250"/>
      <c r="C348" s="180"/>
    </row>
    <row r="349" ht="15.75" customHeight="1">
      <c r="A349" s="250"/>
      <c r="C349" s="180"/>
    </row>
    <row r="350" ht="15.75" customHeight="1">
      <c r="A350" s="250"/>
      <c r="C350" s="180"/>
    </row>
    <row r="351" ht="15.75" customHeight="1">
      <c r="A351" s="250"/>
      <c r="C351" s="180"/>
    </row>
    <row r="352" ht="15.75" customHeight="1">
      <c r="A352" s="250"/>
      <c r="C352" s="180"/>
    </row>
    <row r="353" ht="15.75" customHeight="1">
      <c r="A353" s="250"/>
      <c r="C353" s="180"/>
    </row>
    <row r="354" ht="15.75" customHeight="1">
      <c r="A354" s="250"/>
      <c r="C354" s="180"/>
    </row>
    <row r="355" ht="15.75" customHeight="1">
      <c r="A355" s="250"/>
      <c r="C355" s="180"/>
    </row>
    <row r="356" ht="15.75" customHeight="1">
      <c r="A356" s="250"/>
      <c r="C356" s="180"/>
    </row>
    <row r="357" ht="15.75" customHeight="1">
      <c r="A357" s="250"/>
      <c r="C357" s="180"/>
    </row>
    <row r="358" ht="15.75" customHeight="1">
      <c r="A358" s="250"/>
      <c r="C358" s="180"/>
    </row>
    <row r="359" ht="15.75" customHeight="1">
      <c r="A359" s="250"/>
      <c r="C359" s="180"/>
    </row>
    <row r="360" ht="15.75" customHeight="1">
      <c r="A360" s="250"/>
      <c r="C360" s="180"/>
    </row>
    <row r="361" ht="15.75" customHeight="1">
      <c r="A361" s="250"/>
      <c r="C361" s="180"/>
    </row>
    <row r="362" ht="15.75" customHeight="1">
      <c r="A362" s="250"/>
      <c r="C362" s="180"/>
    </row>
    <row r="363" ht="15.75" customHeight="1">
      <c r="A363" s="250"/>
      <c r="C363" s="180"/>
    </row>
    <row r="364" ht="15.75" customHeight="1">
      <c r="A364" s="250"/>
      <c r="C364" s="180"/>
    </row>
    <row r="365" ht="15.75" customHeight="1">
      <c r="A365" s="250"/>
      <c r="C365" s="180"/>
    </row>
    <row r="366" ht="15.75" customHeight="1">
      <c r="A366" s="250"/>
      <c r="C366" s="180"/>
    </row>
    <row r="367" ht="15.75" customHeight="1">
      <c r="A367" s="250"/>
      <c r="C367" s="180"/>
    </row>
    <row r="368" ht="15.75" customHeight="1">
      <c r="A368" s="250"/>
      <c r="C368" s="180"/>
    </row>
    <row r="369" ht="15.75" customHeight="1">
      <c r="A369" s="250"/>
      <c r="C369" s="180"/>
    </row>
    <row r="370" ht="15.75" customHeight="1">
      <c r="A370" s="250"/>
      <c r="C370" s="180"/>
    </row>
    <row r="371" ht="15.75" customHeight="1">
      <c r="A371" s="250"/>
      <c r="C371" s="180"/>
    </row>
    <row r="372" ht="15.75" customHeight="1">
      <c r="A372" s="250"/>
      <c r="C372" s="180"/>
    </row>
    <row r="373" ht="15.75" customHeight="1">
      <c r="A373" s="250"/>
      <c r="C373" s="180"/>
    </row>
    <row r="374" ht="15.75" customHeight="1">
      <c r="A374" s="250"/>
      <c r="C374" s="180"/>
    </row>
    <row r="375" ht="15.75" customHeight="1">
      <c r="A375" s="250"/>
      <c r="C375" s="180"/>
    </row>
    <row r="376" ht="15.75" customHeight="1">
      <c r="A376" s="250"/>
      <c r="C376" s="180"/>
    </row>
    <row r="377" ht="15.75" customHeight="1">
      <c r="A377" s="250"/>
      <c r="C377" s="180"/>
    </row>
    <row r="378" ht="15.75" customHeight="1">
      <c r="A378" s="250"/>
      <c r="C378" s="180"/>
    </row>
    <row r="379" ht="15.75" customHeight="1">
      <c r="A379" s="250"/>
      <c r="C379" s="180"/>
    </row>
    <row r="380" ht="15.75" customHeight="1">
      <c r="A380" s="250"/>
      <c r="C380" s="180"/>
    </row>
    <row r="381" ht="15.75" customHeight="1">
      <c r="A381" s="250"/>
      <c r="C381" s="180"/>
    </row>
    <row r="382" ht="15.75" customHeight="1">
      <c r="A382" s="250"/>
      <c r="C382" s="180"/>
    </row>
    <row r="383" ht="15.75" customHeight="1">
      <c r="A383" s="250"/>
      <c r="C383" s="180"/>
    </row>
    <row r="384" ht="15.75" customHeight="1">
      <c r="A384" s="250"/>
      <c r="C384" s="180"/>
    </row>
    <row r="385" ht="15.75" customHeight="1">
      <c r="A385" s="250"/>
      <c r="C385" s="180"/>
    </row>
    <row r="386" ht="15.75" customHeight="1">
      <c r="A386" s="250"/>
      <c r="C386" s="180"/>
    </row>
    <row r="387" ht="15.75" customHeight="1">
      <c r="A387" s="250"/>
      <c r="C387" s="180"/>
    </row>
    <row r="388" ht="15.75" customHeight="1">
      <c r="A388" s="250"/>
      <c r="C388" s="180"/>
    </row>
    <row r="389" ht="15.75" customHeight="1">
      <c r="A389" s="250"/>
      <c r="C389" s="180"/>
    </row>
    <row r="390" ht="15.75" customHeight="1">
      <c r="A390" s="250"/>
      <c r="C390" s="180"/>
    </row>
    <row r="391" ht="15.75" customHeight="1">
      <c r="A391" s="250"/>
      <c r="C391" s="180"/>
    </row>
    <row r="392" ht="15.75" customHeight="1">
      <c r="A392" s="250"/>
      <c r="C392" s="180"/>
    </row>
    <row r="393" ht="15.75" customHeight="1">
      <c r="A393" s="250"/>
      <c r="C393" s="180"/>
    </row>
    <row r="394" ht="15.75" customHeight="1">
      <c r="A394" s="250"/>
      <c r="C394" s="180"/>
    </row>
    <row r="395" ht="15.75" customHeight="1">
      <c r="A395" s="250"/>
      <c r="C395" s="180"/>
    </row>
    <row r="396" ht="15.75" customHeight="1">
      <c r="A396" s="250"/>
      <c r="C396" s="180"/>
    </row>
    <row r="397" ht="15.75" customHeight="1">
      <c r="A397" s="250"/>
      <c r="C397" s="180"/>
    </row>
    <row r="398" ht="15.75" customHeight="1">
      <c r="A398" s="250"/>
      <c r="C398" s="180"/>
    </row>
    <row r="399" ht="15.75" customHeight="1">
      <c r="A399" s="250"/>
      <c r="C399" s="180"/>
    </row>
    <row r="400" ht="15.75" customHeight="1">
      <c r="A400" s="250"/>
      <c r="C400" s="180"/>
    </row>
    <row r="401" ht="15.75" customHeight="1">
      <c r="A401" s="250"/>
      <c r="C401" s="180"/>
    </row>
    <row r="402" ht="15.75" customHeight="1">
      <c r="A402" s="250"/>
      <c r="C402" s="180"/>
    </row>
    <row r="403" ht="15.75" customHeight="1">
      <c r="A403" s="250"/>
      <c r="C403" s="180"/>
    </row>
    <row r="404" ht="15.75" customHeight="1">
      <c r="A404" s="250"/>
      <c r="C404" s="180"/>
    </row>
    <row r="405" ht="15.75" customHeight="1">
      <c r="A405" s="250"/>
      <c r="C405" s="180"/>
    </row>
    <row r="406" ht="15.75" customHeight="1">
      <c r="A406" s="250"/>
      <c r="C406" s="180"/>
    </row>
    <row r="407" ht="15.75" customHeight="1">
      <c r="A407" s="250"/>
      <c r="C407" s="180"/>
    </row>
    <row r="408" ht="15.75" customHeight="1">
      <c r="A408" s="250"/>
      <c r="C408" s="180"/>
    </row>
    <row r="409" ht="15.75" customHeight="1">
      <c r="A409" s="250"/>
      <c r="C409" s="180"/>
    </row>
    <row r="410" ht="15.75" customHeight="1">
      <c r="A410" s="250"/>
      <c r="C410" s="180"/>
    </row>
    <row r="411" ht="15.75" customHeight="1">
      <c r="A411" s="250"/>
      <c r="C411" s="180"/>
    </row>
    <row r="412" ht="15.75" customHeight="1">
      <c r="A412" s="250"/>
      <c r="C412" s="180"/>
    </row>
    <row r="413" ht="15.75" customHeight="1">
      <c r="A413" s="250"/>
      <c r="C413" s="180"/>
    </row>
    <row r="414" ht="15.75" customHeight="1">
      <c r="A414" s="250"/>
      <c r="C414" s="180"/>
    </row>
    <row r="415" ht="15.75" customHeight="1">
      <c r="A415" s="250"/>
      <c r="C415" s="180"/>
    </row>
    <row r="416" ht="15.75" customHeight="1">
      <c r="A416" s="250"/>
      <c r="C416" s="180"/>
    </row>
    <row r="417" ht="15.75" customHeight="1">
      <c r="A417" s="250"/>
      <c r="C417" s="180"/>
    </row>
    <row r="418" ht="15.75" customHeight="1">
      <c r="A418" s="250"/>
      <c r="C418" s="180"/>
    </row>
    <row r="419" ht="15.75" customHeight="1">
      <c r="A419" s="250"/>
      <c r="C419" s="180"/>
    </row>
    <row r="420" ht="15.75" customHeight="1">
      <c r="A420" s="250"/>
      <c r="C420" s="180"/>
    </row>
    <row r="421" ht="15.75" customHeight="1">
      <c r="A421" s="250"/>
      <c r="C421" s="180"/>
    </row>
    <row r="422" ht="15.75" customHeight="1">
      <c r="A422" s="250"/>
      <c r="C422" s="180"/>
    </row>
    <row r="423" ht="15.75" customHeight="1">
      <c r="A423" s="250"/>
      <c r="C423" s="180"/>
    </row>
    <row r="424" ht="15.75" customHeight="1">
      <c r="A424" s="250"/>
      <c r="C424" s="180"/>
    </row>
    <row r="425" ht="15.75" customHeight="1">
      <c r="A425" s="250"/>
      <c r="C425" s="180"/>
    </row>
    <row r="426" ht="15.75" customHeight="1">
      <c r="A426" s="250"/>
      <c r="C426" s="180"/>
    </row>
    <row r="427" ht="15.75" customHeight="1">
      <c r="A427" s="250"/>
      <c r="C427" s="180"/>
    </row>
    <row r="428" ht="15.75" customHeight="1">
      <c r="A428" s="250"/>
      <c r="C428" s="180"/>
    </row>
    <row r="429" ht="15.75" customHeight="1">
      <c r="A429" s="250"/>
      <c r="C429" s="180"/>
    </row>
    <row r="430" ht="15.75" customHeight="1">
      <c r="A430" s="250"/>
      <c r="C430" s="180"/>
    </row>
    <row r="431" ht="15.75" customHeight="1">
      <c r="A431" s="250"/>
      <c r="C431" s="180"/>
    </row>
    <row r="432" ht="15.75" customHeight="1">
      <c r="A432" s="250"/>
      <c r="C432" s="180"/>
    </row>
    <row r="433" ht="15.75" customHeight="1">
      <c r="A433" s="250"/>
      <c r="C433" s="180"/>
    </row>
    <row r="434" ht="15.75" customHeight="1">
      <c r="A434" s="250"/>
      <c r="C434" s="180"/>
    </row>
    <row r="435" ht="15.75" customHeight="1">
      <c r="A435" s="250"/>
      <c r="C435" s="180"/>
    </row>
    <row r="436" ht="15.75" customHeight="1">
      <c r="A436" s="250"/>
      <c r="C436" s="180"/>
    </row>
    <row r="437" ht="15.75" customHeight="1">
      <c r="A437" s="250"/>
      <c r="C437" s="180"/>
    </row>
    <row r="438" ht="15.75" customHeight="1">
      <c r="A438" s="250"/>
      <c r="C438" s="180"/>
    </row>
    <row r="439" ht="15.75" customHeight="1">
      <c r="A439" s="250"/>
      <c r="C439" s="180"/>
    </row>
    <row r="440" ht="15.75" customHeight="1">
      <c r="A440" s="250"/>
      <c r="C440" s="180"/>
    </row>
    <row r="441" ht="15.75" customHeight="1">
      <c r="A441" s="250"/>
      <c r="C441" s="180"/>
    </row>
    <row r="442" ht="15.75" customHeight="1">
      <c r="A442" s="250"/>
      <c r="C442" s="180"/>
    </row>
    <row r="443" ht="15.75" customHeight="1">
      <c r="A443" s="250"/>
      <c r="C443" s="180"/>
    </row>
    <row r="444" ht="15.75" customHeight="1">
      <c r="A444" s="250"/>
      <c r="C444" s="180"/>
    </row>
    <row r="445" ht="15.75" customHeight="1">
      <c r="A445" s="250"/>
      <c r="C445" s="180"/>
    </row>
    <row r="446" ht="15.75" customHeight="1">
      <c r="A446" s="250"/>
      <c r="C446" s="180"/>
    </row>
    <row r="447" ht="15.75" customHeight="1">
      <c r="A447" s="250"/>
      <c r="C447" s="180"/>
    </row>
    <row r="448" ht="15.75" customHeight="1">
      <c r="A448" s="250"/>
      <c r="C448" s="180"/>
    </row>
    <row r="449" ht="15.75" customHeight="1">
      <c r="A449" s="250"/>
      <c r="C449" s="180"/>
    </row>
    <row r="450" ht="15.75" customHeight="1">
      <c r="A450" s="250"/>
      <c r="C450" s="180"/>
    </row>
    <row r="451" ht="15.75" customHeight="1">
      <c r="A451" s="250"/>
      <c r="C451" s="180"/>
    </row>
    <row r="452" ht="15.75" customHeight="1">
      <c r="A452" s="250"/>
      <c r="C452" s="180"/>
    </row>
    <row r="453" ht="15.75" customHeight="1">
      <c r="A453" s="250"/>
      <c r="C453" s="180"/>
    </row>
    <row r="454" ht="15.75" customHeight="1">
      <c r="A454" s="250"/>
      <c r="C454" s="180"/>
    </row>
    <row r="455" ht="15.75" customHeight="1">
      <c r="A455" s="250"/>
      <c r="C455" s="180"/>
    </row>
    <row r="456" ht="15.75" customHeight="1">
      <c r="A456" s="250"/>
      <c r="C456" s="180"/>
    </row>
    <row r="457" ht="15.75" customHeight="1">
      <c r="A457" s="250"/>
      <c r="C457" s="180"/>
    </row>
    <row r="458" ht="15.75" customHeight="1">
      <c r="A458" s="250"/>
      <c r="C458" s="180"/>
    </row>
    <row r="459" ht="15.75" customHeight="1">
      <c r="A459" s="250"/>
      <c r="C459" s="180"/>
    </row>
    <row r="460" ht="15.75" customHeight="1">
      <c r="A460" s="250"/>
      <c r="C460" s="180"/>
    </row>
    <row r="461" ht="15.75" customHeight="1">
      <c r="A461" s="250"/>
      <c r="C461" s="180"/>
    </row>
    <row r="462" ht="15.75" customHeight="1">
      <c r="A462" s="250"/>
      <c r="C462" s="180"/>
    </row>
    <row r="463" ht="15.75" customHeight="1">
      <c r="A463" s="250"/>
      <c r="C463" s="180"/>
    </row>
    <row r="464" ht="15.75" customHeight="1">
      <c r="A464" s="250"/>
      <c r="C464" s="180"/>
    </row>
    <row r="465" ht="15.75" customHeight="1">
      <c r="A465" s="250"/>
      <c r="C465" s="180"/>
    </row>
    <row r="466" ht="15.75" customHeight="1">
      <c r="A466" s="250"/>
      <c r="C466" s="180"/>
    </row>
    <row r="467" ht="15.75" customHeight="1">
      <c r="A467" s="250"/>
      <c r="C467" s="180"/>
    </row>
    <row r="468" ht="15.75" customHeight="1">
      <c r="A468" s="250"/>
      <c r="C468" s="180"/>
    </row>
    <row r="469" ht="15.75" customHeight="1">
      <c r="A469" s="250"/>
      <c r="C469" s="180"/>
    </row>
    <row r="470" ht="15.75" customHeight="1">
      <c r="A470" s="250"/>
      <c r="C470" s="180"/>
    </row>
    <row r="471" ht="15.75" customHeight="1">
      <c r="A471" s="250"/>
      <c r="C471" s="180"/>
    </row>
    <row r="472" ht="15.75" customHeight="1">
      <c r="A472" s="250"/>
      <c r="C472" s="180"/>
    </row>
    <row r="473" ht="15.75" customHeight="1">
      <c r="A473" s="250"/>
      <c r="C473" s="180"/>
    </row>
    <row r="474" ht="15.75" customHeight="1">
      <c r="A474" s="250"/>
      <c r="C474" s="180"/>
    </row>
    <row r="475" ht="15.75" customHeight="1">
      <c r="A475" s="250"/>
      <c r="C475" s="180"/>
    </row>
    <row r="476" ht="15.75" customHeight="1">
      <c r="A476" s="250"/>
      <c r="C476" s="180"/>
    </row>
    <row r="477" ht="15.75" customHeight="1">
      <c r="A477" s="250"/>
      <c r="C477" s="180"/>
    </row>
    <row r="478" ht="15.75" customHeight="1">
      <c r="A478" s="250"/>
      <c r="C478" s="180"/>
    </row>
    <row r="479" ht="15.75" customHeight="1">
      <c r="A479" s="250"/>
      <c r="C479" s="180"/>
    </row>
    <row r="480" ht="15.75" customHeight="1">
      <c r="A480" s="250"/>
      <c r="C480" s="180"/>
    </row>
    <row r="481" ht="15.75" customHeight="1">
      <c r="A481" s="250"/>
      <c r="C481" s="180"/>
    </row>
    <row r="482" ht="15.75" customHeight="1">
      <c r="A482" s="250"/>
      <c r="C482" s="180"/>
    </row>
    <row r="483" ht="15.75" customHeight="1">
      <c r="A483" s="250"/>
      <c r="C483" s="180"/>
    </row>
    <row r="484" ht="15.75" customHeight="1">
      <c r="A484" s="250"/>
      <c r="C484" s="180"/>
    </row>
    <row r="485" ht="15.75" customHeight="1">
      <c r="A485" s="250"/>
      <c r="C485" s="180"/>
    </row>
    <row r="486" ht="15.75" customHeight="1">
      <c r="A486" s="250"/>
      <c r="C486" s="180"/>
    </row>
    <row r="487" ht="15.75" customHeight="1">
      <c r="A487" s="250"/>
      <c r="C487" s="180"/>
    </row>
    <row r="488" ht="15.75" customHeight="1">
      <c r="A488" s="250"/>
      <c r="C488" s="180"/>
    </row>
    <row r="489" ht="15.75" customHeight="1">
      <c r="A489" s="250"/>
      <c r="C489" s="180"/>
    </row>
    <row r="490" ht="15.75" customHeight="1">
      <c r="A490" s="250"/>
      <c r="C490" s="180"/>
    </row>
    <row r="491" ht="15.75" customHeight="1">
      <c r="A491" s="250"/>
      <c r="C491" s="180"/>
    </row>
    <row r="492" ht="15.75" customHeight="1">
      <c r="A492" s="250"/>
      <c r="C492" s="180"/>
    </row>
    <row r="493" ht="15.75" customHeight="1">
      <c r="A493" s="250"/>
      <c r="C493" s="180"/>
    </row>
    <row r="494" ht="15.75" customHeight="1">
      <c r="A494" s="250"/>
      <c r="C494" s="180"/>
    </row>
    <row r="495" ht="15.75" customHeight="1">
      <c r="A495" s="250"/>
      <c r="C495" s="180"/>
    </row>
    <row r="496" ht="15.75" customHeight="1">
      <c r="A496" s="250"/>
      <c r="C496" s="180"/>
    </row>
    <row r="497" ht="15.75" customHeight="1">
      <c r="A497" s="250"/>
      <c r="C497" s="180"/>
    </row>
    <row r="498" ht="15.75" customHeight="1">
      <c r="A498" s="250"/>
      <c r="C498" s="180"/>
    </row>
    <row r="499" ht="15.75" customHeight="1">
      <c r="A499" s="250"/>
      <c r="C499" s="180"/>
    </row>
    <row r="500" ht="15.75" customHeight="1">
      <c r="A500" s="250"/>
      <c r="C500" s="180"/>
    </row>
    <row r="501" ht="15.75" customHeight="1">
      <c r="A501" s="250"/>
      <c r="C501" s="180"/>
    </row>
    <row r="502" ht="15.75" customHeight="1">
      <c r="A502" s="250"/>
      <c r="C502" s="180"/>
    </row>
    <row r="503" ht="15.75" customHeight="1">
      <c r="A503" s="250"/>
      <c r="C503" s="180"/>
    </row>
    <row r="504" ht="15.75" customHeight="1">
      <c r="A504" s="250"/>
      <c r="C504" s="180"/>
    </row>
    <row r="505" ht="15.75" customHeight="1">
      <c r="A505" s="250"/>
      <c r="C505" s="180"/>
    </row>
    <row r="506" ht="15.75" customHeight="1">
      <c r="A506" s="250"/>
      <c r="C506" s="180"/>
    </row>
    <row r="507" ht="15.75" customHeight="1">
      <c r="A507" s="250"/>
      <c r="C507" s="180"/>
    </row>
    <row r="508" ht="15.75" customHeight="1">
      <c r="A508" s="250"/>
      <c r="C508" s="180"/>
    </row>
    <row r="509" ht="15.75" customHeight="1">
      <c r="A509" s="250"/>
      <c r="C509" s="180"/>
    </row>
    <row r="510" ht="15.75" customHeight="1">
      <c r="A510" s="250"/>
      <c r="C510" s="180"/>
    </row>
    <row r="511" ht="15.75" customHeight="1">
      <c r="A511" s="250"/>
      <c r="C511" s="180"/>
    </row>
    <row r="512" ht="15.75" customHeight="1">
      <c r="A512" s="250"/>
      <c r="C512" s="180"/>
    </row>
    <row r="513" ht="15.75" customHeight="1">
      <c r="A513" s="250"/>
      <c r="C513" s="180"/>
    </row>
    <row r="514" ht="15.75" customHeight="1">
      <c r="A514" s="250"/>
      <c r="C514" s="180"/>
    </row>
    <row r="515" ht="15.75" customHeight="1">
      <c r="A515" s="250"/>
      <c r="C515" s="180"/>
    </row>
    <row r="516" ht="15.75" customHeight="1">
      <c r="A516" s="250"/>
      <c r="C516" s="180"/>
    </row>
    <row r="517" ht="15.75" customHeight="1">
      <c r="A517" s="250"/>
      <c r="C517" s="180"/>
    </row>
    <row r="518" ht="15.75" customHeight="1">
      <c r="A518" s="250"/>
      <c r="C518" s="180"/>
    </row>
    <row r="519" ht="15.75" customHeight="1">
      <c r="A519" s="250"/>
      <c r="C519" s="180"/>
    </row>
    <row r="520" ht="15.75" customHeight="1">
      <c r="A520" s="250"/>
      <c r="C520" s="180"/>
    </row>
    <row r="521" ht="15.75" customHeight="1">
      <c r="A521" s="250"/>
      <c r="C521" s="180"/>
    </row>
    <row r="522" ht="15.75" customHeight="1">
      <c r="A522" s="250"/>
      <c r="C522" s="180"/>
    </row>
    <row r="523" ht="15.75" customHeight="1">
      <c r="A523" s="250"/>
      <c r="C523" s="180"/>
    </row>
    <row r="524" ht="15.75" customHeight="1">
      <c r="A524" s="250"/>
      <c r="C524" s="180"/>
    </row>
    <row r="525" ht="15.75" customHeight="1">
      <c r="A525" s="250"/>
      <c r="C525" s="180"/>
    </row>
    <row r="526" ht="15.75" customHeight="1">
      <c r="A526" s="250"/>
      <c r="C526" s="180"/>
    </row>
    <row r="527" ht="15.75" customHeight="1">
      <c r="A527" s="250"/>
      <c r="C527" s="180"/>
    </row>
    <row r="528" ht="15.75" customHeight="1">
      <c r="A528" s="250"/>
      <c r="C528" s="180"/>
    </row>
    <row r="529" ht="15.75" customHeight="1">
      <c r="A529" s="250"/>
      <c r="C529" s="180"/>
    </row>
    <row r="530" ht="15.75" customHeight="1">
      <c r="A530" s="250"/>
      <c r="C530" s="180"/>
    </row>
    <row r="531" ht="15.75" customHeight="1">
      <c r="A531" s="250"/>
      <c r="C531" s="180"/>
    </row>
    <row r="532" ht="15.75" customHeight="1">
      <c r="A532" s="250"/>
      <c r="C532" s="180"/>
    </row>
    <row r="533" ht="15.75" customHeight="1">
      <c r="A533" s="250"/>
      <c r="C533" s="180"/>
    </row>
    <row r="534" ht="15.75" customHeight="1">
      <c r="A534" s="250"/>
      <c r="C534" s="180"/>
    </row>
    <row r="535" ht="15.75" customHeight="1">
      <c r="A535" s="250"/>
      <c r="C535" s="180"/>
    </row>
    <row r="536" ht="15.75" customHeight="1">
      <c r="A536" s="250"/>
      <c r="C536" s="180"/>
    </row>
    <row r="537" ht="15.75" customHeight="1">
      <c r="A537" s="250"/>
      <c r="C537" s="180"/>
    </row>
    <row r="538" ht="15.75" customHeight="1">
      <c r="A538" s="250"/>
      <c r="C538" s="180"/>
    </row>
    <row r="539" ht="15.75" customHeight="1">
      <c r="A539" s="250"/>
      <c r="C539" s="180"/>
    </row>
    <row r="540" ht="15.75" customHeight="1">
      <c r="A540" s="250"/>
      <c r="C540" s="180"/>
    </row>
    <row r="541" ht="15.75" customHeight="1">
      <c r="A541" s="250"/>
      <c r="C541" s="180"/>
    </row>
    <row r="542" ht="15.75" customHeight="1">
      <c r="A542" s="250"/>
      <c r="C542" s="180"/>
    </row>
    <row r="543" ht="15.75" customHeight="1">
      <c r="A543" s="250"/>
      <c r="C543" s="180"/>
    </row>
    <row r="544" ht="15.75" customHeight="1">
      <c r="A544" s="250"/>
      <c r="C544" s="180"/>
    </row>
    <row r="545" ht="15.75" customHeight="1">
      <c r="A545" s="250"/>
      <c r="C545" s="180"/>
    </row>
    <row r="546" ht="15.75" customHeight="1">
      <c r="A546" s="250"/>
      <c r="C546" s="180"/>
    </row>
    <row r="547" ht="15.75" customHeight="1">
      <c r="A547" s="250"/>
      <c r="C547" s="180"/>
    </row>
    <row r="548" ht="15.75" customHeight="1">
      <c r="A548" s="250"/>
      <c r="C548" s="180"/>
    </row>
    <row r="549" ht="15.75" customHeight="1">
      <c r="A549" s="250"/>
      <c r="C549" s="180"/>
    </row>
    <row r="550" ht="15.75" customHeight="1">
      <c r="A550" s="250"/>
      <c r="C550" s="180"/>
    </row>
    <row r="551" ht="15.75" customHeight="1">
      <c r="A551" s="250"/>
      <c r="C551" s="180"/>
    </row>
    <row r="552" ht="15.75" customHeight="1">
      <c r="A552" s="250"/>
      <c r="C552" s="180"/>
    </row>
    <row r="553" ht="15.75" customHeight="1">
      <c r="A553" s="250"/>
      <c r="C553" s="180"/>
    </row>
    <row r="554" ht="15.75" customHeight="1">
      <c r="A554" s="250"/>
      <c r="C554" s="180"/>
    </row>
    <row r="555" ht="15.75" customHeight="1">
      <c r="A555" s="250"/>
      <c r="C555" s="180"/>
    </row>
    <row r="556" ht="15.75" customHeight="1">
      <c r="A556" s="250"/>
      <c r="C556" s="180"/>
    </row>
    <row r="557" ht="15.75" customHeight="1">
      <c r="A557" s="250"/>
      <c r="C557" s="180"/>
    </row>
    <row r="558" ht="15.75" customHeight="1">
      <c r="A558" s="250"/>
      <c r="C558" s="180"/>
    </row>
    <row r="559" ht="15.75" customHeight="1">
      <c r="A559" s="250"/>
      <c r="C559" s="180"/>
    </row>
    <row r="560" ht="15.75" customHeight="1">
      <c r="A560" s="250"/>
      <c r="C560" s="180"/>
    </row>
    <row r="561" ht="15.75" customHeight="1">
      <c r="A561" s="250"/>
      <c r="C561" s="180"/>
    </row>
    <row r="562" ht="15.75" customHeight="1">
      <c r="A562" s="250"/>
      <c r="C562" s="180"/>
    </row>
    <row r="563" ht="15.75" customHeight="1">
      <c r="A563" s="250"/>
      <c r="C563" s="180"/>
    </row>
    <row r="564" ht="15.75" customHeight="1">
      <c r="A564" s="250"/>
      <c r="C564" s="180"/>
    </row>
    <row r="565" ht="15.75" customHeight="1">
      <c r="A565" s="250"/>
      <c r="C565" s="180"/>
    </row>
    <row r="566" ht="15.75" customHeight="1">
      <c r="A566" s="250"/>
      <c r="C566" s="180"/>
    </row>
    <row r="567" ht="15.75" customHeight="1">
      <c r="A567" s="250"/>
      <c r="C567" s="180"/>
    </row>
    <row r="568" ht="15.75" customHeight="1">
      <c r="A568" s="250"/>
      <c r="C568" s="180"/>
    </row>
    <row r="569" ht="15.75" customHeight="1">
      <c r="A569" s="250"/>
      <c r="C569" s="180"/>
    </row>
    <row r="570" ht="15.75" customHeight="1">
      <c r="A570" s="250"/>
      <c r="C570" s="180"/>
    </row>
    <row r="571" ht="15.75" customHeight="1">
      <c r="A571" s="250"/>
      <c r="C571" s="180"/>
    </row>
    <row r="572" ht="15.75" customHeight="1">
      <c r="A572" s="250"/>
      <c r="C572" s="180"/>
    </row>
    <row r="573" ht="15.75" customHeight="1">
      <c r="A573" s="250"/>
      <c r="C573" s="180"/>
    </row>
    <row r="574" ht="15.75" customHeight="1">
      <c r="A574" s="250"/>
      <c r="C574" s="180"/>
    </row>
    <row r="575" ht="15.75" customHeight="1">
      <c r="A575" s="250"/>
      <c r="C575" s="180"/>
    </row>
    <row r="576" ht="15.75" customHeight="1">
      <c r="A576" s="250"/>
      <c r="C576" s="180"/>
    </row>
    <row r="577" ht="15.75" customHeight="1">
      <c r="A577" s="250"/>
      <c r="C577" s="180"/>
    </row>
    <row r="578" ht="15.75" customHeight="1">
      <c r="A578" s="250"/>
      <c r="C578" s="180"/>
    </row>
    <row r="579" ht="15.75" customHeight="1">
      <c r="A579" s="250"/>
      <c r="C579" s="180"/>
    </row>
    <row r="580" ht="15.75" customHeight="1">
      <c r="A580" s="250"/>
      <c r="C580" s="180"/>
    </row>
    <row r="581" ht="15.75" customHeight="1">
      <c r="A581" s="250"/>
      <c r="C581" s="180"/>
    </row>
    <row r="582" ht="15.75" customHeight="1">
      <c r="A582" s="250"/>
      <c r="C582" s="180"/>
    </row>
    <row r="583" ht="15.75" customHeight="1">
      <c r="A583" s="250"/>
      <c r="C583" s="180"/>
    </row>
    <row r="584" ht="15.75" customHeight="1">
      <c r="A584" s="250"/>
      <c r="C584" s="180"/>
    </row>
    <row r="585" ht="15.75" customHeight="1">
      <c r="A585" s="250"/>
      <c r="C585" s="180"/>
    </row>
    <row r="586" ht="15.75" customHeight="1">
      <c r="A586" s="250"/>
      <c r="C586" s="180"/>
    </row>
    <row r="587" ht="15.75" customHeight="1">
      <c r="A587" s="250"/>
      <c r="C587" s="180"/>
    </row>
    <row r="588" ht="15.75" customHeight="1">
      <c r="A588" s="250"/>
      <c r="C588" s="180"/>
    </row>
    <row r="589" ht="15.75" customHeight="1">
      <c r="A589" s="250"/>
      <c r="C589" s="180"/>
    </row>
    <row r="590" ht="15.75" customHeight="1">
      <c r="A590" s="250"/>
      <c r="C590" s="180"/>
    </row>
    <row r="591" ht="15.75" customHeight="1">
      <c r="A591" s="250"/>
      <c r="C591" s="180"/>
    </row>
    <row r="592" ht="15.75" customHeight="1">
      <c r="A592" s="250"/>
      <c r="C592" s="180"/>
    </row>
    <row r="593" ht="15.75" customHeight="1">
      <c r="A593" s="250"/>
      <c r="C593" s="180"/>
    </row>
    <row r="594" ht="15.75" customHeight="1">
      <c r="A594" s="250"/>
      <c r="C594" s="180"/>
    </row>
    <row r="595" ht="15.75" customHeight="1">
      <c r="A595" s="250"/>
      <c r="C595" s="180"/>
    </row>
    <row r="596" ht="15.75" customHeight="1">
      <c r="A596" s="250"/>
      <c r="C596" s="180"/>
    </row>
    <row r="597" ht="15.75" customHeight="1">
      <c r="A597" s="250"/>
      <c r="C597" s="180"/>
    </row>
    <row r="598" ht="15.75" customHeight="1">
      <c r="A598" s="250"/>
      <c r="C598" s="180"/>
    </row>
    <row r="599" ht="15.75" customHeight="1">
      <c r="A599" s="250"/>
      <c r="C599" s="180"/>
    </row>
    <row r="600" ht="15.75" customHeight="1">
      <c r="A600" s="250"/>
      <c r="C600" s="180"/>
    </row>
    <row r="601" ht="15.75" customHeight="1">
      <c r="A601" s="250"/>
      <c r="C601" s="180"/>
    </row>
    <row r="602" ht="15.75" customHeight="1">
      <c r="A602" s="250"/>
      <c r="C602" s="180"/>
    </row>
    <row r="603" ht="15.75" customHeight="1">
      <c r="A603" s="250"/>
      <c r="C603" s="180"/>
    </row>
    <row r="604" ht="15.75" customHeight="1">
      <c r="A604" s="250"/>
      <c r="C604" s="180"/>
    </row>
    <row r="605" ht="15.75" customHeight="1">
      <c r="A605" s="250"/>
      <c r="C605" s="180"/>
    </row>
    <row r="606" ht="15.75" customHeight="1">
      <c r="A606" s="250"/>
      <c r="C606" s="180"/>
    </row>
    <row r="607" ht="15.75" customHeight="1">
      <c r="A607" s="250"/>
      <c r="C607" s="180"/>
    </row>
    <row r="608" ht="15.75" customHeight="1">
      <c r="A608" s="250"/>
      <c r="C608" s="180"/>
    </row>
    <row r="609" ht="15.75" customHeight="1">
      <c r="A609" s="250"/>
      <c r="C609" s="180"/>
    </row>
    <row r="610" ht="15.75" customHeight="1">
      <c r="A610" s="250"/>
      <c r="C610" s="180"/>
    </row>
    <row r="611" ht="15.75" customHeight="1">
      <c r="A611" s="250"/>
      <c r="C611" s="180"/>
    </row>
    <row r="612" ht="15.75" customHeight="1">
      <c r="A612" s="250"/>
      <c r="C612" s="180"/>
    </row>
    <row r="613" ht="15.75" customHeight="1">
      <c r="A613" s="250"/>
      <c r="C613" s="180"/>
    </row>
    <row r="614" ht="15.75" customHeight="1">
      <c r="A614" s="250"/>
      <c r="C614" s="180"/>
    </row>
    <row r="615" ht="15.75" customHeight="1">
      <c r="A615" s="250"/>
      <c r="C615" s="180"/>
    </row>
    <row r="616" ht="15.75" customHeight="1">
      <c r="A616" s="250"/>
      <c r="C616" s="180"/>
    </row>
    <row r="617" ht="15.75" customHeight="1">
      <c r="A617" s="250"/>
      <c r="C617" s="180"/>
    </row>
    <row r="618" ht="15.75" customHeight="1">
      <c r="A618" s="250"/>
      <c r="C618" s="180"/>
    </row>
    <row r="619" ht="15.75" customHeight="1">
      <c r="A619" s="250"/>
      <c r="C619" s="180"/>
    </row>
    <row r="620" ht="15.75" customHeight="1">
      <c r="A620" s="250"/>
      <c r="C620" s="180"/>
    </row>
    <row r="621" ht="15.75" customHeight="1">
      <c r="A621" s="250"/>
      <c r="C621" s="180"/>
    </row>
    <row r="622" ht="15.75" customHeight="1">
      <c r="A622" s="250"/>
      <c r="C622" s="180"/>
    </row>
    <row r="623" ht="15.75" customHeight="1">
      <c r="A623" s="250"/>
      <c r="C623" s="180"/>
    </row>
    <row r="624" ht="15.75" customHeight="1">
      <c r="A624" s="250"/>
      <c r="C624" s="180"/>
    </row>
    <row r="625" ht="15.75" customHeight="1">
      <c r="A625" s="250"/>
      <c r="C625" s="180"/>
    </row>
    <row r="626" ht="15.75" customHeight="1">
      <c r="A626" s="250"/>
      <c r="C626" s="180"/>
    </row>
    <row r="627" ht="15.75" customHeight="1">
      <c r="A627" s="250"/>
      <c r="C627" s="180"/>
    </row>
    <row r="628" ht="15.75" customHeight="1">
      <c r="A628" s="250"/>
      <c r="C628" s="180"/>
    </row>
    <row r="629" ht="15.75" customHeight="1">
      <c r="A629" s="250"/>
      <c r="C629" s="180"/>
    </row>
    <row r="630" ht="15.75" customHeight="1">
      <c r="A630" s="250"/>
      <c r="C630" s="180"/>
    </row>
    <row r="631" ht="15.75" customHeight="1">
      <c r="A631" s="250"/>
      <c r="C631" s="180"/>
    </row>
    <row r="632" ht="15.75" customHeight="1">
      <c r="A632" s="250"/>
      <c r="C632" s="180"/>
    </row>
    <row r="633" ht="15.75" customHeight="1">
      <c r="A633" s="250"/>
      <c r="C633" s="180"/>
    </row>
    <row r="634" ht="15.75" customHeight="1">
      <c r="A634" s="250"/>
      <c r="C634" s="180"/>
    </row>
    <row r="635" ht="15.75" customHeight="1">
      <c r="A635" s="250"/>
      <c r="C635" s="180"/>
    </row>
    <row r="636" ht="15.75" customHeight="1">
      <c r="A636" s="250"/>
      <c r="C636" s="180"/>
    </row>
    <row r="637" ht="15.75" customHeight="1">
      <c r="A637" s="250"/>
      <c r="C637" s="180"/>
    </row>
    <row r="638" ht="15.75" customHeight="1">
      <c r="A638" s="250"/>
      <c r="C638" s="180"/>
    </row>
    <row r="639" ht="15.75" customHeight="1">
      <c r="A639" s="250"/>
      <c r="C639" s="180"/>
    </row>
    <row r="640" ht="15.75" customHeight="1">
      <c r="A640" s="250"/>
      <c r="C640" s="180"/>
    </row>
    <row r="641" ht="15.75" customHeight="1">
      <c r="A641" s="250"/>
      <c r="C641" s="180"/>
    </row>
    <row r="642" ht="15.75" customHeight="1">
      <c r="A642" s="250"/>
      <c r="C642" s="180"/>
    </row>
    <row r="643" ht="15.75" customHeight="1">
      <c r="A643" s="250"/>
      <c r="C643" s="180"/>
    </row>
    <row r="644" ht="15.75" customHeight="1">
      <c r="A644" s="250"/>
      <c r="C644" s="180"/>
    </row>
    <row r="645" ht="15.75" customHeight="1">
      <c r="A645" s="250"/>
      <c r="C645" s="180"/>
    </row>
    <row r="646" ht="15.75" customHeight="1">
      <c r="A646" s="250"/>
      <c r="C646" s="180"/>
    </row>
    <row r="647" ht="15.75" customHeight="1">
      <c r="A647" s="250"/>
      <c r="C647" s="180"/>
    </row>
    <row r="648" ht="15.75" customHeight="1">
      <c r="A648" s="250"/>
      <c r="C648" s="180"/>
    </row>
    <row r="649" ht="15.75" customHeight="1">
      <c r="A649" s="250"/>
      <c r="C649" s="180"/>
    </row>
    <row r="650" ht="15.75" customHeight="1">
      <c r="A650" s="250"/>
      <c r="C650" s="180"/>
    </row>
    <row r="651" ht="15.75" customHeight="1">
      <c r="A651" s="250"/>
      <c r="C651" s="180"/>
    </row>
    <row r="652" ht="15.75" customHeight="1">
      <c r="A652" s="250"/>
      <c r="C652" s="180"/>
    </row>
    <row r="653" ht="15.75" customHeight="1">
      <c r="A653" s="250"/>
      <c r="C653" s="180"/>
    </row>
    <row r="654" ht="15.75" customHeight="1">
      <c r="A654" s="250"/>
      <c r="C654" s="180"/>
    </row>
    <row r="655" ht="15.75" customHeight="1">
      <c r="A655" s="250"/>
      <c r="C655" s="180"/>
    </row>
    <row r="656" ht="15.75" customHeight="1">
      <c r="A656" s="250"/>
      <c r="C656" s="180"/>
    </row>
    <row r="657" ht="15.75" customHeight="1">
      <c r="A657" s="250"/>
      <c r="C657" s="180"/>
    </row>
    <row r="658" ht="15.75" customHeight="1">
      <c r="A658" s="250"/>
      <c r="C658" s="180"/>
    </row>
    <row r="659" ht="15.75" customHeight="1">
      <c r="A659" s="250"/>
      <c r="C659" s="180"/>
    </row>
    <row r="660" ht="15.75" customHeight="1">
      <c r="A660" s="250"/>
      <c r="C660" s="180"/>
    </row>
    <row r="661" ht="15.75" customHeight="1">
      <c r="A661" s="250"/>
      <c r="C661" s="180"/>
    </row>
    <row r="662" ht="15.75" customHeight="1">
      <c r="A662" s="250"/>
      <c r="C662" s="180"/>
    </row>
    <row r="663" ht="15.75" customHeight="1">
      <c r="A663" s="250"/>
      <c r="C663" s="180"/>
    </row>
    <row r="664" ht="15.75" customHeight="1">
      <c r="A664" s="250"/>
      <c r="C664" s="180"/>
    </row>
    <row r="665" ht="15.75" customHeight="1">
      <c r="A665" s="250"/>
      <c r="C665" s="180"/>
    </row>
    <row r="666" ht="15.75" customHeight="1">
      <c r="A666" s="250"/>
      <c r="C666" s="180"/>
    </row>
    <row r="667" ht="15.75" customHeight="1">
      <c r="A667" s="250"/>
      <c r="C667" s="180"/>
    </row>
    <row r="668" ht="15.75" customHeight="1">
      <c r="A668" s="250"/>
      <c r="C668" s="180"/>
    </row>
    <row r="669" ht="15.75" customHeight="1">
      <c r="A669" s="250"/>
      <c r="C669" s="180"/>
    </row>
    <row r="670" ht="15.75" customHeight="1">
      <c r="A670" s="250"/>
      <c r="C670" s="180"/>
    </row>
    <row r="671" ht="15.75" customHeight="1">
      <c r="A671" s="250"/>
      <c r="C671" s="180"/>
    </row>
    <row r="672" ht="15.75" customHeight="1">
      <c r="A672" s="250"/>
      <c r="C672" s="180"/>
    </row>
    <row r="673" ht="15.75" customHeight="1">
      <c r="A673" s="250"/>
      <c r="C673" s="180"/>
    </row>
    <row r="674" ht="15.75" customHeight="1">
      <c r="A674" s="250"/>
      <c r="C674" s="180"/>
    </row>
    <row r="675" ht="15.75" customHeight="1">
      <c r="A675" s="250"/>
      <c r="C675" s="180"/>
    </row>
    <row r="676" ht="15.75" customHeight="1">
      <c r="A676" s="250"/>
      <c r="C676" s="180"/>
    </row>
    <row r="677" ht="15.75" customHeight="1">
      <c r="A677" s="250"/>
      <c r="C677" s="180"/>
    </row>
    <row r="678" ht="15.75" customHeight="1">
      <c r="A678" s="250"/>
      <c r="C678" s="180"/>
    </row>
    <row r="679" ht="15.75" customHeight="1">
      <c r="A679" s="250"/>
      <c r="C679" s="180"/>
    </row>
    <row r="680" ht="15.75" customHeight="1">
      <c r="A680" s="250"/>
      <c r="C680" s="180"/>
    </row>
    <row r="681" ht="15.75" customHeight="1">
      <c r="A681" s="250"/>
      <c r="C681" s="180"/>
    </row>
    <row r="682" ht="15.75" customHeight="1">
      <c r="A682" s="250"/>
      <c r="C682" s="180"/>
    </row>
    <row r="683" ht="15.75" customHeight="1">
      <c r="A683" s="250"/>
      <c r="C683" s="180"/>
    </row>
    <row r="684" ht="15.75" customHeight="1">
      <c r="A684" s="250"/>
      <c r="C684" s="180"/>
    </row>
    <row r="685" ht="15.75" customHeight="1">
      <c r="A685" s="250"/>
      <c r="C685" s="180"/>
    </row>
    <row r="686" ht="15.75" customHeight="1">
      <c r="A686" s="250"/>
      <c r="C686" s="180"/>
    </row>
    <row r="687" ht="15.75" customHeight="1">
      <c r="A687" s="250"/>
      <c r="C687" s="180"/>
    </row>
    <row r="688" ht="15.75" customHeight="1">
      <c r="A688" s="250"/>
      <c r="C688" s="180"/>
    </row>
    <row r="689" ht="15.75" customHeight="1">
      <c r="A689" s="250"/>
      <c r="C689" s="180"/>
    </row>
    <row r="690" ht="15.75" customHeight="1">
      <c r="A690" s="250"/>
      <c r="C690" s="180"/>
    </row>
    <row r="691" ht="15.75" customHeight="1">
      <c r="A691" s="250"/>
      <c r="C691" s="180"/>
    </row>
    <row r="692" ht="15.75" customHeight="1">
      <c r="A692" s="250"/>
      <c r="C692" s="180"/>
    </row>
    <row r="693" ht="15.75" customHeight="1">
      <c r="A693" s="250"/>
      <c r="C693" s="180"/>
    </row>
    <row r="694" ht="15.75" customHeight="1">
      <c r="A694" s="250"/>
      <c r="C694" s="180"/>
    </row>
    <row r="695" ht="15.75" customHeight="1">
      <c r="A695" s="250"/>
      <c r="C695" s="180"/>
    </row>
    <row r="696" ht="15.75" customHeight="1">
      <c r="A696" s="250"/>
      <c r="C696" s="180"/>
    </row>
    <row r="697" ht="15.75" customHeight="1">
      <c r="A697" s="250"/>
      <c r="C697" s="180"/>
    </row>
    <row r="698" ht="15.75" customHeight="1">
      <c r="A698" s="250"/>
      <c r="C698" s="180"/>
    </row>
    <row r="699" ht="15.75" customHeight="1">
      <c r="A699" s="250"/>
      <c r="C699" s="180"/>
    </row>
    <row r="700" ht="15.75" customHeight="1">
      <c r="A700" s="250"/>
      <c r="C700" s="180"/>
    </row>
    <row r="701" ht="15.75" customHeight="1">
      <c r="A701" s="250"/>
      <c r="C701" s="180"/>
    </row>
    <row r="702" ht="15.75" customHeight="1">
      <c r="A702" s="250"/>
      <c r="C702" s="180"/>
    </row>
    <row r="703" ht="15.75" customHeight="1">
      <c r="A703" s="250"/>
      <c r="C703" s="180"/>
    </row>
    <row r="704" ht="15.75" customHeight="1">
      <c r="A704" s="250"/>
      <c r="C704" s="180"/>
    </row>
    <row r="705" ht="15.75" customHeight="1">
      <c r="A705" s="250"/>
      <c r="C705" s="180"/>
    </row>
    <row r="706" ht="15.75" customHeight="1">
      <c r="A706" s="250"/>
      <c r="C706" s="180"/>
    </row>
    <row r="707" ht="15.75" customHeight="1">
      <c r="A707" s="250"/>
      <c r="C707" s="180"/>
    </row>
    <row r="708" ht="15.75" customHeight="1">
      <c r="A708" s="250"/>
      <c r="C708" s="180"/>
    </row>
    <row r="709" ht="15.75" customHeight="1">
      <c r="A709" s="250"/>
      <c r="C709" s="180"/>
    </row>
    <row r="710" ht="15.75" customHeight="1">
      <c r="A710" s="250"/>
      <c r="C710" s="180"/>
    </row>
    <row r="711" ht="15.75" customHeight="1">
      <c r="A711" s="250"/>
      <c r="C711" s="180"/>
    </row>
    <row r="712" ht="15.75" customHeight="1">
      <c r="A712" s="250"/>
      <c r="C712" s="180"/>
    </row>
    <row r="713" ht="15.75" customHeight="1">
      <c r="A713" s="250"/>
      <c r="C713" s="180"/>
    </row>
    <row r="714" ht="15.75" customHeight="1">
      <c r="A714" s="250"/>
      <c r="C714" s="180"/>
    </row>
    <row r="715" ht="15.75" customHeight="1">
      <c r="A715" s="250"/>
      <c r="C715" s="180"/>
    </row>
    <row r="716" ht="15.75" customHeight="1">
      <c r="A716" s="250"/>
      <c r="C716" s="180"/>
    </row>
    <row r="717" ht="15.75" customHeight="1">
      <c r="A717" s="250"/>
      <c r="C717" s="180"/>
    </row>
    <row r="718" ht="15.75" customHeight="1">
      <c r="A718" s="250"/>
      <c r="C718" s="180"/>
    </row>
    <row r="719" ht="15.75" customHeight="1">
      <c r="A719" s="250"/>
      <c r="C719" s="180"/>
    </row>
    <row r="720" ht="15.75" customHeight="1">
      <c r="A720" s="250"/>
      <c r="C720" s="180"/>
    </row>
    <row r="721" ht="15.75" customHeight="1">
      <c r="A721" s="250"/>
      <c r="C721" s="180"/>
    </row>
    <row r="722" ht="15.75" customHeight="1">
      <c r="A722" s="250"/>
      <c r="C722" s="180"/>
    </row>
    <row r="723" ht="15.75" customHeight="1">
      <c r="A723" s="250"/>
      <c r="C723" s="180"/>
    </row>
    <row r="724" ht="15.75" customHeight="1">
      <c r="A724" s="250"/>
      <c r="C724" s="180"/>
    </row>
    <row r="725" ht="15.75" customHeight="1">
      <c r="A725" s="250"/>
      <c r="C725" s="180"/>
    </row>
    <row r="726" ht="15.75" customHeight="1">
      <c r="A726" s="250"/>
      <c r="C726" s="180"/>
    </row>
    <row r="727" ht="15.75" customHeight="1">
      <c r="A727" s="250"/>
      <c r="C727" s="180"/>
    </row>
    <row r="728" ht="15.75" customHeight="1">
      <c r="A728" s="250"/>
      <c r="C728" s="180"/>
    </row>
    <row r="729" ht="15.75" customHeight="1">
      <c r="A729" s="250"/>
      <c r="C729" s="180"/>
    </row>
    <row r="730" ht="15.75" customHeight="1">
      <c r="A730" s="250"/>
      <c r="C730" s="180"/>
    </row>
    <row r="731" ht="15.75" customHeight="1">
      <c r="A731" s="250"/>
      <c r="C731" s="180"/>
    </row>
    <row r="732" ht="15.75" customHeight="1">
      <c r="A732" s="250"/>
      <c r="C732" s="180"/>
    </row>
    <row r="733" ht="15.75" customHeight="1">
      <c r="A733" s="250"/>
      <c r="C733" s="180"/>
    </row>
    <row r="734" ht="15.75" customHeight="1">
      <c r="A734" s="250"/>
      <c r="C734" s="180"/>
    </row>
    <row r="735" ht="15.75" customHeight="1">
      <c r="A735" s="250"/>
      <c r="C735" s="180"/>
    </row>
    <row r="736" ht="15.75" customHeight="1">
      <c r="A736" s="250"/>
      <c r="C736" s="180"/>
    </row>
    <row r="737" ht="15.75" customHeight="1">
      <c r="A737" s="250"/>
      <c r="C737" s="180"/>
    </row>
    <row r="738" ht="15.75" customHeight="1">
      <c r="A738" s="250"/>
      <c r="C738" s="180"/>
    </row>
    <row r="739" ht="15.75" customHeight="1">
      <c r="A739" s="250"/>
      <c r="C739" s="180"/>
    </row>
    <row r="740" ht="15.75" customHeight="1">
      <c r="A740" s="250"/>
      <c r="C740" s="180"/>
    </row>
    <row r="741" ht="15.75" customHeight="1">
      <c r="A741" s="250"/>
      <c r="C741" s="180"/>
    </row>
    <row r="742" ht="15.75" customHeight="1">
      <c r="A742" s="250"/>
      <c r="C742" s="180"/>
    </row>
    <row r="743" ht="15.75" customHeight="1">
      <c r="A743" s="250"/>
      <c r="C743" s="180"/>
    </row>
    <row r="744" ht="15.75" customHeight="1">
      <c r="A744" s="250"/>
      <c r="C744" s="180"/>
    </row>
    <row r="745" ht="15.75" customHeight="1">
      <c r="A745" s="250"/>
      <c r="C745" s="180"/>
    </row>
    <row r="746" ht="15.75" customHeight="1">
      <c r="A746" s="250"/>
      <c r="C746" s="180"/>
    </row>
    <row r="747" ht="15.75" customHeight="1">
      <c r="A747" s="250"/>
      <c r="C747" s="180"/>
    </row>
    <row r="748" ht="15.75" customHeight="1">
      <c r="A748" s="250"/>
      <c r="C748" s="180"/>
    </row>
    <row r="749" ht="15.75" customHeight="1">
      <c r="A749" s="250"/>
      <c r="C749" s="180"/>
    </row>
    <row r="750" ht="15.75" customHeight="1">
      <c r="A750" s="250"/>
      <c r="C750" s="180"/>
    </row>
    <row r="751" ht="15.75" customHeight="1">
      <c r="A751" s="250"/>
      <c r="C751" s="180"/>
    </row>
    <row r="752" ht="15.75" customHeight="1">
      <c r="A752" s="250"/>
      <c r="C752" s="180"/>
    </row>
    <row r="753" ht="15.75" customHeight="1">
      <c r="A753" s="250"/>
      <c r="C753" s="180"/>
    </row>
    <row r="754" ht="15.75" customHeight="1">
      <c r="A754" s="250"/>
      <c r="C754" s="180"/>
    </row>
    <row r="755" ht="15.75" customHeight="1">
      <c r="A755" s="250"/>
      <c r="C755" s="180"/>
    </row>
    <row r="756" ht="15.75" customHeight="1">
      <c r="A756" s="250"/>
      <c r="C756" s="180"/>
    </row>
    <row r="757" ht="15.75" customHeight="1">
      <c r="A757" s="250"/>
      <c r="C757" s="180"/>
    </row>
    <row r="758" ht="15.75" customHeight="1">
      <c r="A758" s="250"/>
      <c r="C758" s="180"/>
    </row>
    <row r="759" ht="15.75" customHeight="1">
      <c r="A759" s="250"/>
      <c r="C759" s="180"/>
    </row>
    <row r="760" ht="15.75" customHeight="1">
      <c r="A760" s="250"/>
      <c r="C760" s="180"/>
    </row>
    <row r="761" ht="15.75" customHeight="1">
      <c r="A761" s="250"/>
      <c r="C761" s="180"/>
    </row>
    <row r="762" ht="15.75" customHeight="1">
      <c r="A762" s="250"/>
      <c r="C762" s="180"/>
    </row>
    <row r="763" ht="15.75" customHeight="1">
      <c r="A763" s="250"/>
      <c r="C763" s="180"/>
    </row>
    <row r="764" ht="15.75" customHeight="1">
      <c r="A764" s="250"/>
      <c r="C764" s="180"/>
    </row>
    <row r="765" ht="15.75" customHeight="1">
      <c r="A765" s="250"/>
      <c r="C765" s="180"/>
    </row>
    <row r="766" ht="15.75" customHeight="1">
      <c r="A766" s="250"/>
      <c r="C766" s="180"/>
    </row>
    <row r="767" ht="15.75" customHeight="1">
      <c r="A767" s="250"/>
      <c r="C767" s="180"/>
    </row>
    <row r="768" ht="15.75" customHeight="1">
      <c r="A768" s="250"/>
      <c r="C768" s="180"/>
    </row>
    <row r="769" ht="15.75" customHeight="1">
      <c r="A769" s="250"/>
      <c r="C769" s="180"/>
    </row>
    <row r="770" ht="15.75" customHeight="1">
      <c r="A770" s="250"/>
      <c r="C770" s="180"/>
    </row>
    <row r="771" ht="15.75" customHeight="1">
      <c r="A771" s="250"/>
      <c r="C771" s="180"/>
    </row>
    <row r="772" ht="15.75" customHeight="1">
      <c r="A772" s="250"/>
      <c r="C772" s="180"/>
    </row>
    <row r="773" ht="15.75" customHeight="1">
      <c r="A773" s="250"/>
      <c r="C773" s="180"/>
    </row>
    <row r="774" ht="15.75" customHeight="1">
      <c r="A774" s="250"/>
      <c r="C774" s="180"/>
    </row>
    <row r="775" ht="15.75" customHeight="1">
      <c r="A775" s="250"/>
      <c r="C775" s="180"/>
    </row>
    <row r="776" ht="15.75" customHeight="1">
      <c r="A776" s="250"/>
      <c r="C776" s="180"/>
    </row>
    <row r="777" ht="15.75" customHeight="1">
      <c r="A777" s="250"/>
      <c r="C777" s="180"/>
    </row>
    <row r="778" ht="15.75" customHeight="1">
      <c r="A778" s="250"/>
      <c r="C778" s="180"/>
    </row>
    <row r="779" ht="15.75" customHeight="1">
      <c r="A779" s="250"/>
      <c r="C779" s="180"/>
    </row>
    <row r="780" ht="15.75" customHeight="1">
      <c r="A780" s="250"/>
      <c r="C780" s="180"/>
    </row>
    <row r="781" ht="15.75" customHeight="1">
      <c r="A781" s="250"/>
      <c r="C781" s="180"/>
    </row>
    <row r="782" ht="15.75" customHeight="1">
      <c r="A782" s="250"/>
      <c r="C782" s="180"/>
    </row>
    <row r="783" ht="15.75" customHeight="1">
      <c r="A783" s="250"/>
      <c r="C783" s="180"/>
    </row>
    <row r="784" ht="15.75" customHeight="1">
      <c r="A784" s="250"/>
      <c r="C784" s="180"/>
    </row>
    <row r="785" ht="15.75" customHeight="1">
      <c r="A785" s="250"/>
      <c r="C785" s="180"/>
    </row>
    <row r="786" ht="15.75" customHeight="1">
      <c r="A786" s="250"/>
      <c r="C786" s="180"/>
    </row>
    <row r="787" ht="15.75" customHeight="1">
      <c r="A787" s="250"/>
      <c r="C787" s="180"/>
    </row>
    <row r="788" ht="15.75" customHeight="1">
      <c r="A788" s="250"/>
      <c r="C788" s="180"/>
    </row>
    <row r="789" ht="15.75" customHeight="1">
      <c r="A789" s="250"/>
      <c r="C789" s="180"/>
    </row>
    <row r="790" ht="15.75" customHeight="1">
      <c r="A790" s="250"/>
      <c r="C790" s="180"/>
    </row>
    <row r="791" ht="15.75" customHeight="1">
      <c r="A791" s="250"/>
      <c r="C791" s="180"/>
    </row>
    <row r="792" ht="15.75" customHeight="1">
      <c r="A792" s="250"/>
      <c r="C792" s="180"/>
    </row>
    <row r="793" ht="15.75" customHeight="1">
      <c r="A793" s="250"/>
      <c r="C793" s="180"/>
    </row>
    <row r="794" ht="15.75" customHeight="1">
      <c r="A794" s="250"/>
      <c r="C794" s="180"/>
    </row>
    <row r="795" ht="15.75" customHeight="1">
      <c r="A795" s="250"/>
      <c r="C795" s="180"/>
    </row>
    <row r="796" ht="15.75" customHeight="1">
      <c r="A796" s="250"/>
      <c r="C796" s="180"/>
    </row>
    <row r="797" ht="15.75" customHeight="1">
      <c r="A797" s="250"/>
      <c r="C797" s="180"/>
    </row>
    <row r="798" ht="15.75" customHeight="1">
      <c r="A798" s="250"/>
      <c r="C798" s="180"/>
    </row>
    <row r="799" ht="15.75" customHeight="1">
      <c r="A799" s="250"/>
      <c r="C799" s="180"/>
    </row>
    <row r="800" ht="15.75" customHeight="1">
      <c r="A800" s="250"/>
      <c r="C800" s="180"/>
    </row>
    <row r="801" ht="15.75" customHeight="1">
      <c r="A801" s="250"/>
      <c r="C801" s="180"/>
    </row>
    <row r="802" ht="15.75" customHeight="1">
      <c r="A802" s="250"/>
      <c r="C802" s="180"/>
    </row>
    <row r="803" ht="15.75" customHeight="1">
      <c r="A803" s="250"/>
      <c r="C803" s="180"/>
    </row>
    <row r="804" ht="15.75" customHeight="1">
      <c r="A804" s="250"/>
      <c r="C804" s="180"/>
    </row>
    <row r="805" ht="15.75" customHeight="1">
      <c r="A805" s="250"/>
      <c r="C805" s="180"/>
    </row>
    <row r="806" ht="15.75" customHeight="1">
      <c r="A806" s="250"/>
      <c r="C806" s="180"/>
    </row>
    <row r="807" ht="15.75" customHeight="1">
      <c r="A807" s="250"/>
      <c r="C807" s="180"/>
    </row>
    <row r="808" ht="15.75" customHeight="1">
      <c r="A808" s="250"/>
      <c r="C808" s="180"/>
    </row>
    <row r="809" ht="15.75" customHeight="1">
      <c r="A809" s="250"/>
      <c r="C809" s="180"/>
    </row>
    <row r="810" ht="15.75" customHeight="1">
      <c r="A810" s="250"/>
      <c r="C810" s="180"/>
    </row>
    <row r="811" ht="15.75" customHeight="1">
      <c r="A811" s="250"/>
      <c r="C811" s="180"/>
    </row>
    <row r="812" ht="15.75" customHeight="1">
      <c r="A812" s="250"/>
      <c r="C812" s="180"/>
    </row>
    <row r="813" ht="15.75" customHeight="1">
      <c r="A813" s="250"/>
      <c r="C813" s="180"/>
    </row>
    <row r="814" ht="15.75" customHeight="1">
      <c r="A814" s="250"/>
      <c r="C814" s="180"/>
    </row>
    <row r="815" ht="15.75" customHeight="1">
      <c r="A815" s="250"/>
      <c r="C815" s="180"/>
    </row>
    <row r="816" ht="15.75" customHeight="1">
      <c r="A816" s="250"/>
      <c r="C816" s="180"/>
    </row>
    <row r="817" ht="15.75" customHeight="1">
      <c r="A817" s="250"/>
      <c r="C817" s="180"/>
    </row>
    <row r="818" ht="15.75" customHeight="1">
      <c r="A818" s="250"/>
      <c r="C818" s="180"/>
    </row>
    <row r="819" ht="15.75" customHeight="1">
      <c r="A819" s="250"/>
      <c r="C819" s="180"/>
    </row>
    <row r="820" ht="15.75" customHeight="1">
      <c r="A820" s="250"/>
      <c r="C820" s="180"/>
    </row>
    <row r="821" ht="15.75" customHeight="1">
      <c r="A821" s="250"/>
      <c r="C821" s="180"/>
    </row>
    <row r="822" ht="15.75" customHeight="1">
      <c r="A822" s="250"/>
      <c r="C822" s="180"/>
    </row>
    <row r="823" ht="15.75" customHeight="1">
      <c r="A823" s="250"/>
      <c r="C823" s="180"/>
    </row>
    <row r="824" ht="15.75" customHeight="1">
      <c r="A824" s="250"/>
      <c r="C824" s="180"/>
    </row>
    <row r="825" ht="15.75" customHeight="1">
      <c r="A825" s="250"/>
      <c r="C825" s="180"/>
    </row>
    <row r="826" ht="15.75" customHeight="1">
      <c r="A826" s="250"/>
      <c r="C826" s="180"/>
    </row>
    <row r="827" ht="15.75" customHeight="1">
      <c r="A827" s="250"/>
      <c r="C827" s="180"/>
    </row>
    <row r="828" ht="15.75" customHeight="1">
      <c r="A828" s="250"/>
      <c r="C828" s="180"/>
    </row>
    <row r="829" ht="15.75" customHeight="1">
      <c r="A829" s="250"/>
      <c r="C829" s="180"/>
    </row>
    <row r="830" ht="15.75" customHeight="1">
      <c r="A830" s="250"/>
      <c r="C830" s="180"/>
    </row>
    <row r="831" ht="15.75" customHeight="1">
      <c r="A831" s="250"/>
      <c r="C831" s="180"/>
    </row>
    <row r="832" ht="15.75" customHeight="1">
      <c r="A832" s="250"/>
      <c r="C832" s="180"/>
    </row>
    <row r="833" ht="15.75" customHeight="1">
      <c r="A833" s="250"/>
      <c r="C833" s="180"/>
    </row>
    <row r="834" ht="15.75" customHeight="1">
      <c r="A834" s="250"/>
      <c r="C834" s="180"/>
    </row>
    <row r="835" ht="15.75" customHeight="1">
      <c r="A835" s="250"/>
      <c r="C835" s="180"/>
    </row>
    <row r="836" ht="15.75" customHeight="1">
      <c r="A836" s="250"/>
      <c r="C836" s="180"/>
    </row>
    <row r="837" ht="15.75" customHeight="1">
      <c r="A837" s="250"/>
      <c r="C837" s="180"/>
    </row>
    <row r="838" ht="15.75" customHeight="1">
      <c r="A838" s="250"/>
      <c r="C838" s="180"/>
    </row>
    <row r="839" ht="15.75" customHeight="1">
      <c r="A839" s="250"/>
      <c r="C839" s="180"/>
    </row>
    <row r="840" ht="15.75" customHeight="1">
      <c r="A840" s="250"/>
      <c r="C840" s="180"/>
    </row>
    <row r="841" ht="15.75" customHeight="1">
      <c r="A841" s="250"/>
      <c r="C841" s="180"/>
    </row>
    <row r="842" ht="15.75" customHeight="1">
      <c r="A842" s="250"/>
      <c r="C842" s="180"/>
    </row>
    <row r="843" ht="15.75" customHeight="1">
      <c r="A843" s="250"/>
      <c r="C843" s="180"/>
    </row>
    <row r="844" ht="15.75" customHeight="1">
      <c r="A844" s="250"/>
      <c r="C844" s="180"/>
    </row>
    <row r="845" ht="15.75" customHeight="1">
      <c r="A845" s="250"/>
      <c r="C845" s="180"/>
    </row>
    <row r="846" ht="15.75" customHeight="1">
      <c r="A846" s="250"/>
      <c r="C846" s="180"/>
    </row>
    <row r="847" ht="15.75" customHeight="1">
      <c r="A847" s="250"/>
      <c r="C847" s="180"/>
    </row>
    <row r="848" ht="15.75" customHeight="1">
      <c r="A848" s="250"/>
      <c r="C848" s="180"/>
    </row>
    <row r="849" ht="15.75" customHeight="1">
      <c r="A849" s="250"/>
      <c r="C849" s="180"/>
    </row>
    <row r="850" ht="15.75" customHeight="1">
      <c r="A850" s="250"/>
      <c r="C850" s="180"/>
    </row>
    <row r="851" ht="15.75" customHeight="1">
      <c r="A851" s="250"/>
      <c r="C851" s="180"/>
    </row>
    <row r="852" ht="15.75" customHeight="1">
      <c r="A852" s="250"/>
      <c r="C852" s="180"/>
    </row>
    <row r="853" ht="15.75" customHeight="1">
      <c r="A853" s="250"/>
      <c r="C853" s="180"/>
    </row>
    <row r="854" ht="15.75" customHeight="1">
      <c r="A854" s="250"/>
      <c r="C854" s="180"/>
    </row>
    <row r="855" ht="15.75" customHeight="1">
      <c r="A855" s="250"/>
      <c r="C855" s="180"/>
    </row>
    <row r="856" ht="15.75" customHeight="1">
      <c r="A856" s="250"/>
      <c r="C856" s="180"/>
    </row>
    <row r="857" ht="15.75" customHeight="1">
      <c r="A857" s="250"/>
      <c r="C857" s="180"/>
    </row>
    <row r="858" ht="15.75" customHeight="1">
      <c r="A858" s="250"/>
      <c r="C858" s="180"/>
    </row>
    <row r="859" ht="15.75" customHeight="1">
      <c r="A859" s="250"/>
      <c r="C859" s="180"/>
    </row>
    <row r="860" ht="15.75" customHeight="1">
      <c r="A860" s="250"/>
      <c r="C860" s="180"/>
    </row>
    <row r="861" ht="15.75" customHeight="1">
      <c r="A861" s="250"/>
      <c r="C861" s="180"/>
    </row>
    <row r="862" ht="15.75" customHeight="1">
      <c r="A862" s="250"/>
      <c r="C862" s="180"/>
    </row>
    <row r="863" ht="15.75" customHeight="1">
      <c r="A863" s="250"/>
      <c r="C863" s="180"/>
    </row>
    <row r="864" ht="15.75" customHeight="1">
      <c r="A864" s="250"/>
      <c r="C864" s="180"/>
    </row>
    <row r="865" ht="15.75" customHeight="1">
      <c r="A865" s="250"/>
      <c r="C865" s="180"/>
    </row>
    <row r="866" ht="15.75" customHeight="1">
      <c r="A866" s="250"/>
      <c r="C866" s="180"/>
    </row>
    <row r="867" ht="15.75" customHeight="1">
      <c r="A867" s="250"/>
      <c r="C867" s="180"/>
    </row>
    <row r="868" ht="15.75" customHeight="1">
      <c r="A868" s="250"/>
      <c r="C868" s="180"/>
    </row>
    <row r="869" ht="15.75" customHeight="1">
      <c r="A869" s="250"/>
      <c r="C869" s="180"/>
    </row>
    <row r="870" ht="15.75" customHeight="1">
      <c r="A870" s="250"/>
      <c r="C870" s="180"/>
    </row>
    <row r="871" ht="15.75" customHeight="1">
      <c r="A871" s="250"/>
      <c r="C871" s="180"/>
    </row>
    <row r="872" ht="15.75" customHeight="1">
      <c r="A872" s="250"/>
      <c r="C872" s="180"/>
    </row>
    <row r="873" ht="15.75" customHeight="1">
      <c r="A873" s="250"/>
      <c r="C873" s="180"/>
    </row>
    <row r="874" ht="15.75" customHeight="1">
      <c r="A874" s="250"/>
      <c r="C874" s="180"/>
    </row>
    <row r="875" ht="15.75" customHeight="1">
      <c r="A875" s="250"/>
      <c r="C875" s="180"/>
    </row>
    <row r="876" ht="15.75" customHeight="1">
      <c r="A876" s="250"/>
      <c r="C876" s="180"/>
    </row>
    <row r="877" ht="15.75" customHeight="1">
      <c r="A877" s="250"/>
      <c r="C877" s="180"/>
    </row>
    <row r="878" ht="15.75" customHeight="1">
      <c r="A878" s="250"/>
      <c r="C878" s="180"/>
    </row>
    <row r="879" ht="15.75" customHeight="1">
      <c r="A879" s="250"/>
      <c r="C879" s="180"/>
    </row>
    <row r="880" ht="15.75" customHeight="1">
      <c r="A880" s="250"/>
      <c r="C880" s="180"/>
    </row>
    <row r="881" ht="15.75" customHeight="1">
      <c r="A881" s="250"/>
      <c r="C881" s="180"/>
    </row>
    <row r="882" ht="15.75" customHeight="1">
      <c r="A882" s="250"/>
      <c r="C882" s="180"/>
    </row>
    <row r="883" ht="15.75" customHeight="1">
      <c r="A883" s="250"/>
      <c r="C883" s="180"/>
    </row>
    <row r="884" ht="15.75" customHeight="1">
      <c r="A884" s="250"/>
      <c r="C884" s="180"/>
    </row>
    <row r="885" ht="15.75" customHeight="1">
      <c r="A885" s="250"/>
      <c r="C885" s="180"/>
    </row>
    <row r="886" ht="15.75" customHeight="1">
      <c r="A886" s="250"/>
      <c r="C886" s="180"/>
    </row>
    <row r="887" ht="15.75" customHeight="1">
      <c r="A887" s="250"/>
      <c r="C887" s="180"/>
    </row>
    <row r="888" ht="15.75" customHeight="1">
      <c r="A888" s="250"/>
      <c r="C888" s="180"/>
    </row>
    <row r="889" ht="15.75" customHeight="1">
      <c r="A889" s="250"/>
      <c r="C889" s="180"/>
    </row>
    <row r="890" ht="15.75" customHeight="1">
      <c r="A890" s="250"/>
      <c r="C890" s="180"/>
    </row>
    <row r="891" ht="15.75" customHeight="1">
      <c r="A891" s="250"/>
      <c r="C891" s="180"/>
    </row>
    <row r="892" ht="15.75" customHeight="1">
      <c r="A892" s="250"/>
      <c r="C892" s="180"/>
    </row>
    <row r="893" ht="15.75" customHeight="1">
      <c r="A893" s="250"/>
      <c r="C893" s="180"/>
    </row>
    <row r="894" ht="15.75" customHeight="1">
      <c r="A894" s="250"/>
      <c r="C894" s="180"/>
    </row>
    <row r="895" ht="15.75" customHeight="1">
      <c r="A895" s="250"/>
      <c r="C895" s="180"/>
    </row>
    <row r="896" ht="15.75" customHeight="1">
      <c r="A896" s="250"/>
      <c r="C896" s="180"/>
    </row>
    <row r="897" ht="15.75" customHeight="1">
      <c r="A897" s="250"/>
      <c r="C897" s="180"/>
    </row>
    <row r="898" ht="15.75" customHeight="1">
      <c r="A898" s="250"/>
      <c r="C898" s="180"/>
    </row>
    <row r="899" ht="15.75" customHeight="1">
      <c r="A899" s="250"/>
      <c r="C899" s="180"/>
    </row>
    <row r="900" ht="15.75" customHeight="1">
      <c r="A900" s="250"/>
      <c r="C900" s="180"/>
    </row>
    <row r="901" ht="15.75" customHeight="1">
      <c r="A901" s="250"/>
      <c r="C901" s="180"/>
    </row>
    <row r="902" ht="15.75" customHeight="1">
      <c r="A902" s="250"/>
      <c r="C902" s="180"/>
    </row>
    <row r="903" ht="15.75" customHeight="1">
      <c r="A903" s="250"/>
      <c r="C903" s="180"/>
    </row>
    <row r="904" ht="15.75" customHeight="1">
      <c r="A904" s="250"/>
      <c r="C904" s="180"/>
    </row>
    <row r="905" ht="15.75" customHeight="1">
      <c r="A905" s="250"/>
      <c r="C905" s="180"/>
    </row>
    <row r="906" ht="15.75" customHeight="1">
      <c r="A906" s="250"/>
      <c r="C906" s="180"/>
    </row>
    <row r="907" ht="15.75" customHeight="1">
      <c r="A907" s="250"/>
      <c r="C907" s="180"/>
    </row>
    <row r="908" ht="15.75" customHeight="1">
      <c r="A908" s="250"/>
      <c r="C908" s="180"/>
    </row>
    <row r="909" ht="15.75" customHeight="1">
      <c r="A909" s="250"/>
      <c r="C909" s="180"/>
    </row>
    <row r="910" ht="15.75" customHeight="1">
      <c r="A910" s="250"/>
      <c r="C910" s="180"/>
    </row>
    <row r="911" ht="15.75" customHeight="1">
      <c r="A911" s="250"/>
      <c r="C911" s="180"/>
    </row>
    <row r="912" ht="15.75" customHeight="1">
      <c r="A912" s="250"/>
      <c r="C912" s="180"/>
    </row>
    <row r="913" ht="15.75" customHeight="1">
      <c r="A913" s="250"/>
      <c r="C913" s="180"/>
    </row>
    <row r="914" ht="15.75" customHeight="1">
      <c r="A914" s="250"/>
      <c r="C914" s="180"/>
    </row>
    <row r="915" ht="15.75" customHeight="1">
      <c r="A915" s="250"/>
      <c r="C915" s="180"/>
    </row>
    <row r="916" ht="15.75" customHeight="1">
      <c r="A916" s="250"/>
      <c r="C916" s="180"/>
    </row>
    <row r="917" ht="15.75" customHeight="1">
      <c r="A917" s="250"/>
      <c r="C917" s="180"/>
    </row>
    <row r="918" ht="15.75" customHeight="1">
      <c r="A918" s="250"/>
      <c r="C918" s="180"/>
    </row>
    <row r="919" ht="15.75" customHeight="1">
      <c r="A919" s="250"/>
      <c r="C919" s="180"/>
    </row>
    <row r="920" ht="15.75" customHeight="1">
      <c r="A920" s="250"/>
      <c r="C920" s="180"/>
    </row>
    <row r="921" ht="15.75" customHeight="1">
      <c r="A921" s="250"/>
      <c r="C921" s="180"/>
    </row>
    <row r="922" ht="15.75" customHeight="1">
      <c r="A922" s="250"/>
      <c r="C922" s="180"/>
    </row>
    <row r="923" ht="15.75" customHeight="1">
      <c r="A923" s="250"/>
      <c r="C923" s="180"/>
    </row>
    <row r="924" ht="15.75" customHeight="1">
      <c r="A924" s="250"/>
      <c r="C924" s="180"/>
    </row>
    <row r="925" ht="15.75" customHeight="1">
      <c r="A925" s="250"/>
      <c r="C925" s="180"/>
    </row>
    <row r="926" ht="15.75" customHeight="1">
      <c r="A926" s="250"/>
      <c r="C926" s="180"/>
    </row>
    <row r="927" ht="15.75" customHeight="1">
      <c r="A927" s="250"/>
      <c r="C927" s="180"/>
    </row>
    <row r="928" ht="15.75" customHeight="1">
      <c r="A928" s="250"/>
      <c r="C928" s="180"/>
    </row>
    <row r="929" ht="15.75" customHeight="1">
      <c r="A929" s="250"/>
      <c r="C929" s="180"/>
    </row>
    <row r="930" ht="15.75" customHeight="1">
      <c r="A930" s="250"/>
      <c r="C930" s="180"/>
    </row>
    <row r="931" ht="15.75" customHeight="1">
      <c r="A931" s="250"/>
      <c r="C931" s="180"/>
    </row>
    <row r="932" ht="15.75" customHeight="1">
      <c r="A932" s="250"/>
      <c r="C932" s="180"/>
    </row>
    <row r="933" ht="15.75" customHeight="1">
      <c r="A933" s="250"/>
      <c r="C933" s="180"/>
    </row>
    <row r="934" ht="15.75" customHeight="1">
      <c r="A934" s="250"/>
      <c r="C934" s="180"/>
    </row>
    <row r="935" ht="15.75" customHeight="1">
      <c r="A935" s="250"/>
      <c r="C935" s="180"/>
    </row>
    <row r="936" ht="15.75" customHeight="1">
      <c r="A936" s="250"/>
      <c r="C936" s="180"/>
    </row>
    <row r="937" ht="15.75" customHeight="1">
      <c r="A937" s="250"/>
      <c r="C937" s="180"/>
    </row>
    <row r="938" ht="15.75" customHeight="1">
      <c r="A938" s="250"/>
      <c r="C938" s="180"/>
    </row>
    <row r="939" ht="15.75" customHeight="1">
      <c r="A939" s="250"/>
      <c r="C939" s="180"/>
    </row>
    <row r="940" ht="15.75" customHeight="1">
      <c r="A940" s="250"/>
      <c r="C940" s="180"/>
    </row>
    <row r="941" ht="15.75" customHeight="1">
      <c r="A941" s="250"/>
      <c r="C941" s="180"/>
    </row>
    <row r="942" ht="15.75" customHeight="1">
      <c r="A942" s="250"/>
      <c r="C942" s="180"/>
    </row>
    <row r="943" ht="15.75" customHeight="1">
      <c r="A943" s="250"/>
      <c r="C943" s="180"/>
    </row>
    <row r="944" ht="15.75" customHeight="1">
      <c r="A944" s="250"/>
      <c r="C944" s="180"/>
    </row>
    <row r="945" ht="15.75" customHeight="1">
      <c r="A945" s="250"/>
      <c r="C945" s="180"/>
    </row>
    <row r="946" ht="15.75" customHeight="1">
      <c r="A946" s="250"/>
      <c r="C946" s="180"/>
    </row>
    <row r="947" ht="15.75" customHeight="1">
      <c r="A947" s="250"/>
      <c r="C947" s="180"/>
    </row>
    <row r="948" ht="15.75" customHeight="1">
      <c r="A948" s="250"/>
      <c r="C948" s="180"/>
    </row>
    <row r="949" ht="15.75" customHeight="1">
      <c r="A949" s="250"/>
      <c r="C949" s="180"/>
    </row>
    <row r="950" ht="15.75" customHeight="1">
      <c r="A950" s="250"/>
      <c r="C950" s="180"/>
    </row>
    <row r="951" ht="15.75" customHeight="1">
      <c r="A951" s="250"/>
      <c r="C951" s="180"/>
    </row>
    <row r="952" ht="15.75" customHeight="1">
      <c r="A952" s="250"/>
      <c r="C952" s="180"/>
    </row>
    <row r="953" ht="15.75" customHeight="1">
      <c r="A953" s="250"/>
      <c r="C953" s="180"/>
    </row>
    <row r="954" ht="15.75" customHeight="1">
      <c r="A954" s="250"/>
      <c r="C954" s="180"/>
    </row>
    <row r="955" ht="15.75" customHeight="1">
      <c r="A955" s="250"/>
      <c r="C955" s="180"/>
    </row>
    <row r="956" ht="15.75" customHeight="1">
      <c r="A956" s="250"/>
      <c r="C956" s="180"/>
    </row>
    <row r="957" ht="15.75" customHeight="1">
      <c r="A957" s="250"/>
      <c r="C957" s="180"/>
    </row>
    <row r="958" ht="15.75" customHeight="1">
      <c r="A958" s="250"/>
      <c r="C958" s="180"/>
    </row>
    <row r="959" ht="15.75" customHeight="1">
      <c r="A959" s="250"/>
      <c r="C959" s="180"/>
    </row>
    <row r="960" ht="15.75" customHeight="1">
      <c r="A960" s="250"/>
      <c r="C960" s="180"/>
    </row>
    <row r="961" ht="15.75" customHeight="1">
      <c r="A961" s="250"/>
      <c r="C961" s="180"/>
    </row>
    <row r="962" ht="15.75" customHeight="1">
      <c r="A962" s="250"/>
      <c r="C962" s="180"/>
    </row>
    <row r="963" ht="15.75" customHeight="1">
      <c r="A963" s="250"/>
      <c r="C963" s="180"/>
    </row>
  </sheetData>
  <mergeCells count="8">
    <mergeCell ref="A2:A17"/>
    <mergeCell ref="A19:A22"/>
    <mergeCell ref="A25:A28"/>
    <mergeCell ref="A30:A33"/>
    <mergeCell ref="A34:A36"/>
    <mergeCell ref="A37:A39"/>
    <mergeCell ref="A40:A46"/>
    <mergeCell ref="A49:A50"/>
  </mergeCells>
  <dataValidations>
    <dataValidation type="list" allowBlank="1" showErrorMessage="1" sqref="E2:E50">
      <formula1>"Yes,No"</formula1>
    </dataValidation>
    <dataValidation type="list" allowBlank="1" showErrorMessage="1" sqref="F2:F28">
      <formula1>"System generated,User generated"</formula1>
    </dataValidation>
    <dataValidation type="list" allowBlank="1" showErrorMessage="1" sqref="D2:D50">
      <formula1>"Text,Numeric,Single select,Multi select,Image,Date,Autocalculate"</formula1>
    </dataValidation>
  </dataValidations>
  <hyperlinks>
    <hyperlink r:id="rId4" location="gid=31319909" ref="C49"/>
  </hyperlinks>
  <printOptions/>
  <pageMargins bottom="0.75" footer="0.0" header="0.0" left="0.7" right="0.7" top="0.75"/>
  <pageSetup orientation="landscape"/>
  <drawing r:id="rId5"/>
  <legacy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23.25"/>
  </cols>
  <sheetData>
    <row r="1">
      <c r="A1" s="5"/>
      <c r="B1" s="5" t="s">
        <v>906</v>
      </c>
      <c r="C1" s="5" t="s">
        <v>634</v>
      </c>
      <c r="D1" s="5" t="s">
        <v>907</v>
      </c>
      <c r="E1" s="5" t="s">
        <v>641</v>
      </c>
      <c r="F1" s="5" t="s">
        <v>637</v>
      </c>
      <c r="G1" s="5" t="s">
        <v>638</v>
      </c>
      <c r="H1" s="5" t="s">
        <v>639</v>
      </c>
      <c r="I1" s="5" t="s">
        <v>908</v>
      </c>
      <c r="J1" s="5" t="s">
        <v>909</v>
      </c>
      <c r="K1" s="5" t="s">
        <v>643</v>
      </c>
      <c r="L1" s="5" t="s">
        <v>642</v>
      </c>
      <c r="M1" s="5" t="s">
        <v>640</v>
      </c>
      <c r="N1" s="5" t="s">
        <v>910</v>
      </c>
      <c r="O1" s="18"/>
      <c r="P1" s="18"/>
      <c r="Q1" s="18"/>
      <c r="R1" s="18"/>
      <c r="S1" s="18"/>
      <c r="T1" s="18"/>
      <c r="U1" s="18"/>
      <c r="V1" s="18"/>
      <c r="W1" s="18"/>
      <c r="X1" s="18"/>
      <c r="Y1" s="18"/>
      <c r="Z1" s="18"/>
      <c r="AA1" s="18"/>
      <c r="AB1" s="18"/>
    </row>
    <row r="2">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c r="B4" s="218" t="s">
        <v>911</v>
      </c>
      <c r="C4" s="218" t="s">
        <v>912</v>
      </c>
      <c r="D4" s="218" t="s">
        <v>728</v>
      </c>
      <c r="E4" s="219" t="s">
        <v>1000</v>
      </c>
      <c r="F4" s="218"/>
      <c r="G4" s="218"/>
      <c r="H4" s="218"/>
      <c r="I4" s="218"/>
      <c r="J4" s="218"/>
      <c r="K4" s="218"/>
      <c r="L4" s="218"/>
      <c r="M4" s="218"/>
      <c r="N4" s="218"/>
      <c r="O4" s="218"/>
      <c r="P4" s="218"/>
      <c r="Q4" s="218"/>
      <c r="R4" s="218"/>
      <c r="S4" s="218"/>
      <c r="T4" s="218"/>
      <c r="U4" s="218"/>
      <c r="V4" s="218"/>
      <c r="W4" s="218"/>
      <c r="X4" s="218"/>
      <c r="Y4" s="218"/>
      <c r="Z4" s="218"/>
      <c r="AA4" s="218"/>
      <c r="AB4" s="218"/>
    </row>
    <row r="5">
      <c r="B5" s="42" t="s">
        <v>914</v>
      </c>
      <c r="C5" s="42" t="s">
        <v>646</v>
      </c>
      <c r="D5" s="42" t="s">
        <v>728</v>
      </c>
      <c r="F5" s="42" t="s">
        <v>1001</v>
      </c>
    </row>
    <row r="6" ht="15.75" customHeight="1">
      <c r="A6" s="220"/>
      <c r="B6" s="186" t="s">
        <v>946</v>
      </c>
      <c r="C6" s="194" t="s">
        <v>655</v>
      </c>
      <c r="D6" s="151" t="s">
        <v>647</v>
      </c>
      <c r="E6" s="232" t="s">
        <v>673</v>
      </c>
      <c r="F6" s="134" t="s">
        <v>947</v>
      </c>
      <c r="G6" s="42" t="s">
        <v>1002</v>
      </c>
      <c r="H6" s="151"/>
      <c r="I6" s="151"/>
      <c r="J6" s="151"/>
    </row>
    <row r="7" ht="15.75" customHeight="1">
      <c r="A7" s="220"/>
      <c r="B7" s="186" t="s">
        <v>948</v>
      </c>
      <c r="C7" s="134" t="s">
        <v>649</v>
      </c>
      <c r="D7" s="156" t="s">
        <v>647</v>
      </c>
      <c r="F7" s="134" t="s">
        <v>949</v>
      </c>
      <c r="H7" s="151"/>
      <c r="I7" s="151"/>
      <c r="J7" s="151"/>
      <c r="K7" s="232"/>
      <c r="L7" s="42" t="s">
        <v>950</v>
      </c>
    </row>
  </sheetData>
  <mergeCells count="1">
    <mergeCell ref="A3:A4"/>
  </mergeCells>
  <dataValidations>
    <dataValidation type="list" allowBlank="1" showErrorMessage="1" sqref="D6:D7">
      <formula1>"Yes,No"</formula1>
    </dataValidation>
    <dataValidation type="list" allowBlank="1" showErrorMessage="1" sqref="C6:C7">
      <formula1>"Text,Numeric,Single select,Multi select,Image,Date,Autocalculate"</formula1>
    </dataValidation>
  </dataValidation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24.63"/>
    <col customWidth="1" min="3" max="3" width="30.63"/>
    <col customWidth="1" min="6" max="6" width="35.0"/>
    <col customWidth="1" min="7" max="7" width="26.25"/>
    <col customWidth="1" min="10" max="10" width="37.25"/>
    <col customWidth="1" min="11" max="11" width="53.38"/>
  </cols>
  <sheetData>
    <row r="1" ht="15.75" customHeight="1">
      <c r="A1" s="183"/>
      <c r="B1" s="147" t="s">
        <v>632</v>
      </c>
      <c r="C1" s="147" t="s">
        <v>633</v>
      </c>
      <c r="D1" s="147" t="s">
        <v>634</v>
      </c>
      <c r="E1" s="147" t="s">
        <v>635</v>
      </c>
      <c r="F1" s="147" t="s">
        <v>637</v>
      </c>
      <c r="G1" s="147" t="s">
        <v>638</v>
      </c>
      <c r="H1" s="147" t="s">
        <v>639</v>
      </c>
      <c r="I1" s="147" t="s">
        <v>640</v>
      </c>
      <c r="J1" s="147" t="s">
        <v>641</v>
      </c>
      <c r="K1" s="147" t="s">
        <v>642</v>
      </c>
      <c r="L1" s="184" t="s">
        <v>722</v>
      </c>
      <c r="M1" s="184" t="s">
        <v>723</v>
      </c>
      <c r="N1" s="184" t="s">
        <v>724</v>
      </c>
      <c r="O1" s="184" t="s">
        <v>725</v>
      </c>
      <c r="P1" s="149"/>
      <c r="Q1" s="149"/>
      <c r="R1" s="149"/>
      <c r="S1" s="149"/>
      <c r="T1" s="149"/>
      <c r="U1" s="149"/>
      <c r="V1" s="149"/>
      <c r="W1" s="149"/>
      <c r="X1" s="149"/>
      <c r="Y1" s="149"/>
      <c r="Z1" s="149"/>
      <c r="AA1" s="149"/>
      <c r="AB1" s="149"/>
    </row>
    <row r="2" ht="15.75" customHeight="1">
      <c r="A2" s="252" t="s">
        <v>1003</v>
      </c>
      <c r="B2" s="141">
        <v>1.0</v>
      </c>
      <c r="C2" s="253" t="s">
        <v>1004</v>
      </c>
      <c r="D2" s="156" t="s">
        <v>655</v>
      </c>
      <c r="E2" s="151" t="s">
        <v>728</v>
      </c>
      <c r="F2" s="208"/>
      <c r="G2" s="40" t="s">
        <v>1005</v>
      </c>
      <c r="H2" s="138"/>
      <c r="I2" s="138"/>
      <c r="J2" s="254" t="s">
        <v>673</v>
      </c>
    </row>
    <row r="3" ht="15.75" customHeight="1">
      <c r="A3" s="26"/>
      <c r="B3" s="141">
        <v>2.0</v>
      </c>
      <c r="C3" s="253" t="s">
        <v>1006</v>
      </c>
      <c r="D3" s="156" t="s">
        <v>655</v>
      </c>
      <c r="E3" s="151" t="s">
        <v>728</v>
      </c>
      <c r="F3" s="40" t="s">
        <v>1007</v>
      </c>
      <c r="G3" s="40" t="s">
        <v>1005</v>
      </c>
      <c r="H3" s="138"/>
      <c r="I3" s="138"/>
      <c r="J3" s="254" t="s">
        <v>673</v>
      </c>
    </row>
    <row r="4" ht="15.75" customHeight="1">
      <c r="A4" s="26"/>
      <c r="B4" s="141">
        <v>3.0</v>
      </c>
      <c r="C4" s="253" t="s">
        <v>1008</v>
      </c>
      <c r="D4" s="156" t="s">
        <v>655</v>
      </c>
      <c r="E4" s="151" t="s">
        <v>728</v>
      </c>
      <c r="F4" s="40" t="s">
        <v>1007</v>
      </c>
      <c r="G4" s="40" t="s">
        <v>1005</v>
      </c>
      <c r="H4" s="138"/>
      <c r="I4" s="138"/>
      <c r="J4" s="254" t="s">
        <v>673</v>
      </c>
    </row>
    <row r="5" ht="15.75" customHeight="1">
      <c r="A5" s="26"/>
      <c r="B5" s="141">
        <v>4.0</v>
      </c>
      <c r="C5" s="253" t="s">
        <v>1009</v>
      </c>
      <c r="D5" s="156" t="s">
        <v>655</v>
      </c>
      <c r="E5" s="151" t="s">
        <v>728</v>
      </c>
      <c r="F5" s="40" t="s">
        <v>1007</v>
      </c>
      <c r="G5" s="40" t="s">
        <v>1005</v>
      </c>
      <c r="H5" s="138"/>
      <c r="I5" s="138"/>
      <c r="J5" s="254" t="s">
        <v>673</v>
      </c>
    </row>
    <row r="6" ht="15.75" customHeight="1">
      <c r="A6" s="26"/>
      <c r="B6" s="141">
        <v>5.0</v>
      </c>
      <c r="C6" s="255" t="s">
        <v>1010</v>
      </c>
      <c r="D6" s="156" t="s">
        <v>655</v>
      </c>
      <c r="E6" s="151" t="s">
        <v>728</v>
      </c>
      <c r="F6" s="40" t="s">
        <v>1007</v>
      </c>
      <c r="G6" s="40" t="s">
        <v>1005</v>
      </c>
      <c r="H6" s="138"/>
      <c r="I6" s="138"/>
      <c r="J6" s="254" t="s">
        <v>673</v>
      </c>
    </row>
    <row r="7" ht="15.75" customHeight="1">
      <c r="A7" s="26"/>
      <c r="B7" s="141">
        <v>6.0</v>
      </c>
      <c r="C7" s="253" t="s">
        <v>1011</v>
      </c>
      <c r="D7" s="156" t="s">
        <v>655</v>
      </c>
      <c r="E7" s="151" t="s">
        <v>728</v>
      </c>
      <c r="F7" s="40" t="s">
        <v>1007</v>
      </c>
      <c r="G7" s="40" t="s">
        <v>1005</v>
      </c>
      <c r="H7" s="138"/>
      <c r="I7" s="138"/>
      <c r="J7" s="254" t="s">
        <v>673</v>
      </c>
    </row>
    <row r="8" ht="15.75" customHeight="1">
      <c r="A8" s="27"/>
      <c r="B8" s="141">
        <v>7.0</v>
      </c>
      <c r="C8" s="253" t="s">
        <v>1012</v>
      </c>
      <c r="D8" s="156" t="s">
        <v>655</v>
      </c>
      <c r="E8" s="151" t="s">
        <v>728</v>
      </c>
      <c r="F8" s="40" t="s">
        <v>1007</v>
      </c>
      <c r="G8" s="40" t="s">
        <v>1005</v>
      </c>
      <c r="H8" s="138"/>
      <c r="I8" s="138"/>
      <c r="J8" s="254" t="s">
        <v>673</v>
      </c>
    </row>
    <row r="9" ht="15.75" customHeight="1">
      <c r="A9" s="256" t="s">
        <v>1013</v>
      </c>
      <c r="B9" s="141">
        <v>1.0</v>
      </c>
      <c r="C9" s="40" t="s">
        <v>1014</v>
      </c>
      <c r="D9" s="138"/>
      <c r="E9" s="138"/>
      <c r="F9" s="208"/>
      <c r="G9" s="208"/>
      <c r="H9" s="138"/>
      <c r="I9" s="138"/>
      <c r="J9" s="40" t="s">
        <v>673</v>
      </c>
      <c r="K9" s="138"/>
      <c r="L9" s="138"/>
      <c r="M9" s="151"/>
      <c r="N9" s="138"/>
      <c r="O9" s="138"/>
    </row>
    <row r="10">
      <c r="A10" s="27"/>
      <c r="B10" s="141">
        <v>2.0</v>
      </c>
      <c r="C10" s="257" t="s">
        <v>1015</v>
      </c>
      <c r="D10" s="156" t="s">
        <v>794</v>
      </c>
      <c r="E10" s="156" t="s">
        <v>730</v>
      </c>
      <c r="F10" s="40" t="s">
        <v>1016</v>
      </c>
      <c r="G10" s="208"/>
      <c r="H10" s="138"/>
      <c r="I10" s="138"/>
      <c r="J10" s="254" t="s">
        <v>1017</v>
      </c>
      <c r="M10" s="149"/>
    </row>
    <row r="11">
      <c r="A11" s="256" t="s">
        <v>1018</v>
      </c>
      <c r="B11" s="141" t="s">
        <v>1019</v>
      </c>
      <c r="C11" s="257" t="s">
        <v>1020</v>
      </c>
      <c r="D11" s="156" t="s">
        <v>655</v>
      </c>
      <c r="E11" s="151" t="s">
        <v>728</v>
      </c>
      <c r="F11" s="40" t="s">
        <v>1016</v>
      </c>
      <c r="G11" s="208"/>
      <c r="H11" s="138"/>
      <c r="I11" s="138"/>
      <c r="J11" s="40" t="s">
        <v>1021</v>
      </c>
      <c r="K11" s="42" t="s">
        <v>1022</v>
      </c>
    </row>
    <row r="12">
      <c r="A12" s="26"/>
      <c r="B12" s="141" t="s">
        <v>1023</v>
      </c>
      <c r="C12" s="257" t="s">
        <v>1024</v>
      </c>
      <c r="D12" s="156" t="s">
        <v>655</v>
      </c>
      <c r="E12" s="151" t="s">
        <v>728</v>
      </c>
      <c r="F12" s="40" t="s">
        <v>1016</v>
      </c>
      <c r="G12" s="208"/>
      <c r="H12" s="138"/>
      <c r="I12" s="138"/>
      <c r="J12" s="40" t="s">
        <v>1025</v>
      </c>
      <c r="K12" s="42" t="s">
        <v>1026</v>
      </c>
    </row>
    <row r="13">
      <c r="A13" s="26"/>
      <c r="B13" s="141" t="s">
        <v>1027</v>
      </c>
      <c r="C13" s="257" t="s">
        <v>1028</v>
      </c>
      <c r="D13" s="156" t="s">
        <v>655</v>
      </c>
      <c r="E13" s="151" t="s">
        <v>728</v>
      </c>
      <c r="F13" s="40" t="s">
        <v>1016</v>
      </c>
      <c r="G13" s="208"/>
      <c r="H13" s="138"/>
      <c r="I13" s="138"/>
      <c r="J13" s="40" t="s">
        <v>1029</v>
      </c>
      <c r="K13" s="40" t="s">
        <v>1030</v>
      </c>
    </row>
    <row r="14">
      <c r="A14" s="26"/>
      <c r="B14" s="141" t="s">
        <v>1031</v>
      </c>
      <c r="C14" s="257" t="s">
        <v>1032</v>
      </c>
      <c r="D14" s="156" t="s">
        <v>655</v>
      </c>
      <c r="E14" s="151" t="s">
        <v>728</v>
      </c>
      <c r="F14" s="40" t="s">
        <v>1016</v>
      </c>
      <c r="G14" s="208"/>
      <c r="H14" s="138"/>
      <c r="I14" s="138"/>
      <c r="J14" s="40" t="s">
        <v>1021</v>
      </c>
      <c r="K14" s="40" t="s">
        <v>1030</v>
      </c>
    </row>
    <row r="15">
      <c r="A15" s="26"/>
      <c r="B15" s="141" t="s">
        <v>1033</v>
      </c>
      <c r="C15" s="257" t="s">
        <v>1034</v>
      </c>
      <c r="D15" s="156" t="s">
        <v>655</v>
      </c>
      <c r="E15" s="151" t="s">
        <v>728</v>
      </c>
      <c r="F15" s="40" t="s">
        <v>1016</v>
      </c>
      <c r="G15" s="208"/>
      <c r="H15" s="138"/>
      <c r="I15" s="138"/>
      <c r="J15" s="40" t="s">
        <v>673</v>
      </c>
    </row>
    <row r="16" ht="15.75" customHeight="1">
      <c r="A16" s="27"/>
      <c r="B16" s="141" t="s">
        <v>1035</v>
      </c>
      <c r="C16" s="257" t="s">
        <v>1036</v>
      </c>
      <c r="D16" s="156" t="s">
        <v>655</v>
      </c>
      <c r="E16" s="151" t="s">
        <v>728</v>
      </c>
      <c r="F16" s="40" t="s">
        <v>1016</v>
      </c>
      <c r="G16" s="208"/>
      <c r="H16" s="138"/>
      <c r="I16" s="138"/>
      <c r="J16" s="40" t="s">
        <v>673</v>
      </c>
    </row>
    <row r="17" ht="467.25" customHeight="1">
      <c r="A17" s="258"/>
      <c r="C17" s="204" t="s">
        <v>93</v>
      </c>
      <c r="D17" s="156" t="s">
        <v>1037</v>
      </c>
      <c r="E17" s="151" t="s">
        <v>728</v>
      </c>
      <c r="F17" s="180"/>
      <c r="G17" s="180"/>
      <c r="J17" s="180"/>
      <c r="L17" s="42" t="s">
        <v>1038</v>
      </c>
    </row>
    <row r="18">
      <c r="C18" s="42" t="s">
        <v>901</v>
      </c>
      <c r="D18" s="42" t="s">
        <v>876</v>
      </c>
      <c r="E18" s="42" t="s">
        <v>307</v>
      </c>
      <c r="G18" s="180"/>
    </row>
    <row r="19" ht="15.75" customHeight="1">
      <c r="A19" s="259" t="s">
        <v>1039</v>
      </c>
      <c r="C19" s="260" t="s">
        <v>1040</v>
      </c>
      <c r="F19" s="180"/>
      <c r="G19" s="180"/>
      <c r="J19" s="180"/>
    </row>
    <row r="20" ht="15.75" customHeight="1">
      <c r="A20" s="258"/>
      <c r="C20" s="180"/>
      <c r="F20" s="180"/>
      <c r="G20" s="180"/>
      <c r="J20" s="180"/>
    </row>
    <row r="21" ht="15.75" customHeight="1">
      <c r="A21" s="258"/>
      <c r="C21" s="180"/>
      <c r="F21" s="180"/>
      <c r="G21" s="180"/>
      <c r="J21" s="180"/>
    </row>
    <row r="22" ht="15.75" customHeight="1">
      <c r="A22" s="258"/>
      <c r="C22" s="180"/>
      <c r="F22" s="180"/>
      <c r="G22" s="180"/>
      <c r="J22" s="180"/>
    </row>
    <row r="23" ht="15.75" customHeight="1">
      <c r="A23" s="258"/>
      <c r="C23" s="181"/>
      <c r="F23" s="180"/>
      <c r="G23" s="180"/>
      <c r="J23" s="180"/>
    </row>
    <row r="24">
      <c r="A24" s="258"/>
      <c r="C24" s="180"/>
      <c r="F24" s="180"/>
      <c r="G24" s="180"/>
      <c r="J24" s="180"/>
    </row>
    <row r="25">
      <c r="A25" s="258"/>
      <c r="C25" s="180"/>
      <c r="F25" s="180"/>
      <c r="G25" s="180"/>
      <c r="J25" s="180"/>
    </row>
    <row r="26">
      <c r="A26" s="258"/>
      <c r="C26" s="180"/>
      <c r="F26" s="180"/>
      <c r="G26" s="180"/>
      <c r="J26" s="180"/>
    </row>
    <row r="27">
      <c r="A27" s="258"/>
      <c r="C27" s="180"/>
      <c r="F27" s="180"/>
      <c r="G27" s="180"/>
      <c r="J27" s="180"/>
    </row>
    <row r="28">
      <c r="A28" s="258"/>
      <c r="C28" s="180"/>
      <c r="F28" s="180"/>
      <c r="G28" s="180"/>
      <c r="J28" s="180"/>
    </row>
    <row r="29">
      <c r="A29" s="258"/>
      <c r="C29" s="180"/>
      <c r="F29" s="180"/>
      <c r="G29" s="180"/>
      <c r="J29" s="180"/>
    </row>
    <row r="30">
      <c r="A30" s="258"/>
      <c r="C30" s="180"/>
      <c r="F30" s="180"/>
      <c r="G30" s="180"/>
      <c r="J30" s="180"/>
    </row>
    <row r="31">
      <c r="A31" s="258"/>
      <c r="C31" s="180"/>
      <c r="F31" s="180"/>
      <c r="G31" s="180"/>
      <c r="J31" s="180"/>
    </row>
    <row r="32">
      <c r="A32" s="258"/>
      <c r="C32" s="180"/>
      <c r="F32" s="180"/>
      <c r="G32" s="180"/>
      <c r="J32" s="180"/>
    </row>
    <row r="33">
      <c r="A33" s="258"/>
      <c r="C33" s="180"/>
      <c r="F33" s="180"/>
      <c r="G33" s="180"/>
      <c r="J33" s="180"/>
    </row>
    <row r="34">
      <c r="A34" s="258"/>
      <c r="C34" s="180"/>
      <c r="F34" s="180"/>
      <c r="G34" s="180"/>
      <c r="J34" s="180"/>
    </row>
    <row r="35">
      <c r="A35" s="258"/>
      <c r="C35" s="180"/>
      <c r="F35" s="180"/>
      <c r="G35" s="180"/>
      <c r="J35" s="180"/>
    </row>
    <row r="36">
      <c r="A36" s="258"/>
      <c r="C36" s="180"/>
      <c r="F36" s="180"/>
      <c r="G36" s="180"/>
      <c r="J36" s="180"/>
    </row>
    <row r="37">
      <c r="A37" s="258"/>
      <c r="C37" s="180"/>
      <c r="F37" s="180"/>
      <c r="G37" s="180"/>
      <c r="J37" s="180"/>
    </row>
    <row r="38">
      <c r="A38" s="258"/>
      <c r="C38" s="180"/>
      <c r="F38" s="180"/>
      <c r="G38" s="180"/>
      <c r="J38" s="180"/>
    </row>
    <row r="39">
      <c r="A39" s="258"/>
      <c r="C39" s="180"/>
      <c r="F39" s="180"/>
      <c r="G39" s="180"/>
      <c r="J39" s="180"/>
    </row>
    <row r="40">
      <c r="A40" s="258"/>
      <c r="C40" s="180"/>
      <c r="F40" s="180"/>
      <c r="G40" s="180"/>
      <c r="J40" s="180"/>
    </row>
    <row r="41">
      <c r="A41" s="258"/>
      <c r="C41" s="180"/>
      <c r="F41" s="180"/>
      <c r="G41" s="180"/>
      <c r="J41" s="180"/>
    </row>
    <row r="42">
      <c r="A42" s="258"/>
      <c r="C42" s="180"/>
      <c r="F42" s="180"/>
      <c r="G42" s="180"/>
      <c r="J42" s="180"/>
    </row>
    <row r="43">
      <c r="A43" s="258"/>
      <c r="C43" s="180"/>
      <c r="F43" s="180"/>
      <c r="G43" s="180"/>
      <c r="J43" s="180"/>
    </row>
    <row r="44">
      <c r="A44" s="258"/>
      <c r="C44" s="180"/>
      <c r="F44" s="180"/>
      <c r="G44" s="180"/>
      <c r="J44" s="180"/>
    </row>
    <row r="45">
      <c r="A45" s="258"/>
      <c r="C45" s="180"/>
      <c r="F45" s="180"/>
      <c r="G45" s="180"/>
      <c r="J45" s="180"/>
    </row>
    <row r="46">
      <c r="A46" s="258"/>
      <c r="C46" s="180"/>
      <c r="F46" s="180"/>
      <c r="G46" s="180"/>
      <c r="J46" s="180"/>
    </row>
    <row r="47">
      <c r="A47" s="258"/>
      <c r="C47" s="180"/>
      <c r="F47" s="180"/>
      <c r="G47" s="180"/>
      <c r="J47" s="180"/>
    </row>
    <row r="48">
      <c r="A48" s="258"/>
      <c r="C48" s="180"/>
      <c r="F48" s="180"/>
      <c r="G48" s="180"/>
      <c r="J48" s="180"/>
    </row>
    <row r="49">
      <c r="A49" s="258"/>
      <c r="C49" s="180"/>
      <c r="F49" s="180"/>
      <c r="G49" s="180"/>
      <c r="J49" s="180"/>
    </row>
    <row r="50">
      <c r="A50" s="258"/>
      <c r="C50" s="180"/>
      <c r="F50" s="180"/>
      <c r="G50" s="180"/>
      <c r="J50" s="180"/>
    </row>
    <row r="51">
      <c r="A51" s="258"/>
      <c r="C51" s="180"/>
      <c r="F51" s="180"/>
      <c r="G51" s="180"/>
      <c r="J51" s="180"/>
    </row>
    <row r="52">
      <c r="A52" s="258"/>
      <c r="C52" s="180"/>
      <c r="F52" s="180"/>
      <c r="G52" s="180"/>
      <c r="J52" s="180"/>
    </row>
    <row r="53">
      <c r="A53" s="258"/>
      <c r="C53" s="180"/>
      <c r="F53" s="180"/>
      <c r="G53" s="180"/>
      <c r="J53" s="180"/>
    </row>
    <row r="54">
      <c r="A54" s="258"/>
      <c r="C54" s="180"/>
      <c r="F54" s="180"/>
      <c r="G54" s="180"/>
      <c r="J54" s="180"/>
    </row>
    <row r="55">
      <c r="A55" s="258"/>
      <c r="C55" s="180"/>
      <c r="F55" s="180"/>
      <c r="G55" s="180"/>
      <c r="J55" s="180"/>
    </row>
    <row r="56">
      <c r="A56" s="258"/>
      <c r="C56" s="180"/>
      <c r="F56" s="180"/>
      <c r="G56" s="180"/>
      <c r="J56" s="180"/>
    </row>
    <row r="57">
      <c r="A57" s="258"/>
      <c r="C57" s="180"/>
      <c r="F57" s="180"/>
      <c r="G57" s="180"/>
      <c r="J57" s="180"/>
    </row>
    <row r="58">
      <c r="A58" s="258"/>
      <c r="C58" s="180"/>
      <c r="F58" s="180"/>
      <c r="G58" s="180"/>
      <c r="J58" s="180"/>
    </row>
    <row r="59">
      <c r="A59" s="258"/>
      <c r="C59" s="180"/>
      <c r="F59" s="180"/>
      <c r="G59" s="180"/>
      <c r="J59" s="180"/>
    </row>
    <row r="60">
      <c r="A60" s="258"/>
      <c r="C60" s="180"/>
      <c r="F60" s="180"/>
      <c r="G60" s="180"/>
      <c r="J60" s="180"/>
    </row>
    <row r="61">
      <c r="A61" s="258"/>
      <c r="C61" s="180"/>
      <c r="F61" s="180"/>
      <c r="G61" s="180"/>
      <c r="J61" s="180"/>
    </row>
    <row r="62">
      <c r="A62" s="258"/>
      <c r="C62" s="180"/>
      <c r="F62" s="180"/>
      <c r="G62" s="180"/>
      <c r="J62" s="180"/>
    </row>
    <row r="63">
      <c r="A63" s="258"/>
      <c r="C63" s="180"/>
      <c r="F63" s="180"/>
      <c r="G63" s="180"/>
      <c r="J63" s="180"/>
    </row>
    <row r="64">
      <c r="A64" s="258"/>
      <c r="C64" s="180"/>
      <c r="F64" s="180"/>
      <c r="G64" s="180"/>
      <c r="J64" s="180"/>
    </row>
    <row r="65">
      <c r="A65" s="258"/>
      <c r="C65" s="180"/>
      <c r="F65" s="180"/>
      <c r="G65" s="180"/>
      <c r="J65" s="180"/>
    </row>
    <row r="66">
      <c r="A66" s="258"/>
      <c r="C66" s="180"/>
      <c r="F66" s="180"/>
      <c r="G66" s="180"/>
      <c r="J66" s="180"/>
    </row>
    <row r="67">
      <c r="A67" s="258"/>
      <c r="C67" s="180"/>
      <c r="F67" s="180"/>
      <c r="G67" s="180"/>
      <c r="J67" s="180"/>
    </row>
    <row r="68">
      <c r="A68" s="258"/>
      <c r="C68" s="180"/>
      <c r="F68" s="180"/>
      <c r="G68" s="180"/>
      <c r="J68" s="180"/>
    </row>
    <row r="69">
      <c r="A69" s="258"/>
      <c r="C69" s="180"/>
      <c r="F69" s="180"/>
      <c r="G69" s="180"/>
      <c r="J69" s="180"/>
    </row>
    <row r="70">
      <c r="A70" s="258"/>
      <c r="C70" s="180"/>
      <c r="F70" s="180"/>
      <c r="G70" s="180"/>
      <c r="J70" s="180"/>
    </row>
    <row r="71">
      <c r="A71" s="258"/>
      <c r="C71" s="180"/>
      <c r="F71" s="180"/>
      <c r="G71" s="180"/>
      <c r="J71" s="180"/>
    </row>
    <row r="72">
      <c r="A72" s="258"/>
      <c r="C72" s="180"/>
      <c r="F72" s="180"/>
      <c r="G72" s="180"/>
      <c r="J72" s="180"/>
    </row>
    <row r="73">
      <c r="A73" s="258"/>
      <c r="C73" s="180"/>
      <c r="F73" s="180"/>
      <c r="G73" s="180"/>
      <c r="J73" s="180"/>
    </row>
    <row r="74">
      <c r="A74" s="258"/>
      <c r="C74" s="180"/>
      <c r="F74" s="180"/>
      <c r="G74" s="180"/>
      <c r="J74" s="180"/>
    </row>
    <row r="75">
      <c r="A75" s="258"/>
      <c r="C75" s="180"/>
      <c r="F75" s="180"/>
      <c r="G75" s="180"/>
      <c r="J75" s="180"/>
    </row>
    <row r="76">
      <c r="A76" s="258"/>
      <c r="C76" s="180"/>
      <c r="F76" s="180"/>
      <c r="G76" s="180"/>
      <c r="J76" s="180"/>
    </row>
    <row r="77">
      <c r="A77" s="258"/>
      <c r="C77" s="180"/>
      <c r="F77" s="180"/>
      <c r="G77" s="180"/>
      <c r="J77" s="180"/>
    </row>
    <row r="78">
      <c r="A78" s="258"/>
      <c r="C78" s="180"/>
      <c r="F78" s="180"/>
      <c r="G78" s="180"/>
      <c r="J78" s="180"/>
    </row>
    <row r="79">
      <c r="A79" s="258"/>
      <c r="C79" s="180"/>
      <c r="F79" s="180"/>
      <c r="G79" s="180"/>
      <c r="J79" s="180"/>
    </row>
    <row r="80">
      <c r="A80" s="258"/>
      <c r="C80" s="180"/>
      <c r="F80" s="180"/>
      <c r="G80" s="180"/>
      <c r="J80" s="180"/>
    </row>
    <row r="81">
      <c r="A81" s="258"/>
      <c r="C81" s="180"/>
      <c r="F81" s="180"/>
      <c r="G81" s="180"/>
      <c r="J81" s="180"/>
    </row>
    <row r="82">
      <c r="A82" s="258"/>
      <c r="C82" s="180"/>
      <c r="F82" s="180"/>
      <c r="G82" s="180"/>
      <c r="J82" s="180"/>
    </row>
    <row r="83">
      <c r="A83" s="258"/>
      <c r="C83" s="180"/>
      <c r="F83" s="180"/>
      <c r="G83" s="180"/>
      <c r="J83" s="180"/>
    </row>
    <row r="84">
      <c r="A84" s="258"/>
      <c r="C84" s="180"/>
      <c r="F84" s="180"/>
      <c r="G84" s="180"/>
      <c r="J84" s="180"/>
    </row>
    <row r="85">
      <c r="A85" s="258"/>
      <c r="C85" s="180"/>
      <c r="F85" s="180"/>
      <c r="G85" s="180"/>
      <c r="J85" s="180"/>
    </row>
    <row r="86">
      <c r="A86" s="258"/>
      <c r="C86" s="180"/>
      <c r="F86" s="180"/>
      <c r="G86" s="180"/>
      <c r="J86" s="180"/>
    </row>
    <row r="87">
      <c r="A87" s="258"/>
      <c r="C87" s="180"/>
      <c r="F87" s="180"/>
      <c r="G87" s="180"/>
      <c r="J87" s="180"/>
    </row>
    <row r="88">
      <c r="A88" s="258"/>
      <c r="C88" s="180"/>
      <c r="F88" s="180"/>
      <c r="G88" s="180"/>
      <c r="J88" s="180"/>
    </row>
    <row r="89">
      <c r="A89" s="258"/>
      <c r="C89" s="180"/>
      <c r="F89" s="180"/>
      <c r="G89" s="180"/>
      <c r="J89" s="180"/>
    </row>
    <row r="90">
      <c r="A90" s="258"/>
      <c r="C90" s="180"/>
      <c r="F90" s="180"/>
      <c r="G90" s="180"/>
      <c r="J90" s="180"/>
    </row>
    <row r="91">
      <c r="A91" s="258"/>
      <c r="C91" s="180"/>
      <c r="F91" s="180"/>
      <c r="G91" s="180"/>
      <c r="J91" s="180"/>
    </row>
    <row r="92">
      <c r="A92" s="258"/>
      <c r="C92" s="180"/>
      <c r="F92" s="180"/>
      <c r="G92" s="180"/>
      <c r="J92" s="180"/>
    </row>
    <row r="93">
      <c r="A93" s="258"/>
      <c r="C93" s="180"/>
      <c r="F93" s="180"/>
      <c r="G93" s="180"/>
      <c r="J93" s="180"/>
    </row>
    <row r="94">
      <c r="A94" s="258"/>
      <c r="C94" s="180"/>
      <c r="F94" s="180"/>
      <c r="G94" s="180"/>
      <c r="J94" s="180"/>
    </row>
    <row r="95">
      <c r="A95" s="258"/>
      <c r="C95" s="180"/>
      <c r="F95" s="180"/>
      <c r="G95" s="180"/>
      <c r="J95" s="180"/>
    </row>
    <row r="96">
      <c r="A96" s="258"/>
      <c r="C96" s="180"/>
      <c r="F96" s="180"/>
      <c r="G96" s="180"/>
      <c r="J96" s="180"/>
    </row>
    <row r="97">
      <c r="A97" s="258"/>
      <c r="C97" s="180"/>
      <c r="F97" s="180"/>
      <c r="G97" s="180"/>
      <c r="J97" s="180"/>
    </row>
    <row r="98">
      <c r="A98" s="258"/>
      <c r="C98" s="180"/>
      <c r="F98" s="180"/>
      <c r="G98" s="180"/>
      <c r="J98" s="180"/>
    </row>
    <row r="99">
      <c r="A99" s="258"/>
      <c r="C99" s="180"/>
      <c r="F99" s="180"/>
      <c r="G99" s="180"/>
      <c r="J99" s="180"/>
    </row>
    <row r="100">
      <c r="A100" s="258"/>
      <c r="C100" s="180"/>
      <c r="F100" s="180"/>
      <c r="G100" s="180"/>
      <c r="J100" s="180"/>
    </row>
    <row r="101">
      <c r="A101" s="258"/>
      <c r="C101" s="180"/>
      <c r="F101" s="180"/>
      <c r="G101" s="180"/>
      <c r="J101" s="180"/>
    </row>
    <row r="102">
      <c r="A102" s="258"/>
      <c r="C102" s="180"/>
      <c r="F102" s="180"/>
      <c r="G102" s="180"/>
      <c r="J102" s="180"/>
    </row>
    <row r="103">
      <c r="A103" s="258"/>
      <c r="C103" s="180"/>
      <c r="F103" s="180"/>
      <c r="G103" s="180"/>
      <c r="J103" s="180"/>
    </row>
    <row r="104">
      <c r="A104" s="258"/>
      <c r="C104" s="180"/>
      <c r="F104" s="180"/>
      <c r="G104" s="180"/>
      <c r="J104" s="180"/>
    </row>
    <row r="105">
      <c r="A105" s="258"/>
      <c r="C105" s="180"/>
      <c r="F105" s="180"/>
      <c r="G105" s="180"/>
      <c r="J105" s="180"/>
    </row>
    <row r="106">
      <c r="A106" s="258"/>
      <c r="C106" s="180"/>
      <c r="F106" s="180"/>
      <c r="G106" s="180"/>
      <c r="J106" s="180"/>
    </row>
    <row r="107">
      <c r="A107" s="258"/>
      <c r="C107" s="180"/>
      <c r="F107" s="180"/>
      <c r="G107" s="180"/>
      <c r="J107" s="180"/>
    </row>
    <row r="108">
      <c r="A108" s="258"/>
      <c r="C108" s="180"/>
      <c r="F108" s="180"/>
      <c r="G108" s="180"/>
      <c r="J108" s="180"/>
    </row>
    <row r="109">
      <c r="A109" s="258"/>
      <c r="C109" s="180"/>
      <c r="F109" s="180"/>
      <c r="G109" s="180"/>
      <c r="J109" s="180"/>
    </row>
    <row r="110">
      <c r="A110" s="258"/>
      <c r="C110" s="180"/>
      <c r="F110" s="180"/>
      <c r="G110" s="180"/>
      <c r="J110" s="180"/>
    </row>
    <row r="111">
      <c r="A111" s="258"/>
      <c r="C111" s="180"/>
      <c r="F111" s="180"/>
      <c r="G111" s="180"/>
      <c r="J111" s="180"/>
    </row>
    <row r="112">
      <c r="A112" s="258"/>
      <c r="C112" s="180"/>
      <c r="F112" s="180"/>
      <c r="G112" s="180"/>
      <c r="J112" s="180"/>
    </row>
    <row r="113">
      <c r="A113" s="258"/>
      <c r="C113" s="180"/>
      <c r="F113" s="180"/>
      <c r="G113" s="180"/>
      <c r="J113" s="180"/>
    </row>
    <row r="114">
      <c r="A114" s="258"/>
      <c r="C114" s="180"/>
      <c r="F114" s="180"/>
      <c r="G114" s="180"/>
      <c r="J114" s="180"/>
    </row>
    <row r="115">
      <c r="A115" s="258"/>
      <c r="C115" s="180"/>
      <c r="F115" s="180"/>
      <c r="G115" s="180"/>
      <c r="J115" s="180"/>
    </row>
    <row r="116">
      <c r="A116" s="258"/>
      <c r="C116" s="180"/>
      <c r="F116" s="180"/>
      <c r="G116" s="180"/>
      <c r="J116" s="180"/>
    </row>
    <row r="117">
      <c r="A117" s="258"/>
      <c r="C117" s="180"/>
      <c r="F117" s="180"/>
      <c r="G117" s="180"/>
      <c r="J117" s="180"/>
    </row>
    <row r="118">
      <c r="A118" s="258"/>
      <c r="C118" s="180"/>
      <c r="F118" s="180"/>
      <c r="G118" s="180"/>
      <c r="J118" s="180"/>
    </row>
    <row r="119">
      <c r="A119" s="258"/>
      <c r="C119" s="180"/>
      <c r="F119" s="180"/>
      <c r="G119" s="180"/>
      <c r="J119" s="180"/>
    </row>
    <row r="120">
      <c r="A120" s="258"/>
      <c r="C120" s="180"/>
      <c r="F120" s="180"/>
      <c r="G120" s="180"/>
      <c r="J120" s="180"/>
    </row>
    <row r="121">
      <c r="A121" s="258"/>
      <c r="C121" s="180"/>
      <c r="F121" s="180"/>
      <c r="G121" s="180"/>
      <c r="J121" s="180"/>
    </row>
    <row r="122">
      <c r="A122" s="258"/>
      <c r="C122" s="180"/>
      <c r="F122" s="180"/>
      <c r="G122" s="180"/>
      <c r="J122" s="180"/>
    </row>
    <row r="123">
      <c r="A123" s="258"/>
      <c r="C123" s="180"/>
      <c r="F123" s="180"/>
      <c r="G123" s="180"/>
      <c r="J123" s="180"/>
    </row>
    <row r="124">
      <c r="A124" s="258"/>
      <c r="C124" s="180"/>
      <c r="F124" s="180"/>
      <c r="G124" s="180"/>
      <c r="J124" s="180"/>
    </row>
    <row r="125">
      <c r="A125" s="258"/>
      <c r="C125" s="180"/>
      <c r="F125" s="180"/>
      <c r="G125" s="180"/>
      <c r="J125" s="180"/>
    </row>
    <row r="126">
      <c r="A126" s="258"/>
      <c r="C126" s="180"/>
      <c r="F126" s="180"/>
      <c r="G126" s="180"/>
      <c r="J126" s="180"/>
    </row>
    <row r="127">
      <c r="A127" s="258"/>
      <c r="C127" s="180"/>
      <c r="F127" s="180"/>
      <c r="G127" s="180"/>
      <c r="J127" s="180"/>
    </row>
    <row r="128">
      <c r="A128" s="258"/>
      <c r="C128" s="180"/>
      <c r="F128" s="180"/>
      <c r="G128" s="180"/>
      <c r="J128" s="180"/>
    </row>
    <row r="129">
      <c r="A129" s="258"/>
      <c r="C129" s="180"/>
      <c r="F129" s="180"/>
      <c r="G129" s="180"/>
      <c r="J129" s="180"/>
    </row>
    <row r="130">
      <c r="A130" s="258"/>
      <c r="C130" s="180"/>
      <c r="F130" s="180"/>
      <c r="G130" s="180"/>
      <c r="J130" s="180"/>
    </row>
    <row r="131">
      <c r="A131" s="258"/>
      <c r="C131" s="180"/>
      <c r="F131" s="180"/>
      <c r="G131" s="180"/>
      <c r="J131" s="180"/>
    </row>
    <row r="132">
      <c r="A132" s="258"/>
      <c r="C132" s="180"/>
      <c r="F132" s="180"/>
      <c r="G132" s="180"/>
      <c r="J132" s="180"/>
    </row>
    <row r="133">
      <c r="A133" s="258"/>
      <c r="C133" s="180"/>
      <c r="F133" s="180"/>
      <c r="G133" s="180"/>
      <c r="J133" s="180"/>
    </row>
    <row r="134">
      <c r="A134" s="258"/>
      <c r="C134" s="180"/>
      <c r="F134" s="180"/>
      <c r="G134" s="180"/>
      <c r="J134" s="180"/>
    </row>
    <row r="135">
      <c r="A135" s="258"/>
      <c r="C135" s="180"/>
      <c r="F135" s="180"/>
      <c r="G135" s="180"/>
      <c r="J135" s="180"/>
    </row>
    <row r="136">
      <c r="A136" s="258"/>
      <c r="C136" s="180"/>
      <c r="F136" s="180"/>
      <c r="G136" s="180"/>
      <c r="J136" s="180"/>
    </row>
    <row r="137">
      <c r="A137" s="258"/>
      <c r="C137" s="180"/>
      <c r="F137" s="180"/>
      <c r="G137" s="180"/>
      <c r="J137" s="180"/>
    </row>
    <row r="138">
      <c r="A138" s="258"/>
      <c r="C138" s="180"/>
      <c r="F138" s="180"/>
      <c r="G138" s="180"/>
      <c r="J138" s="180"/>
    </row>
    <row r="139">
      <c r="A139" s="258"/>
      <c r="C139" s="180"/>
      <c r="F139" s="180"/>
      <c r="G139" s="180"/>
      <c r="J139" s="180"/>
    </row>
    <row r="140">
      <c r="A140" s="258"/>
      <c r="C140" s="180"/>
      <c r="F140" s="180"/>
      <c r="G140" s="180"/>
      <c r="J140" s="180"/>
    </row>
    <row r="141">
      <c r="A141" s="258"/>
      <c r="C141" s="180"/>
      <c r="F141" s="180"/>
      <c r="G141" s="180"/>
      <c r="J141" s="180"/>
    </row>
    <row r="142">
      <c r="A142" s="258"/>
      <c r="C142" s="180"/>
      <c r="F142" s="180"/>
      <c r="G142" s="180"/>
      <c r="J142" s="180"/>
    </row>
    <row r="143">
      <c r="A143" s="258"/>
      <c r="C143" s="180"/>
      <c r="F143" s="180"/>
      <c r="G143" s="180"/>
      <c r="J143" s="180"/>
    </row>
    <row r="144">
      <c r="A144" s="258"/>
      <c r="C144" s="180"/>
      <c r="F144" s="180"/>
      <c r="G144" s="180"/>
      <c r="J144" s="180"/>
    </row>
    <row r="145">
      <c r="A145" s="258"/>
      <c r="C145" s="180"/>
      <c r="F145" s="180"/>
      <c r="G145" s="180"/>
      <c r="J145" s="180"/>
    </row>
    <row r="146">
      <c r="A146" s="258"/>
      <c r="C146" s="180"/>
      <c r="F146" s="180"/>
      <c r="G146" s="180"/>
      <c r="J146" s="180"/>
    </row>
    <row r="147">
      <c r="A147" s="258"/>
      <c r="C147" s="180"/>
      <c r="F147" s="180"/>
      <c r="G147" s="180"/>
      <c r="J147" s="180"/>
    </row>
    <row r="148">
      <c r="A148" s="258"/>
      <c r="C148" s="180"/>
      <c r="F148" s="180"/>
      <c r="G148" s="180"/>
      <c r="J148" s="180"/>
    </row>
    <row r="149">
      <c r="A149" s="258"/>
      <c r="C149" s="180"/>
      <c r="F149" s="180"/>
      <c r="G149" s="180"/>
      <c r="J149" s="180"/>
    </row>
    <row r="150">
      <c r="A150" s="258"/>
      <c r="C150" s="180"/>
      <c r="F150" s="180"/>
      <c r="G150" s="180"/>
      <c r="J150" s="180"/>
    </row>
    <row r="151">
      <c r="A151" s="258"/>
      <c r="C151" s="180"/>
      <c r="F151" s="180"/>
      <c r="G151" s="180"/>
      <c r="J151" s="180"/>
    </row>
    <row r="152">
      <c r="A152" s="258"/>
      <c r="C152" s="180"/>
      <c r="F152" s="180"/>
      <c r="G152" s="180"/>
      <c r="J152" s="180"/>
    </row>
    <row r="153">
      <c r="A153" s="258"/>
      <c r="C153" s="180"/>
      <c r="F153" s="180"/>
      <c r="G153" s="180"/>
      <c r="J153" s="180"/>
    </row>
    <row r="154">
      <c r="A154" s="258"/>
      <c r="C154" s="180"/>
      <c r="F154" s="180"/>
      <c r="G154" s="180"/>
      <c r="J154" s="180"/>
    </row>
    <row r="155">
      <c r="A155" s="258"/>
      <c r="C155" s="180"/>
      <c r="F155" s="180"/>
      <c r="G155" s="180"/>
      <c r="J155" s="180"/>
    </row>
    <row r="156">
      <c r="A156" s="258"/>
      <c r="C156" s="180"/>
      <c r="F156" s="180"/>
      <c r="G156" s="180"/>
      <c r="J156" s="180"/>
    </row>
    <row r="157">
      <c r="A157" s="258"/>
      <c r="C157" s="180"/>
      <c r="F157" s="180"/>
      <c r="G157" s="180"/>
      <c r="J157" s="180"/>
    </row>
    <row r="158">
      <c r="A158" s="258"/>
      <c r="C158" s="180"/>
      <c r="F158" s="180"/>
      <c r="G158" s="180"/>
      <c r="J158" s="180"/>
    </row>
    <row r="159">
      <c r="A159" s="258"/>
      <c r="C159" s="180"/>
      <c r="F159" s="180"/>
      <c r="G159" s="180"/>
      <c r="J159" s="180"/>
    </row>
    <row r="160">
      <c r="A160" s="258"/>
      <c r="C160" s="180"/>
      <c r="F160" s="180"/>
      <c r="G160" s="180"/>
      <c r="J160" s="180"/>
    </row>
    <row r="161">
      <c r="A161" s="258"/>
      <c r="C161" s="180"/>
      <c r="F161" s="180"/>
      <c r="G161" s="180"/>
      <c r="J161" s="180"/>
    </row>
    <row r="162">
      <c r="A162" s="258"/>
      <c r="C162" s="180"/>
      <c r="F162" s="180"/>
      <c r="G162" s="180"/>
      <c r="J162" s="180"/>
    </row>
    <row r="163">
      <c r="A163" s="258"/>
      <c r="C163" s="180"/>
      <c r="F163" s="180"/>
      <c r="G163" s="180"/>
      <c r="J163" s="180"/>
    </row>
    <row r="164">
      <c r="A164" s="258"/>
      <c r="C164" s="180"/>
      <c r="F164" s="180"/>
      <c r="G164" s="180"/>
      <c r="J164" s="180"/>
    </row>
    <row r="165">
      <c r="A165" s="258"/>
      <c r="C165" s="180"/>
      <c r="F165" s="180"/>
      <c r="G165" s="180"/>
      <c r="J165" s="180"/>
    </row>
    <row r="166">
      <c r="A166" s="258"/>
      <c r="C166" s="180"/>
      <c r="F166" s="180"/>
      <c r="G166" s="180"/>
      <c r="J166" s="180"/>
    </row>
    <row r="167">
      <c r="A167" s="258"/>
      <c r="C167" s="180"/>
      <c r="F167" s="180"/>
      <c r="G167" s="180"/>
      <c r="J167" s="180"/>
    </row>
    <row r="168">
      <c r="A168" s="258"/>
      <c r="C168" s="180"/>
      <c r="F168" s="180"/>
      <c r="G168" s="180"/>
      <c r="J168" s="180"/>
    </row>
    <row r="169">
      <c r="A169" s="258"/>
      <c r="C169" s="180"/>
      <c r="F169" s="180"/>
      <c r="G169" s="180"/>
      <c r="J169" s="180"/>
    </row>
    <row r="170">
      <c r="A170" s="258"/>
      <c r="C170" s="180"/>
      <c r="F170" s="180"/>
      <c r="G170" s="180"/>
      <c r="J170" s="180"/>
    </row>
    <row r="171">
      <c r="A171" s="258"/>
      <c r="C171" s="180"/>
      <c r="F171" s="180"/>
      <c r="G171" s="180"/>
      <c r="J171" s="180"/>
    </row>
    <row r="172">
      <c r="A172" s="258"/>
      <c r="C172" s="180"/>
      <c r="F172" s="180"/>
      <c r="G172" s="180"/>
      <c r="J172" s="180"/>
    </row>
    <row r="173">
      <c r="A173" s="258"/>
      <c r="C173" s="180"/>
      <c r="F173" s="180"/>
      <c r="G173" s="180"/>
      <c r="J173" s="180"/>
    </row>
    <row r="174">
      <c r="A174" s="258"/>
      <c r="C174" s="180"/>
      <c r="F174" s="180"/>
      <c r="G174" s="180"/>
      <c r="J174" s="180"/>
    </row>
    <row r="175">
      <c r="A175" s="258"/>
      <c r="C175" s="180"/>
      <c r="F175" s="180"/>
      <c r="G175" s="180"/>
      <c r="J175" s="180"/>
    </row>
    <row r="176">
      <c r="A176" s="258"/>
      <c r="C176" s="180"/>
      <c r="F176" s="180"/>
      <c r="G176" s="180"/>
      <c r="J176" s="180"/>
    </row>
    <row r="177">
      <c r="A177" s="258"/>
      <c r="C177" s="180"/>
      <c r="F177" s="180"/>
      <c r="G177" s="180"/>
      <c r="J177" s="180"/>
    </row>
    <row r="178">
      <c r="A178" s="258"/>
      <c r="C178" s="180"/>
      <c r="F178" s="180"/>
      <c r="G178" s="180"/>
      <c r="J178" s="180"/>
    </row>
    <row r="179">
      <c r="A179" s="258"/>
      <c r="C179" s="180"/>
      <c r="F179" s="180"/>
      <c r="G179" s="180"/>
      <c r="J179" s="180"/>
    </row>
    <row r="180">
      <c r="A180" s="258"/>
      <c r="C180" s="180"/>
      <c r="F180" s="180"/>
      <c r="G180" s="180"/>
      <c r="J180" s="180"/>
    </row>
    <row r="181">
      <c r="A181" s="258"/>
      <c r="C181" s="180"/>
      <c r="F181" s="180"/>
      <c r="G181" s="180"/>
      <c r="J181" s="180"/>
    </row>
    <row r="182">
      <c r="A182" s="258"/>
      <c r="C182" s="180"/>
      <c r="F182" s="180"/>
      <c r="G182" s="180"/>
      <c r="J182" s="180"/>
    </row>
    <row r="183">
      <c r="A183" s="258"/>
      <c r="C183" s="180"/>
      <c r="F183" s="180"/>
      <c r="G183" s="180"/>
      <c r="J183" s="180"/>
    </row>
    <row r="184">
      <c r="A184" s="258"/>
      <c r="C184" s="180"/>
      <c r="F184" s="180"/>
      <c r="G184" s="180"/>
      <c r="J184" s="180"/>
    </row>
    <row r="185">
      <c r="A185" s="258"/>
      <c r="C185" s="180"/>
      <c r="F185" s="180"/>
      <c r="G185" s="180"/>
      <c r="J185" s="180"/>
    </row>
    <row r="186">
      <c r="A186" s="258"/>
      <c r="C186" s="180"/>
      <c r="F186" s="180"/>
      <c r="G186" s="180"/>
      <c r="J186" s="180"/>
    </row>
    <row r="187">
      <c r="A187" s="258"/>
      <c r="C187" s="180"/>
      <c r="F187" s="180"/>
      <c r="G187" s="180"/>
      <c r="J187" s="180"/>
    </row>
    <row r="188">
      <c r="A188" s="258"/>
      <c r="C188" s="180"/>
      <c r="F188" s="180"/>
      <c r="G188" s="180"/>
      <c r="J188" s="180"/>
    </row>
    <row r="189">
      <c r="A189" s="258"/>
      <c r="C189" s="180"/>
      <c r="F189" s="180"/>
      <c r="G189" s="180"/>
      <c r="J189" s="180"/>
    </row>
    <row r="190">
      <c r="A190" s="258"/>
      <c r="C190" s="180"/>
      <c r="F190" s="180"/>
      <c r="G190" s="180"/>
      <c r="J190" s="180"/>
    </row>
    <row r="191">
      <c r="A191" s="258"/>
      <c r="C191" s="180"/>
      <c r="F191" s="180"/>
      <c r="G191" s="180"/>
      <c r="J191" s="180"/>
    </row>
    <row r="192">
      <c r="A192" s="258"/>
      <c r="C192" s="180"/>
      <c r="F192" s="180"/>
      <c r="G192" s="180"/>
      <c r="J192" s="180"/>
    </row>
    <row r="193">
      <c r="A193" s="258"/>
      <c r="C193" s="180"/>
      <c r="F193" s="180"/>
      <c r="G193" s="180"/>
      <c r="J193" s="180"/>
    </row>
    <row r="194">
      <c r="A194" s="258"/>
      <c r="C194" s="180"/>
      <c r="F194" s="180"/>
      <c r="G194" s="180"/>
      <c r="J194" s="180"/>
    </row>
    <row r="195">
      <c r="A195" s="258"/>
      <c r="C195" s="180"/>
      <c r="F195" s="180"/>
      <c r="G195" s="180"/>
      <c r="J195" s="180"/>
    </row>
    <row r="196">
      <c r="A196" s="258"/>
      <c r="C196" s="180"/>
      <c r="F196" s="180"/>
      <c r="G196" s="180"/>
      <c r="J196" s="180"/>
    </row>
    <row r="197">
      <c r="A197" s="258"/>
      <c r="C197" s="180"/>
      <c r="F197" s="180"/>
      <c r="G197" s="180"/>
      <c r="J197" s="180"/>
    </row>
    <row r="198">
      <c r="A198" s="258"/>
      <c r="C198" s="180"/>
      <c r="F198" s="180"/>
      <c r="G198" s="180"/>
      <c r="J198" s="180"/>
    </row>
    <row r="199">
      <c r="A199" s="258"/>
      <c r="C199" s="180"/>
      <c r="F199" s="180"/>
      <c r="G199" s="180"/>
      <c r="J199" s="180"/>
    </row>
    <row r="200">
      <c r="A200" s="258"/>
      <c r="C200" s="180"/>
      <c r="F200" s="180"/>
      <c r="G200" s="180"/>
      <c r="J200" s="180"/>
    </row>
    <row r="201">
      <c r="A201" s="258"/>
      <c r="C201" s="180"/>
      <c r="F201" s="180"/>
      <c r="G201" s="180"/>
      <c r="J201" s="180"/>
    </row>
    <row r="202">
      <c r="A202" s="258"/>
      <c r="C202" s="180"/>
      <c r="F202" s="180"/>
      <c r="G202" s="180"/>
      <c r="J202" s="180"/>
    </row>
    <row r="203">
      <c r="A203" s="258"/>
      <c r="C203" s="180"/>
      <c r="F203" s="180"/>
      <c r="G203" s="180"/>
      <c r="J203" s="180"/>
    </row>
    <row r="204">
      <c r="A204" s="258"/>
      <c r="C204" s="180"/>
      <c r="F204" s="180"/>
      <c r="G204" s="180"/>
      <c r="J204" s="180"/>
    </row>
    <row r="205">
      <c r="A205" s="258"/>
      <c r="C205" s="180"/>
      <c r="F205" s="180"/>
      <c r="G205" s="180"/>
      <c r="J205" s="180"/>
    </row>
    <row r="206">
      <c r="A206" s="258"/>
      <c r="C206" s="180"/>
      <c r="F206" s="180"/>
      <c r="G206" s="180"/>
      <c r="J206" s="180"/>
    </row>
    <row r="207">
      <c r="A207" s="258"/>
      <c r="C207" s="180"/>
      <c r="F207" s="180"/>
      <c r="G207" s="180"/>
      <c r="J207" s="180"/>
    </row>
    <row r="208">
      <c r="A208" s="258"/>
      <c r="C208" s="180"/>
      <c r="F208" s="180"/>
      <c r="G208" s="180"/>
      <c r="J208" s="180"/>
    </row>
    <row r="209">
      <c r="A209" s="258"/>
      <c r="C209" s="180"/>
      <c r="F209" s="180"/>
      <c r="G209" s="180"/>
      <c r="J209" s="180"/>
    </row>
    <row r="210">
      <c r="A210" s="258"/>
      <c r="C210" s="180"/>
      <c r="F210" s="180"/>
      <c r="G210" s="180"/>
      <c r="J210" s="180"/>
    </row>
    <row r="211">
      <c r="A211" s="258"/>
      <c r="C211" s="180"/>
      <c r="F211" s="180"/>
      <c r="G211" s="180"/>
      <c r="J211" s="180"/>
    </row>
    <row r="212">
      <c r="A212" s="258"/>
      <c r="C212" s="180"/>
      <c r="F212" s="180"/>
      <c r="G212" s="180"/>
      <c r="J212" s="180"/>
    </row>
    <row r="213">
      <c r="A213" s="258"/>
      <c r="C213" s="180"/>
      <c r="F213" s="180"/>
      <c r="G213" s="180"/>
      <c r="J213" s="180"/>
    </row>
    <row r="214">
      <c r="A214" s="258"/>
      <c r="C214" s="180"/>
      <c r="F214" s="180"/>
      <c r="G214" s="180"/>
      <c r="J214" s="180"/>
    </row>
    <row r="215">
      <c r="A215" s="258"/>
      <c r="C215" s="180"/>
      <c r="F215" s="180"/>
      <c r="G215" s="180"/>
      <c r="J215" s="180"/>
    </row>
    <row r="216">
      <c r="A216" s="258"/>
      <c r="C216" s="180"/>
      <c r="F216" s="180"/>
      <c r="G216" s="180"/>
      <c r="J216" s="180"/>
    </row>
    <row r="217">
      <c r="A217" s="258"/>
      <c r="C217" s="180"/>
      <c r="F217" s="180"/>
      <c r="G217" s="180"/>
      <c r="J217" s="180"/>
    </row>
    <row r="218">
      <c r="A218" s="258"/>
      <c r="C218" s="180"/>
      <c r="F218" s="180"/>
      <c r="G218" s="180"/>
      <c r="J218" s="180"/>
    </row>
    <row r="219">
      <c r="A219" s="258"/>
      <c r="C219" s="180"/>
      <c r="F219" s="180"/>
      <c r="G219" s="180"/>
      <c r="J219" s="180"/>
    </row>
    <row r="220">
      <c r="A220" s="258"/>
      <c r="C220" s="180"/>
      <c r="F220" s="180"/>
      <c r="G220" s="180"/>
      <c r="J220" s="180"/>
    </row>
    <row r="221">
      <c r="A221" s="258"/>
      <c r="C221" s="180"/>
      <c r="F221" s="180"/>
      <c r="G221" s="180"/>
      <c r="J221" s="180"/>
    </row>
    <row r="222">
      <c r="A222" s="258"/>
      <c r="C222" s="180"/>
      <c r="F222" s="180"/>
      <c r="G222" s="180"/>
      <c r="J222" s="180"/>
    </row>
    <row r="223">
      <c r="A223" s="258"/>
      <c r="C223" s="180"/>
      <c r="F223" s="180"/>
      <c r="G223" s="180"/>
      <c r="J223" s="180"/>
    </row>
    <row r="224">
      <c r="A224" s="258"/>
      <c r="C224" s="180"/>
      <c r="F224" s="180"/>
      <c r="G224" s="180"/>
      <c r="J224" s="180"/>
    </row>
    <row r="225">
      <c r="A225" s="258"/>
      <c r="C225" s="180"/>
      <c r="F225" s="180"/>
      <c r="G225" s="180"/>
      <c r="J225" s="180"/>
    </row>
    <row r="226">
      <c r="A226" s="258"/>
      <c r="C226" s="180"/>
      <c r="F226" s="180"/>
      <c r="G226" s="180"/>
      <c r="J226" s="180"/>
    </row>
    <row r="227">
      <c r="A227" s="258"/>
      <c r="C227" s="180"/>
      <c r="F227" s="180"/>
      <c r="G227" s="180"/>
      <c r="J227" s="180"/>
    </row>
    <row r="228">
      <c r="A228" s="258"/>
      <c r="C228" s="180"/>
      <c r="F228" s="180"/>
      <c r="G228" s="180"/>
      <c r="J228" s="180"/>
    </row>
    <row r="229">
      <c r="A229" s="258"/>
      <c r="C229" s="180"/>
      <c r="F229" s="180"/>
      <c r="G229" s="180"/>
      <c r="J229" s="180"/>
    </row>
    <row r="230">
      <c r="A230" s="258"/>
      <c r="C230" s="180"/>
      <c r="F230" s="180"/>
      <c r="G230" s="180"/>
      <c r="J230" s="180"/>
    </row>
    <row r="231">
      <c r="A231" s="258"/>
      <c r="C231" s="180"/>
      <c r="F231" s="180"/>
      <c r="G231" s="180"/>
      <c r="J231" s="180"/>
    </row>
    <row r="232">
      <c r="A232" s="258"/>
      <c r="C232" s="180"/>
      <c r="F232" s="180"/>
      <c r="G232" s="180"/>
      <c r="J232" s="180"/>
    </row>
    <row r="233">
      <c r="A233" s="258"/>
      <c r="C233" s="180"/>
      <c r="F233" s="180"/>
      <c r="G233" s="180"/>
      <c r="J233" s="180"/>
    </row>
    <row r="234">
      <c r="A234" s="258"/>
      <c r="C234" s="180"/>
      <c r="F234" s="180"/>
      <c r="G234" s="180"/>
      <c r="J234" s="180"/>
    </row>
    <row r="235">
      <c r="A235" s="258"/>
      <c r="C235" s="180"/>
      <c r="F235" s="180"/>
      <c r="G235" s="180"/>
      <c r="J235" s="180"/>
    </row>
    <row r="236">
      <c r="A236" s="258"/>
      <c r="C236" s="180"/>
      <c r="F236" s="180"/>
      <c r="G236" s="180"/>
      <c r="J236" s="180"/>
    </row>
    <row r="237">
      <c r="A237" s="258"/>
      <c r="C237" s="180"/>
      <c r="F237" s="180"/>
      <c r="G237" s="180"/>
      <c r="J237" s="180"/>
    </row>
    <row r="238">
      <c r="A238" s="258"/>
      <c r="C238" s="180"/>
      <c r="F238" s="180"/>
      <c r="G238" s="180"/>
      <c r="J238" s="180"/>
    </row>
    <row r="239">
      <c r="A239" s="258"/>
      <c r="C239" s="180"/>
      <c r="F239" s="180"/>
      <c r="G239" s="180"/>
      <c r="J239" s="180"/>
    </row>
    <row r="240">
      <c r="A240" s="258"/>
      <c r="C240" s="180"/>
      <c r="F240" s="180"/>
      <c r="G240" s="180"/>
      <c r="J240" s="180"/>
    </row>
    <row r="241">
      <c r="A241" s="258"/>
      <c r="C241" s="180"/>
      <c r="F241" s="180"/>
      <c r="G241" s="180"/>
      <c r="J241" s="180"/>
    </row>
    <row r="242">
      <c r="A242" s="258"/>
      <c r="C242" s="180"/>
      <c r="F242" s="180"/>
      <c r="G242" s="180"/>
      <c r="J242" s="180"/>
    </row>
    <row r="243">
      <c r="A243" s="258"/>
      <c r="C243" s="180"/>
      <c r="F243" s="180"/>
      <c r="G243" s="180"/>
      <c r="J243" s="180"/>
    </row>
    <row r="244">
      <c r="A244" s="258"/>
      <c r="C244" s="180"/>
      <c r="F244" s="180"/>
      <c r="G244" s="180"/>
      <c r="J244" s="180"/>
    </row>
    <row r="245">
      <c r="A245" s="258"/>
      <c r="C245" s="180"/>
      <c r="F245" s="180"/>
      <c r="G245" s="180"/>
      <c r="J245" s="180"/>
    </row>
    <row r="246">
      <c r="A246" s="258"/>
      <c r="C246" s="180"/>
      <c r="F246" s="180"/>
      <c r="G246" s="180"/>
      <c r="J246" s="180"/>
    </row>
    <row r="247">
      <c r="A247" s="258"/>
      <c r="C247" s="180"/>
      <c r="F247" s="180"/>
      <c r="G247" s="180"/>
      <c r="J247" s="180"/>
    </row>
    <row r="248">
      <c r="A248" s="258"/>
      <c r="C248" s="180"/>
      <c r="F248" s="180"/>
      <c r="G248" s="180"/>
      <c r="J248" s="180"/>
    </row>
    <row r="249">
      <c r="A249" s="258"/>
      <c r="C249" s="180"/>
      <c r="F249" s="180"/>
      <c r="G249" s="180"/>
      <c r="J249" s="180"/>
    </row>
    <row r="250">
      <c r="A250" s="258"/>
      <c r="C250" s="180"/>
      <c r="F250" s="180"/>
      <c r="G250" s="180"/>
      <c r="J250" s="180"/>
    </row>
    <row r="251">
      <c r="A251" s="258"/>
      <c r="C251" s="180"/>
      <c r="F251" s="180"/>
      <c r="G251" s="180"/>
      <c r="J251" s="180"/>
    </row>
    <row r="252">
      <c r="A252" s="258"/>
      <c r="C252" s="180"/>
      <c r="F252" s="180"/>
      <c r="G252" s="180"/>
      <c r="J252" s="180"/>
    </row>
    <row r="253">
      <c r="A253" s="258"/>
      <c r="C253" s="180"/>
      <c r="F253" s="180"/>
      <c r="G253" s="180"/>
      <c r="J253" s="180"/>
    </row>
    <row r="254">
      <c r="A254" s="258"/>
      <c r="C254" s="180"/>
      <c r="F254" s="180"/>
      <c r="G254" s="180"/>
      <c r="J254" s="180"/>
    </row>
    <row r="255">
      <c r="A255" s="258"/>
      <c r="C255" s="180"/>
      <c r="F255" s="180"/>
      <c r="G255" s="180"/>
      <c r="J255" s="180"/>
    </row>
    <row r="256">
      <c r="A256" s="258"/>
      <c r="C256" s="180"/>
      <c r="F256" s="180"/>
      <c r="G256" s="180"/>
      <c r="J256" s="180"/>
    </row>
    <row r="257">
      <c r="A257" s="258"/>
      <c r="C257" s="180"/>
      <c r="F257" s="180"/>
      <c r="G257" s="180"/>
      <c r="J257" s="180"/>
    </row>
    <row r="258">
      <c r="A258" s="258"/>
      <c r="C258" s="180"/>
      <c r="F258" s="180"/>
      <c r="G258" s="180"/>
      <c r="J258" s="180"/>
    </row>
    <row r="259">
      <c r="A259" s="258"/>
      <c r="C259" s="180"/>
      <c r="F259" s="180"/>
      <c r="G259" s="180"/>
      <c r="J259" s="180"/>
    </row>
    <row r="260">
      <c r="A260" s="258"/>
      <c r="C260" s="180"/>
      <c r="F260" s="180"/>
      <c r="G260" s="180"/>
      <c r="J260" s="180"/>
    </row>
    <row r="261">
      <c r="A261" s="258"/>
      <c r="C261" s="180"/>
      <c r="F261" s="180"/>
      <c r="G261" s="180"/>
      <c r="J261" s="180"/>
    </row>
    <row r="262">
      <c r="A262" s="258"/>
      <c r="C262" s="180"/>
      <c r="F262" s="180"/>
      <c r="G262" s="180"/>
      <c r="J262" s="180"/>
    </row>
    <row r="263">
      <c r="A263" s="258"/>
      <c r="C263" s="180"/>
      <c r="F263" s="180"/>
      <c r="G263" s="180"/>
      <c r="J263" s="180"/>
    </row>
    <row r="264">
      <c r="A264" s="258"/>
      <c r="C264" s="180"/>
      <c r="F264" s="180"/>
      <c r="G264" s="180"/>
      <c r="J264" s="180"/>
    </row>
    <row r="265">
      <c r="A265" s="258"/>
      <c r="C265" s="180"/>
      <c r="F265" s="180"/>
      <c r="G265" s="180"/>
      <c r="J265" s="180"/>
    </row>
    <row r="266">
      <c r="A266" s="258"/>
      <c r="C266" s="180"/>
      <c r="F266" s="180"/>
      <c r="G266" s="180"/>
      <c r="J266" s="180"/>
    </row>
    <row r="267">
      <c r="A267" s="258"/>
      <c r="C267" s="180"/>
      <c r="F267" s="180"/>
      <c r="G267" s="180"/>
      <c r="J267" s="180"/>
    </row>
    <row r="268">
      <c r="A268" s="258"/>
      <c r="C268" s="180"/>
      <c r="F268" s="180"/>
      <c r="G268" s="180"/>
      <c r="J268" s="180"/>
    </row>
    <row r="269">
      <c r="A269" s="258"/>
      <c r="C269" s="180"/>
      <c r="F269" s="180"/>
      <c r="G269" s="180"/>
      <c r="J269" s="180"/>
    </row>
    <row r="270">
      <c r="A270" s="258"/>
      <c r="C270" s="180"/>
      <c r="F270" s="180"/>
      <c r="G270" s="180"/>
      <c r="J270" s="180"/>
    </row>
    <row r="271">
      <c r="A271" s="258"/>
      <c r="C271" s="180"/>
      <c r="F271" s="180"/>
      <c r="G271" s="180"/>
      <c r="J271" s="180"/>
    </row>
    <row r="272">
      <c r="A272" s="258"/>
      <c r="C272" s="180"/>
      <c r="F272" s="180"/>
      <c r="G272" s="180"/>
      <c r="J272" s="180"/>
    </row>
    <row r="273">
      <c r="A273" s="258"/>
      <c r="C273" s="180"/>
      <c r="F273" s="180"/>
      <c r="G273" s="180"/>
      <c r="J273" s="180"/>
    </row>
    <row r="274">
      <c r="A274" s="258"/>
      <c r="C274" s="180"/>
      <c r="F274" s="180"/>
      <c r="G274" s="180"/>
      <c r="J274" s="180"/>
    </row>
    <row r="275">
      <c r="A275" s="258"/>
      <c r="C275" s="180"/>
      <c r="F275" s="180"/>
      <c r="G275" s="180"/>
      <c r="J275" s="180"/>
    </row>
    <row r="276">
      <c r="A276" s="258"/>
      <c r="C276" s="180"/>
      <c r="F276" s="180"/>
      <c r="G276" s="180"/>
      <c r="J276" s="180"/>
    </row>
    <row r="277">
      <c r="A277" s="258"/>
      <c r="C277" s="180"/>
      <c r="F277" s="180"/>
      <c r="G277" s="180"/>
      <c r="J277" s="180"/>
    </row>
    <row r="278">
      <c r="A278" s="258"/>
      <c r="C278" s="180"/>
      <c r="F278" s="180"/>
      <c r="G278" s="180"/>
      <c r="J278" s="180"/>
    </row>
    <row r="279">
      <c r="A279" s="258"/>
      <c r="C279" s="180"/>
      <c r="F279" s="180"/>
      <c r="G279" s="180"/>
      <c r="J279" s="180"/>
    </row>
    <row r="280">
      <c r="A280" s="258"/>
      <c r="C280" s="180"/>
      <c r="F280" s="180"/>
      <c r="G280" s="180"/>
      <c r="J280" s="180"/>
    </row>
    <row r="281">
      <c r="A281" s="258"/>
      <c r="C281" s="180"/>
      <c r="F281" s="180"/>
      <c r="G281" s="180"/>
      <c r="J281" s="180"/>
    </row>
    <row r="282">
      <c r="A282" s="258"/>
      <c r="C282" s="180"/>
      <c r="F282" s="180"/>
      <c r="G282" s="180"/>
      <c r="J282" s="180"/>
    </row>
    <row r="283">
      <c r="A283" s="258"/>
      <c r="C283" s="180"/>
      <c r="F283" s="180"/>
      <c r="G283" s="180"/>
      <c r="J283" s="180"/>
    </row>
    <row r="284">
      <c r="A284" s="258"/>
      <c r="C284" s="180"/>
      <c r="F284" s="180"/>
      <c r="G284" s="180"/>
      <c r="J284" s="180"/>
    </row>
    <row r="285">
      <c r="A285" s="258"/>
      <c r="C285" s="180"/>
      <c r="F285" s="180"/>
      <c r="G285" s="180"/>
      <c r="J285" s="180"/>
    </row>
    <row r="286">
      <c r="A286" s="258"/>
      <c r="C286" s="180"/>
      <c r="F286" s="180"/>
      <c r="G286" s="180"/>
      <c r="J286" s="180"/>
    </row>
    <row r="287">
      <c r="A287" s="258"/>
      <c r="C287" s="180"/>
      <c r="F287" s="180"/>
      <c r="G287" s="180"/>
      <c r="J287" s="180"/>
    </row>
    <row r="288">
      <c r="A288" s="258"/>
      <c r="C288" s="180"/>
      <c r="F288" s="180"/>
      <c r="G288" s="180"/>
      <c r="J288" s="180"/>
    </row>
    <row r="289">
      <c r="A289" s="258"/>
      <c r="C289" s="180"/>
      <c r="F289" s="180"/>
      <c r="G289" s="180"/>
      <c r="J289" s="180"/>
    </row>
    <row r="290">
      <c r="A290" s="258"/>
      <c r="C290" s="180"/>
      <c r="F290" s="180"/>
      <c r="G290" s="180"/>
      <c r="J290" s="180"/>
    </row>
    <row r="291">
      <c r="A291" s="258"/>
      <c r="C291" s="180"/>
      <c r="F291" s="180"/>
      <c r="G291" s="180"/>
      <c r="J291" s="180"/>
    </row>
    <row r="292">
      <c r="A292" s="258"/>
      <c r="C292" s="180"/>
      <c r="F292" s="180"/>
      <c r="G292" s="180"/>
      <c r="J292" s="180"/>
    </row>
    <row r="293">
      <c r="A293" s="258"/>
      <c r="C293" s="180"/>
      <c r="F293" s="180"/>
      <c r="G293" s="180"/>
      <c r="J293" s="180"/>
    </row>
    <row r="294">
      <c r="A294" s="258"/>
      <c r="C294" s="180"/>
      <c r="F294" s="180"/>
      <c r="G294" s="180"/>
      <c r="J294" s="180"/>
    </row>
    <row r="295">
      <c r="A295" s="258"/>
      <c r="C295" s="180"/>
      <c r="F295" s="180"/>
      <c r="G295" s="180"/>
      <c r="J295" s="180"/>
    </row>
    <row r="296">
      <c r="A296" s="258"/>
      <c r="C296" s="180"/>
      <c r="F296" s="180"/>
      <c r="G296" s="180"/>
      <c r="J296" s="180"/>
    </row>
    <row r="297">
      <c r="A297" s="258"/>
      <c r="C297" s="180"/>
      <c r="F297" s="180"/>
      <c r="G297" s="180"/>
      <c r="J297" s="180"/>
    </row>
    <row r="298">
      <c r="A298" s="258"/>
      <c r="C298" s="180"/>
      <c r="F298" s="180"/>
      <c r="G298" s="180"/>
      <c r="J298" s="180"/>
    </row>
    <row r="299">
      <c r="A299" s="258"/>
      <c r="C299" s="180"/>
      <c r="F299" s="180"/>
      <c r="G299" s="180"/>
      <c r="J299" s="180"/>
    </row>
    <row r="300">
      <c r="A300" s="258"/>
      <c r="C300" s="180"/>
      <c r="F300" s="180"/>
      <c r="G300" s="180"/>
      <c r="J300" s="180"/>
    </row>
    <row r="301">
      <c r="A301" s="258"/>
      <c r="C301" s="180"/>
      <c r="F301" s="180"/>
      <c r="G301" s="180"/>
      <c r="J301" s="180"/>
    </row>
    <row r="302">
      <c r="A302" s="258"/>
      <c r="C302" s="180"/>
      <c r="F302" s="180"/>
      <c r="G302" s="180"/>
      <c r="J302" s="180"/>
    </row>
    <row r="303">
      <c r="A303" s="258"/>
      <c r="C303" s="180"/>
      <c r="F303" s="180"/>
      <c r="G303" s="180"/>
      <c r="J303" s="180"/>
    </row>
    <row r="304">
      <c r="A304" s="258"/>
      <c r="C304" s="180"/>
      <c r="F304" s="180"/>
      <c r="G304" s="180"/>
      <c r="J304" s="180"/>
    </row>
    <row r="305">
      <c r="A305" s="258"/>
      <c r="C305" s="180"/>
      <c r="F305" s="180"/>
      <c r="G305" s="180"/>
      <c r="J305" s="180"/>
    </row>
    <row r="306">
      <c r="A306" s="258"/>
      <c r="C306" s="180"/>
      <c r="F306" s="180"/>
      <c r="G306" s="180"/>
      <c r="J306" s="180"/>
    </row>
    <row r="307">
      <c r="A307" s="258"/>
      <c r="C307" s="180"/>
      <c r="F307" s="180"/>
      <c r="G307" s="180"/>
      <c r="J307" s="180"/>
    </row>
    <row r="308">
      <c r="A308" s="258"/>
      <c r="C308" s="180"/>
      <c r="F308" s="180"/>
      <c r="G308" s="180"/>
      <c r="J308" s="180"/>
    </row>
    <row r="309">
      <c r="A309" s="258"/>
      <c r="C309" s="180"/>
      <c r="F309" s="180"/>
      <c r="G309" s="180"/>
      <c r="J309" s="180"/>
    </row>
    <row r="310">
      <c r="A310" s="258"/>
      <c r="C310" s="180"/>
      <c r="F310" s="180"/>
      <c r="G310" s="180"/>
      <c r="J310" s="180"/>
    </row>
    <row r="311">
      <c r="A311" s="258"/>
      <c r="C311" s="180"/>
      <c r="F311" s="180"/>
      <c r="G311" s="180"/>
      <c r="J311" s="180"/>
    </row>
    <row r="312">
      <c r="A312" s="258"/>
      <c r="C312" s="180"/>
      <c r="F312" s="180"/>
      <c r="G312" s="180"/>
      <c r="J312" s="180"/>
    </row>
    <row r="313">
      <c r="A313" s="258"/>
      <c r="C313" s="180"/>
      <c r="F313" s="180"/>
      <c r="G313" s="180"/>
      <c r="J313" s="180"/>
    </row>
    <row r="314">
      <c r="A314" s="258"/>
      <c r="C314" s="180"/>
      <c r="F314" s="180"/>
      <c r="G314" s="180"/>
      <c r="J314" s="180"/>
    </row>
    <row r="315">
      <c r="A315" s="258"/>
      <c r="C315" s="180"/>
      <c r="F315" s="180"/>
      <c r="G315" s="180"/>
      <c r="J315" s="180"/>
    </row>
    <row r="316">
      <c r="A316" s="258"/>
      <c r="C316" s="180"/>
      <c r="F316" s="180"/>
      <c r="G316" s="180"/>
      <c r="J316" s="180"/>
    </row>
    <row r="317">
      <c r="A317" s="258"/>
      <c r="C317" s="180"/>
      <c r="F317" s="180"/>
      <c r="G317" s="180"/>
      <c r="J317" s="180"/>
    </row>
    <row r="318">
      <c r="A318" s="258"/>
      <c r="C318" s="180"/>
      <c r="F318" s="180"/>
      <c r="G318" s="180"/>
      <c r="J318" s="180"/>
    </row>
    <row r="319">
      <c r="A319" s="258"/>
      <c r="C319" s="180"/>
      <c r="F319" s="180"/>
      <c r="G319" s="180"/>
      <c r="J319" s="180"/>
    </row>
    <row r="320">
      <c r="A320" s="258"/>
      <c r="C320" s="180"/>
      <c r="F320" s="180"/>
      <c r="G320" s="180"/>
      <c r="J320" s="180"/>
    </row>
    <row r="321">
      <c r="A321" s="258"/>
      <c r="C321" s="180"/>
      <c r="F321" s="180"/>
      <c r="G321" s="180"/>
      <c r="J321" s="180"/>
    </row>
    <row r="322">
      <c r="A322" s="258"/>
      <c r="C322" s="180"/>
      <c r="F322" s="180"/>
      <c r="G322" s="180"/>
      <c r="J322" s="180"/>
    </row>
    <row r="323">
      <c r="A323" s="258"/>
      <c r="C323" s="180"/>
      <c r="F323" s="180"/>
      <c r="G323" s="180"/>
      <c r="J323" s="180"/>
    </row>
    <row r="324">
      <c r="A324" s="258"/>
      <c r="C324" s="180"/>
      <c r="F324" s="180"/>
      <c r="G324" s="180"/>
      <c r="J324" s="180"/>
    </row>
    <row r="325">
      <c r="A325" s="258"/>
      <c r="C325" s="180"/>
      <c r="F325" s="180"/>
      <c r="G325" s="180"/>
      <c r="J325" s="180"/>
    </row>
    <row r="326">
      <c r="A326" s="258"/>
      <c r="C326" s="180"/>
      <c r="F326" s="180"/>
      <c r="G326" s="180"/>
      <c r="J326" s="180"/>
    </row>
    <row r="327">
      <c r="A327" s="258"/>
      <c r="C327" s="180"/>
      <c r="F327" s="180"/>
      <c r="G327" s="180"/>
      <c r="J327" s="180"/>
    </row>
    <row r="328">
      <c r="A328" s="258"/>
      <c r="C328" s="180"/>
      <c r="F328" s="180"/>
      <c r="G328" s="180"/>
      <c r="J328" s="180"/>
    </row>
    <row r="329">
      <c r="A329" s="258"/>
      <c r="C329" s="180"/>
      <c r="F329" s="180"/>
      <c r="G329" s="180"/>
      <c r="J329" s="180"/>
    </row>
    <row r="330">
      <c r="A330" s="258"/>
      <c r="C330" s="180"/>
      <c r="F330" s="180"/>
      <c r="G330" s="180"/>
      <c r="J330" s="180"/>
    </row>
    <row r="331">
      <c r="A331" s="258"/>
      <c r="C331" s="180"/>
      <c r="F331" s="180"/>
      <c r="G331" s="180"/>
      <c r="J331" s="180"/>
    </row>
    <row r="332">
      <c r="A332" s="258"/>
      <c r="C332" s="180"/>
      <c r="F332" s="180"/>
      <c r="G332" s="180"/>
      <c r="J332" s="180"/>
    </row>
    <row r="333">
      <c r="A333" s="258"/>
      <c r="C333" s="180"/>
      <c r="F333" s="180"/>
      <c r="G333" s="180"/>
      <c r="J333" s="180"/>
    </row>
    <row r="334">
      <c r="A334" s="258"/>
      <c r="C334" s="180"/>
      <c r="F334" s="180"/>
      <c r="G334" s="180"/>
      <c r="J334" s="180"/>
    </row>
    <row r="335">
      <c r="A335" s="258"/>
      <c r="C335" s="180"/>
      <c r="F335" s="180"/>
      <c r="G335" s="180"/>
      <c r="J335" s="180"/>
    </row>
    <row r="336">
      <c r="A336" s="258"/>
      <c r="C336" s="180"/>
      <c r="F336" s="180"/>
      <c r="G336" s="180"/>
      <c r="J336" s="180"/>
    </row>
    <row r="337">
      <c r="A337" s="258"/>
      <c r="C337" s="180"/>
      <c r="F337" s="180"/>
      <c r="G337" s="180"/>
      <c r="J337" s="180"/>
    </row>
    <row r="338">
      <c r="A338" s="258"/>
      <c r="C338" s="180"/>
      <c r="F338" s="180"/>
      <c r="G338" s="180"/>
      <c r="J338" s="180"/>
    </row>
    <row r="339">
      <c r="A339" s="258"/>
      <c r="C339" s="180"/>
      <c r="F339" s="180"/>
      <c r="G339" s="180"/>
      <c r="J339" s="180"/>
    </row>
    <row r="340">
      <c r="A340" s="258"/>
      <c r="C340" s="180"/>
      <c r="F340" s="180"/>
      <c r="G340" s="180"/>
      <c r="J340" s="180"/>
    </row>
    <row r="341">
      <c r="A341" s="258"/>
      <c r="C341" s="180"/>
      <c r="F341" s="180"/>
      <c r="G341" s="180"/>
      <c r="J341" s="180"/>
    </row>
    <row r="342">
      <c r="A342" s="258"/>
      <c r="C342" s="180"/>
      <c r="F342" s="180"/>
      <c r="G342" s="180"/>
      <c r="J342" s="180"/>
    </row>
    <row r="343">
      <c r="A343" s="258"/>
      <c r="C343" s="180"/>
      <c r="F343" s="180"/>
      <c r="G343" s="180"/>
      <c r="J343" s="180"/>
    </row>
    <row r="344">
      <c r="A344" s="258"/>
      <c r="C344" s="180"/>
      <c r="F344" s="180"/>
      <c r="G344" s="180"/>
      <c r="J344" s="180"/>
    </row>
    <row r="345">
      <c r="A345" s="258"/>
      <c r="C345" s="180"/>
      <c r="F345" s="180"/>
      <c r="G345" s="180"/>
      <c r="J345" s="180"/>
    </row>
    <row r="346">
      <c r="A346" s="258"/>
      <c r="C346" s="180"/>
      <c r="F346" s="180"/>
      <c r="G346" s="180"/>
      <c r="J346" s="180"/>
    </row>
    <row r="347">
      <c r="A347" s="258"/>
      <c r="C347" s="180"/>
      <c r="F347" s="180"/>
      <c r="G347" s="180"/>
      <c r="J347" s="180"/>
    </row>
    <row r="348">
      <c r="A348" s="258"/>
      <c r="C348" s="180"/>
      <c r="F348" s="180"/>
      <c r="G348" s="180"/>
      <c r="J348" s="180"/>
    </row>
    <row r="349">
      <c r="A349" s="258"/>
      <c r="C349" s="180"/>
      <c r="F349" s="180"/>
      <c r="G349" s="180"/>
      <c r="J349" s="180"/>
    </row>
    <row r="350">
      <c r="A350" s="258"/>
      <c r="C350" s="180"/>
      <c r="F350" s="180"/>
      <c r="G350" s="180"/>
      <c r="J350" s="180"/>
    </row>
    <row r="351">
      <c r="A351" s="258"/>
      <c r="C351" s="180"/>
      <c r="F351" s="180"/>
      <c r="G351" s="180"/>
      <c r="J351" s="180"/>
    </row>
    <row r="352">
      <c r="A352" s="258"/>
      <c r="C352" s="180"/>
      <c r="F352" s="180"/>
      <c r="G352" s="180"/>
      <c r="J352" s="180"/>
    </row>
    <row r="353">
      <c r="A353" s="258"/>
      <c r="C353" s="180"/>
      <c r="F353" s="180"/>
      <c r="G353" s="180"/>
      <c r="J353" s="180"/>
    </row>
    <row r="354">
      <c r="A354" s="258"/>
      <c r="C354" s="180"/>
      <c r="F354" s="180"/>
      <c r="G354" s="180"/>
      <c r="J354" s="180"/>
    </row>
    <row r="355">
      <c r="A355" s="258"/>
      <c r="C355" s="180"/>
      <c r="F355" s="180"/>
      <c r="G355" s="180"/>
      <c r="J355" s="180"/>
    </row>
    <row r="356">
      <c r="A356" s="258"/>
      <c r="C356" s="180"/>
      <c r="F356" s="180"/>
      <c r="G356" s="180"/>
      <c r="J356" s="180"/>
    </row>
    <row r="357">
      <c r="A357" s="258"/>
      <c r="C357" s="180"/>
      <c r="F357" s="180"/>
      <c r="G357" s="180"/>
      <c r="J357" s="180"/>
    </row>
    <row r="358">
      <c r="A358" s="258"/>
      <c r="C358" s="180"/>
      <c r="F358" s="180"/>
      <c r="G358" s="180"/>
      <c r="J358" s="180"/>
    </row>
    <row r="359">
      <c r="A359" s="258"/>
      <c r="C359" s="180"/>
      <c r="F359" s="180"/>
      <c r="G359" s="180"/>
      <c r="J359" s="180"/>
    </row>
    <row r="360">
      <c r="A360" s="258"/>
      <c r="C360" s="180"/>
      <c r="F360" s="180"/>
      <c r="G360" s="180"/>
      <c r="J360" s="180"/>
    </row>
    <row r="361">
      <c r="A361" s="258"/>
      <c r="C361" s="180"/>
      <c r="F361" s="180"/>
      <c r="G361" s="180"/>
      <c r="J361" s="180"/>
    </row>
    <row r="362">
      <c r="A362" s="258"/>
      <c r="C362" s="180"/>
      <c r="F362" s="180"/>
      <c r="G362" s="180"/>
      <c r="J362" s="180"/>
    </row>
    <row r="363">
      <c r="A363" s="258"/>
      <c r="C363" s="180"/>
      <c r="F363" s="180"/>
      <c r="G363" s="180"/>
      <c r="J363" s="180"/>
    </row>
    <row r="364">
      <c r="A364" s="258"/>
      <c r="C364" s="180"/>
      <c r="F364" s="180"/>
      <c r="G364" s="180"/>
      <c r="J364" s="180"/>
    </row>
    <row r="365">
      <c r="A365" s="258"/>
      <c r="C365" s="180"/>
      <c r="F365" s="180"/>
      <c r="G365" s="180"/>
      <c r="J365" s="180"/>
    </row>
    <row r="366">
      <c r="A366" s="258"/>
      <c r="C366" s="180"/>
      <c r="F366" s="180"/>
      <c r="G366" s="180"/>
      <c r="J366" s="180"/>
    </row>
    <row r="367">
      <c r="A367" s="258"/>
      <c r="C367" s="180"/>
      <c r="F367" s="180"/>
      <c r="G367" s="180"/>
      <c r="J367" s="180"/>
    </row>
    <row r="368">
      <c r="A368" s="258"/>
      <c r="C368" s="180"/>
      <c r="F368" s="180"/>
      <c r="G368" s="180"/>
      <c r="J368" s="180"/>
    </row>
    <row r="369">
      <c r="A369" s="258"/>
      <c r="C369" s="180"/>
      <c r="F369" s="180"/>
      <c r="G369" s="180"/>
      <c r="J369" s="180"/>
    </row>
    <row r="370">
      <c r="A370" s="258"/>
      <c r="C370" s="180"/>
      <c r="F370" s="180"/>
      <c r="G370" s="180"/>
      <c r="J370" s="180"/>
    </row>
    <row r="371">
      <c r="A371" s="258"/>
      <c r="C371" s="180"/>
      <c r="F371" s="180"/>
      <c r="G371" s="180"/>
      <c r="J371" s="180"/>
    </row>
    <row r="372">
      <c r="A372" s="258"/>
      <c r="C372" s="180"/>
      <c r="F372" s="180"/>
      <c r="G372" s="180"/>
      <c r="J372" s="180"/>
    </row>
    <row r="373">
      <c r="A373" s="258"/>
      <c r="C373" s="180"/>
      <c r="F373" s="180"/>
      <c r="G373" s="180"/>
      <c r="J373" s="180"/>
    </row>
    <row r="374">
      <c r="A374" s="258"/>
      <c r="C374" s="180"/>
      <c r="F374" s="180"/>
      <c r="G374" s="180"/>
      <c r="J374" s="180"/>
    </row>
    <row r="375">
      <c r="A375" s="258"/>
      <c r="C375" s="180"/>
      <c r="F375" s="180"/>
      <c r="G375" s="180"/>
      <c r="J375" s="180"/>
    </row>
    <row r="376">
      <c r="A376" s="258"/>
      <c r="C376" s="180"/>
      <c r="F376" s="180"/>
      <c r="G376" s="180"/>
      <c r="J376" s="180"/>
    </row>
    <row r="377">
      <c r="A377" s="258"/>
      <c r="C377" s="180"/>
      <c r="F377" s="180"/>
      <c r="G377" s="180"/>
      <c r="J377" s="180"/>
    </row>
    <row r="378">
      <c r="A378" s="258"/>
      <c r="C378" s="180"/>
      <c r="F378" s="180"/>
      <c r="G378" s="180"/>
      <c r="J378" s="180"/>
    </row>
    <row r="379">
      <c r="A379" s="258"/>
      <c r="C379" s="180"/>
      <c r="F379" s="180"/>
      <c r="G379" s="180"/>
      <c r="J379" s="180"/>
    </row>
    <row r="380">
      <c r="A380" s="258"/>
      <c r="C380" s="180"/>
      <c r="F380" s="180"/>
      <c r="G380" s="180"/>
      <c r="J380" s="180"/>
    </row>
    <row r="381">
      <c r="A381" s="258"/>
      <c r="C381" s="180"/>
      <c r="F381" s="180"/>
      <c r="G381" s="180"/>
      <c r="J381" s="180"/>
    </row>
    <row r="382">
      <c r="A382" s="258"/>
      <c r="C382" s="180"/>
      <c r="F382" s="180"/>
      <c r="G382" s="180"/>
      <c r="J382" s="180"/>
    </row>
    <row r="383">
      <c r="A383" s="258"/>
      <c r="C383" s="180"/>
      <c r="F383" s="180"/>
      <c r="G383" s="180"/>
      <c r="J383" s="180"/>
    </row>
    <row r="384">
      <c r="A384" s="258"/>
      <c r="C384" s="180"/>
      <c r="F384" s="180"/>
      <c r="G384" s="180"/>
      <c r="J384" s="180"/>
    </row>
    <row r="385">
      <c r="A385" s="258"/>
      <c r="C385" s="180"/>
      <c r="F385" s="180"/>
      <c r="G385" s="180"/>
      <c r="J385" s="180"/>
    </row>
    <row r="386">
      <c r="A386" s="258"/>
      <c r="C386" s="180"/>
      <c r="F386" s="180"/>
      <c r="G386" s="180"/>
      <c r="J386" s="180"/>
    </row>
    <row r="387">
      <c r="A387" s="258"/>
      <c r="C387" s="180"/>
      <c r="F387" s="180"/>
      <c r="G387" s="180"/>
      <c r="J387" s="180"/>
    </row>
    <row r="388">
      <c r="A388" s="258"/>
      <c r="C388" s="180"/>
      <c r="F388" s="180"/>
      <c r="G388" s="180"/>
      <c r="J388" s="180"/>
    </row>
    <row r="389">
      <c r="A389" s="258"/>
      <c r="C389" s="180"/>
      <c r="F389" s="180"/>
      <c r="G389" s="180"/>
      <c r="J389" s="180"/>
    </row>
    <row r="390">
      <c r="A390" s="258"/>
      <c r="C390" s="180"/>
      <c r="F390" s="180"/>
      <c r="G390" s="180"/>
      <c r="J390" s="180"/>
    </row>
    <row r="391">
      <c r="A391" s="258"/>
      <c r="C391" s="180"/>
      <c r="F391" s="180"/>
      <c r="G391" s="180"/>
      <c r="J391" s="180"/>
    </row>
    <row r="392">
      <c r="A392" s="258"/>
      <c r="C392" s="180"/>
      <c r="F392" s="180"/>
      <c r="G392" s="180"/>
      <c r="J392" s="180"/>
    </row>
    <row r="393">
      <c r="A393" s="258"/>
      <c r="C393" s="180"/>
      <c r="F393" s="180"/>
      <c r="G393" s="180"/>
      <c r="J393" s="180"/>
    </row>
    <row r="394">
      <c r="A394" s="258"/>
      <c r="C394" s="180"/>
      <c r="F394" s="180"/>
      <c r="G394" s="180"/>
      <c r="J394" s="180"/>
    </row>
    <row r="395">
      <c r="A395" s="258"/>
      <c r="C395" s="180"/>
      <c r="F395" s="180"/>
      <c r="G395" s="180"/>
      <c r="J395" s="180"/>
    </row>
    <row r="396">
      <c r="A396" s="258"/>
      <c r="C396" s="180"/>
      <c r="F396" s="180"/>
      <c r="G396" s="180"/>
      <c r="J396" s="180"/>
    </row>
    <row r="397">
      <c r="A397" s="258"/>
      <c r="C397" s="180"/>
      <c r="F397" s="180"/>
      <c r="G397" s="180"/>
      <c r="J397" s="180"/>
    </row>
    <row r="398">
      <c r="A398" s="258"/>
      <c r="C398" s="180"/>
      <c r="F398" s="180"/>
      <c r="G398" s="180"/>
      <c r="J398" s="180"/>
    </row>
    <row r="399">
      <c r="A399" s="258"/>
      <c r="C399" s="180"/>
      <c r="F399" s="180"/>
      <c r="G399" s="180"/>
      <c r="J399" s="180"/>
    </row>
    <row r="400">
      <c r="A400" s="258"/>
      <c r="C400" s="180"/>
      <c r="F400" s="180"/>
      <c r="G400" s="180"/>
      <c r="J400" s="180"/>
    </row>
    <row r="401">
      <c r="A401" s="258"/>
      <c r="C401" s="180"/>
      <c r="F401" s="180"/>
      <c r="G401" s="180"/>
      <c r="J401" s="180"/>
    </row>
    <row r="402">
      <c r="A402" s="258"/>
      <c r="C402" s="180"/>
      <c r="F402" s="180"/>
      <c r="G402" s="180"/>
      <c r="J402" s="180"/>
    </row>
    <row r="403">
      <c r="A403" s="258"/>
      <c r="C403" s="180"/>
      <c r="F403" s="180"/>
      <c r="G403" s="180"/>
      <c r="J403" s="180"/>
    </row>
    <row r="404">
      <c r="A404" s="258"/>
      <c r="C404" s="180"/>
      <c r="F404" s="180"/>
      <c r="G404" s="180"/>
      <c r="J404" s="180"/>
    </row>
    <row r="405">
      <c r="A405" s="258"/>
      <c r="C405" s="180"/>
      <c r="F405" s="180"/>
      <c r="G405" s="180"/>
      <c r="J405" s="180"/>
    </row>
    <row r="406">
      <c r="A406" s="258"/>
      <c r="C406" s="180"/>
      <c r="F406" s="180"/>
      <c r="G406" s="180"/>
      <c r="J406" s="180"/>
    </row>
    <row r="407">
      <c r="A407" s="258"/>
      <c r="C407" s="180"/>
      <c r="F407" s="180"/>
      <c r="G407" s="180"/>
      <c r="J407" s="180"/>
    </row>
    <row r="408">
      <c r="A408" s="258"/>
      <c r="C408" s="180"/>
      <c r="F408" s="180"/>
      <c r="G408" s="180"/>
      <c r="J408" s="180"/>
    </row>
    <row r="409">
      <c r="A409" s="258"/>
      <c r="C409" s="180"/>
      <c r="F409" s="180"/>
      <c r="G409" s="180"/>
      <c r="J409" s="180"/>
    </row>
    <row r="410">
      <c r="A410" s="258"/>
      <c r="C410" s="180"/>
      <c r="F410" s="180"/>
      <c r="G410" s="180"/>
      <c r="J410" s="180"/>
    </row>
    <row r="411">
      <c r="A411" s="258"/>
      <c r="C411" s="180"/>
      <c r="F411" s="180"/>
      <c r="G411" s="180"/>
      <c r="J411" s="180"/>
    </row>
    <row r="412">
      <c r="A412" s="258"/>
      <c r="C412" s="180"/>
      <c r="F412" s="180"/>
      <c r="G412" s="180"/>
      <c r="J412" s="180"/>
    </row>
    <row r="413">
      <c r="A413" s="258"/>
      <c r="C413" s="180"/>
      <c r="F413" s="180"/>
      <c r="G413" s="180"/>
      <c r="J413" s="180"/>
    </row>
    <row r="414">
      <c r="A414" s="258"/>
      <c r="C414" s="180"/>
      <c r="F414" s="180"/>
      <c r="G414" s="180"/>
      <c r="J414" s="180"/>
    </row>
    <row r="415">
      <c r="A415" s="258"/>
      <c r="C415" s="180"/>
      <c r="F415" s="180"/>
      <c r="G415" s="180"/>
      <c r="J415" s="180"/>
    </row>
    <row r="416">
      <c r="A416" s="258"/>
      <c r="C416" s="180"/>
      <c r="F416" s="180"/>
      <c r="G416" s="180"/>
      <c r="J416" s="180"/>
    </row>
    <row r="417">
      <c r="A417" s="258"/>
      <c r="C417" s="180"/>
      <c r="F417" s="180"/>
      <c r="G417" s="180"/>
      <c r="J417" s="180"/>
    </row>
    <row r="418">
      <c r="A418" s="258"/>
      <c r="C418" s="180"/>
      <c r="F418" s="180"/>
      <c r="G418" s="180"/>
      <c r="J418" s="180"/>
    </row>
    <row r="419">
      <c r="A419" s="258"/>
      <c r="C419" s="180"/>
      <c r="F419" s="180"/>
      <c r="G419" s="180"/>
      <c r="J419" s="180"/>
    </row>
    <row r="420">
      <c r="A420" s="258"/>
      <c r="C420" s="180"/>
      <c r="F420" s="180"/>
      <c r="G420" s="180"/>
      <c r="J420" s="180"/>
    </row>
    <row r="421">
      <c r="A421" s="258"/>
      <c r="C421" s="180"/>
      <c r="F421" s="180"/>
      <c r="G421" s="180"/>
      <c r="J421" s="180"/>
    </row>
    <row r="422">
      <c r="A422" s="258"/>
      <c r="C422" s="180"/>
      <c r="F422" s="180"/>
      <c r="G422" s="180"/>
      <c r="J422" s="180"/>
    </row>
    <row r="423">
      <c r="A423" s="258"/>
      <c r="C423" s="180"/>
      <c r="F423" s="180"/>
      <c r="G423" s="180"/>
      <c r="J423" s="180"/>
    </row>
    <row r="424">
      <c r="A424" s="258"/>
      <c r="C424" s="180"/>
      <c r="F424" s="180"/>
      <c r="G424" s="180"/>
      <c r="J424" s="180"/>
    </row>
    <row r="425">
      <c r="A425" s="258"/>
      <c r="C425" s="180"/>
      <c r="F425" s="180"/>
      <c r="G425" s="180"/>
      <c r="J425" s="180"/>
    </row>
    <row r="426">
      <c r="A426" s="258"/>
      <c r="C426" s="180"/>
      <c r="F426" s="180"/>
      <c r="G426" s="180"/>
      <c r="J426" s="180"/>
    </row>
    <row r="427">
      <c r="A427" s="258"/>
      <c r="C427" s="180"/>
      <c r="F427" s="180"/>
      <c r="G427" s="180"/>
      <c r="J427" s="180"/>
    </row>
    <row r="428">
      <c r="A428" s="258"/>
      <c r="C428" s="180"/>
      <c r="F428" s="180"/>
      <c r="G428" s="180"/>
      <c r="J428" s="180"/>
    </row>
    <row r="429">
      <c r="A429" s="258"/>
      <c r="C429" s="180"/>
      <c r="F429" s="180"/>
      <c r="G429" s="180"/>
      <c r="J429" s="180"/>
    </row>
    <row r="430">
      <c r="A430" s="258"/>
      <c r="C430" s="180"/>
      <c r="F430" s="180"/>
      <c r="G430" s="180"/>
      <c r="J430" s="180"/>
    </row>
    <row r="431">
      <c r="A431" s="258"/>
      <c r="C431" s="180"/>
      <c r="F431" s="180"/>
      <c r="G431" s="180"/>
      <c r="J431" s="180"/>
    </row>
    <row r="432">
      <c r="A432" s="258"/>
      <c r="C432" s="180"/>
      <c r="F432" s="180"/>
      <c r="G432" s="180"/>
      <c r="J432" s="180"/>
    </row>
    <row r="433">
      <c r="A433" s="258"/>
      <c r="C433" s="180"/>
      <c r="F433" s="180"/>
      <c r="G433" s="180"/>
      <c r="J433" s="180"/>
    </row>
    <row r="434">
      <c r="A434" s="258"/>
      <c r="C434" s="180"/>
      <c r="F434" s="180"/>
      <c r="G434" s="180"/>
      <c r="J434" s="180"/>
    </row>
    <row r="435">
      <c r="A435" s="258"/>
      <c r="C435" s="180"/>
      <c r="F435" s="180"/>
      <c r="G435" s="180"/>
      <c r="J435" s="180"/>
    </row>
    <row r="436">
      <c r="A436" s="258"/>
      <c r="C436" s="180"/>
      <c r="F436" s="180"/>
      <c r="G436" s="180"/>
      <c r="J436" s="180"/>
    </row>
    <row r="437">
      <c r="A437" s="258"/>
      <c r="C437" s="180"/>
      <c r="F437" s="180"/>
      <c r="G437" s="180"/>
      <c r="J437" s="180"/>
    </row>
    <row r="438">
      <c r="A438" s="258"/>
      <c r="C438" s="180"/>
      <c r="F438" s="180"/>
      <c r="G438" s="180"/>
      <c r="J438" s="180"/>
    </row>
    <row r="439">
      <c r="A439" s="258"/>
      <c r="C439" s="180"/>
      <c r="F439" s="180"/>
      <c r="G439" s="180"/>
      <c r="J439" s="180"/>
    </row>
    <row r="440">
      <c r="A440" s="258"/>
      <c r="C440" s="180"/>
      <c r="F440" s="180"/>
      <c r="G440" s="180"/>
      <c r="J440" s="180"/>
    </row>
    <row r="441">
      <c r="A441" s="258"/>
      <c r="C441" s="180"/>
      <c r="F441" s="180"/>
      <c r="G441" s="180"/>
      <c r="J441" s="180"/>
    </row>
    <row r="442">
      <c r="A442" s="258"/>
      <c r="C442" s="180"/>
      <c r="F442" s="180"/>
      <c r="G442" s="180"/>
      <c r="J442" s="180"/>
    </row>
    <row r="443">
      <c r="A443" s="258"/>
      <c r="C443" s="180"/>
      <c r="F443" s="180"/>
      <c r="G443" s="180"/>
      <c r="J443" s="180"/>
    </row>
    <row r="444">
      <c r="A444" s="258"/>
      <c r="C444" s="180"/>
      <c r="F444" s="180"/>
      <c r="G444" s="180"/>
      <c r="J444" s="180"/>
    </row>
    <row r="445">
      <c r="A445" s="258"/>
      <c r="C445" s="180"/>
      <c r="F445" s="180"/>
      <c r="G445" s="180"/>
      <c r="J445" s="180"/>
    </row>
    <row r="446">
      <c r="A446" s="258"/>
      <c r="C446" s="180"/>
      <c r="F446" s="180"/>
      <c r="G446" s="180"/>
      <c r="J446" s="180"/>
    </row>
    <row r="447">
      <c r="A447" s="258"/>
      <c r="C447" s="180"/>
      <c r="F447" s="180"/>
      <c r="G447" s="180"/>
      <c r="J447" s="180"/>
    </row>
    <row r="448">
      <c r="A448" s="258"/>
      <c r="C448" s="180"/>
      <c r="F448" s="180"/>
      <c r="G448" s="180"/>
      <c r="J448" s="180"/>
    </row>
    <row r="449">
      <c r="A449" s="258"/>
      <c r="C449" s="180"/>
      <c r="F449" s="180"/>
      <c r="G449" s="180"/>
      <c r="J449" s="180"/>
    </row>
    <row r="450">
      <c r="A450" s="258"/>
      <c r="C450" s="180"/>
      <c r="F450" s="180"/>
      <c r="G450" s="180"/>
      <c r="J450" s="180"/>
    </row>
    <row r="451">
      <c r="A451" s="258"/>
      <c r="C451" s="180"/>
      <c r="F451" s="180"/>
      <c r="G451" s="180"/>
      <c r="J451" s="180"/>
    </row>
    <row r="452">
      <c r="A452" s="258"/>
      <c r="C452" s="180"/>
      <c r="F452" s="180"/>
      <c r="G452" s="180"/>
      <c r="J452" s="180"/>
    </row>
    <row r="453">
      <c r="A453" s="258"/>
      <c r="C453" s="180"/>
      <c r="F453" s="180"/>
      <c r="G453" s="180"/>
      <c r="J453" s="180"/>
    </row>
    <row r="454">
      <c r="A454" s="258"/>
      <c r="C454" s="180"/>
      <c r="F454" s="180"/>
      <c r="G454" s="180"/>
      <c r="J454" s="180"/>
    </row>
    <row r="455">
      <c r="A455" s="258"/>
      <c r="C455" s="180"/>
      <c r="F455" s="180"/>
      <c r="G455" s="180"/>
      <c r="J455" s="180"/>
    </row>
    <row r="456">
      <c r="A456" s="258"/>
      <c r="C456" s="180"/>
      <c r="F456" s="180"/>
      <c r="G456" s="180"/>
      <c r="J456" s="180"/>
    </row>
    <row r="457">
      <c r="A457" s="258"/>
      <c r="C457" s="180"/>
      <c r="F457" s="180"/>
      <c r="G457" s="180"/>
      <c r="J457" s="180"/>
    </row>
    <row r="458">
      <c r="A458" s="258"/>
      <c r="C458" s="180"/>
      <c r="F458" s="180"/>
      <c r="G458" s="180"/>
      <c r="J458" s="180"/>
    </row>
    <row r="459">
      <c r="A459" s="258"/>
      <c r="C459" s="180"/>
      <c r="F459" s="180"/>
      <c r="G459" s="180"/>
      <c r="J459" s="180"/>
    </row>
    <row r="460">
      <c r="A460" s="258"/>
      <c r="C460" s="180"/>
      <c r="F460" s="180"/>
      <c r="G460" s="180"/>
      <c r="J460" s="180"/>
    </row>
    <row r="461">
      <c r="A461" s="258"/>
      <c r="C461" s="180"/>
      <c r="F461" s="180"/>
      <c r="G461" s="180"/>
      <c r="J461" s="180"/>
    </row>
    <row r="462">
      <c r="A462" s="258"/>
      <c r="C462" s="180"/>
      <c r="F462" s="180"/>
      <c r="G462" s="180"/>
      <c r="J462" s="180"/>
    </row>
    <row r="463">
      <c r="A463" s="258"/>
      <c r="C463" s="180"/>
      <c r="F463" s="180"/>
      <c r="G463" s="180"/>
      <c r="J463" s="180"/>
    </row>
    <row r="464">
      <c r="A464" s="258"/>
      <c r="C464" s="180"/>
      <c r="F464" s="180"/>
      <c r="G464" s="180"/>
      <c r="J464" s="180"/>
    </row>
    <row r="465">
      <c r="A465" s="258"/>
      <c r="C465" s="180"/>
      <c r="F465" s="180"/>
      <c r="G465" s="180"/>
      <c r="J465" s="180"/>
    </row>
    <row r="466">
      <c r="A466" s="258"/>
      <c r="C466" s="180"/>
      <c r="F466" s="180"/>
      <c r="G466" s="180"/>
      <c r="J466" s="180"/>
    </row>
    <row r="467">
      <c r="A467" s="258"/>
      <c r="C467" s="180"/>
      <c r="F467" s="180"/>
      <c r="G467" s="180"/>
      <c r="J467" s="180"/>
    </row>
    <row r="468">
      <c r="A468" s="258"/>
      <c r="C468" s="180"/>
      <c r="F468" s="180"/>
      <c r="G468" s="180"/>
      <c r="J468" s="180"/>
    </row>
    <row r="469">
      <c r="A469" s="258"/>
      <c r="C469" s="180"/>
      <c r="F469" s="180"/>
      <c r="G469" s="180"/>
      <c r="J469" s="180"/>
    </row>
    <row r="470">
      <c r="A470" s="258"/>
      <c r="C470" s="180"/>
      <c r="F470" s="180"/>
      <c r="G470" s="180"/>
      <c r="J470" s="180"/>
    </row>
    <row r="471">
      <c r="A471" s="258"/>
      <c r="C471" s="180"/>
      <c r="F471" s="180"/>
      <c r="G471" s="180"/>
      <c r="J471" s="180"/>
    </row>
    <row r="472">
      <c r="A472" s="258"/>
      <c r="C472" s="180"/>
      <c r="F472" s="180"/>
      <c r="G472" s="180"/>
      <c r="J472" s="180"/>
    </row>
    <row r="473">
      <c r="A473" s="258"/>
      <c r="C473" s="180"/>
      <c r="F473" s="180"/>
      <c r="G473" s="180"/>
      <c r="J473" s="180"/>
    </row>
    <row r="474">
      <c r="A474" s="258"/>
      <c r="C474" s="180"/>
      <c r="F474" s="180"/>
      <c r="G474" s="180"/>
      <c r="J474" s="180"/>
    </row>
    <row r="475">
      <c r="A475" s="258"/>
      <c r="C475" s="180"/>
      <c r="F475" s="180"/>
      <c r="G475" s="180"/>
      <c r="J475" s="180"/>
    </row>
    <row r="476">
      <c r="A476" s="258"/>
      <c r="C476" s="180"/>
      <c r="F476" s="180"/>
      <c r="G476" s="180"/>
      <c r="J476" s="180"/>
    </row>
    <row r="477">
      <c r="A477" s="258"/>
      <c r="C477" s="180"/>
      <c r="F477" s="180"/>
      <c r="G477" s="180"/>
      <c r="J477" s="180"/>
    </row>
    <row r="478">
      <c r="A478" s="258"/>
      <c r="C478" s="180"/>
      <c r="F478" s="180"/>
      <c r="G478" s="180"/>
      <c r="J478" s="180"/>
    </row>
    <row r="479">
      <c r="A479" s="258"/>
      <c r="C479" s="180"/>
      <c r="F479" s="180"/>
      <c r="G479" s="180"/>
      <c r="J479" s="180"/>
    </row>
    <row r="480">
      <c r="A480" s="258"/>
      <c r="C480" s="180"/>
      <c r="F480" s="180"/>
      <c r="G480" s="180"/>
      <c r="J480" s="180"/>
    </row>
    <row r="481">
      <c r="A481" s="258"/>
      <c r="C481" s="180"/>
      <c r="F481" s="180"/>
      <c r="G481" s="180"/>
      <c r="J481" s="180"/>
    </row>
    <row r="482">
      <c r="A482" s="258"/>
      <c r="C482" s="180"/>
      <c r="F482" s="180"/>
      <c r="G482" s="180"/>
      <c r="J482" s="180"/>
    </row>
    <row r="483">
      <c r="A483" s="258"/>
      <c r="C483" s="180"/>
      <c r="F483" s="180"/>
      <c r="G483" s="180"/>
      <c r="J483" s="180"/>
    </row>
    <row r="484">
      <c r="A484" s="258"/>
      <c r="C484" s="180"/>
      <c r="F484" s="180"/>
      <c r="G484" s="180"/>
      <c r="J484" s="180"/>
    </row>
    <row r="485">
      <c r="A485" s="258"/>
      <c r="C485" s="180"/>
      <c r="F485" s="180"/>
      <c r="G485" s="180"/>
      <c r="J485" s="180"/>
    </row>
    <row r="486">
      <c r="A486" s="258"/>
      <c r="C486" s="180"/>
      <c r="F486" s="180"/>
      <c r="G486" s="180"/>
      <c r="J486" s="180"/>
    </row>
    <row r="487">
      <c r="A487" s="258"/>
      <c r="C487" s="180"/>
      <c r="F487" s="180"/>
      <c r="G487" s="180"/>
      <c r="J487" s="180"/>
    </row>
    <row r="488">
      <c r="A488" s="258"/>
      <c r="C488" s="180"/>
      <c r="F488" s="180"/>
      <c r="G488" s="180"/>
      <c r="J488" s="180"/>
    </row>
    <row r="489">
      <c r="A489" s="258"/>
      <c r="C489" s="180"/>
      <c r="F489" s="180"/>
      <c r="G489" s="180"/>
      <c r="J489" s="180"/>
    </row>
    <row r="490">
      <c r="A490" s="258"/>
      <c r="C490" s="180"/>
      <c r="F490" s="180"/>
      <c r="G490" s="180"/>
      <c r="J490" s="180"/>
    </row>
    <row r="491">
      <c r="A491" s="258"/>
      <c r="C491" s="180"/>
      <c r="F491" s="180"/>
      <c r="G491" s="180"/>
      <c r="J491" s="180"/>
    </row>
    <row r="492">
      <c r="A492" s="258"/>
      <c r="C492" s="180"/>
      <c r="F492" s="180"/>
      <c r="G492" s="180"/>
      <c r="J492" s="180"/>
    </row>
    <row r="493">
      <c r="A493" s="258"/>
      <c r="C493" s="180"/>
      <c r="F493" s="180"/>
      <c r="G493" s="180"/>
      <c r="J493" s="180"/>
    </row>
    <row r="494">
      <c r="A494" s="258"/>
      <c r="C494" s="180"/>
      <c r="F494" s="180"/>
      <c r="G494" s="180"/>
      <c r="J494" s="180"/>
    </row>
    <row r="495">
      <c r="A495" s="258"/>
      <c r="C495" s="180"/>
      <c r="F495" s="180"/>
      <c r="G495" s="180"/>
      <c r="J495" s="180"/>
    </row>
    <row r="496">
      <c r="A496" s="258"/>
      <c r="C496" s="180"/>
      <c r="F496" s="180"/>
      <c r="G496" s="180"/>
      <c r="J496" s="180"/>
    </row>
    <row r="497">
      <c r="A497" s="258"/>
      <c r="C497" s="180"/>
      <c r="F497" s="180"/>
      <c r="G497" s="180"/>
      <c r="J497" s="180"/>
    </row>
    <row r="498">
      <c r="A498" s="258"/>
      <c r="C498" s="180"/>
      <c r="F498" s="180"/>
      <c r="G498" s="180"/>
      <c r="J498" s="180"/>
    </row>
    <row r="499">
      <c r="A499" s="258"/>
      <c r="C499" s="180"/>
      <c r="F499" s="180"/>
      <c r="G499" s="180"/>
      <c r="J499" s="180"/>
    </row>
    <row r="500">
      <c r="A500" s="258"/>
      <c r="C500" s="180"/>
      <c r="F500" s="180"/>
      <c r="G500" s="180"/>
      <c r="J500" s="180"/>
    </row>
    <row r="501">
      <c r="A501" s="258"/>
      <c r="C501" s="180"/>
      <c r="F501" s="180"/>
      <c r="G501" s="180"/>
      <c r="J501" s="180"/>
    </row>
    <row r="502">
      <c r="A502" s="258"/>
      <c r="C502" s="180"/>
      <c r="F502" s="180"/>
      <c r="G502" s="180"/>
      <c r="J502" s="180"/>
    </row>
    <row r="503">
      <c r="A503" s="258"/>
      <c r="C503" s="180"/>
      <c r="F503" s="180"/>
      <c r="G503" s="180"/>
      <c r="J503" s="180"/>
    </row>
    <row r="504">
      <c r="A504" s="258"/>
      <c r="C504" s="180"/>
      <c r="F504" s="180"/>
      <c r="G504" s="180"/>
      <c r="J504" s="180"/>
    </row>
    <row r="505">
      <c r="A505" s="258"/>
      <c r="C505" s="180"/>
      <c r="F505" s="180"/>
      <c r="G505" s="180"/>
      <c r="J505" s="180"/>
    </row>
    <row r="506">
      <c r="A506" s="258"/>
      <c r="C506" s="180"/>
      <c r="F506" s="180"/>
      <c r="G506" s="180"/>
      <c r="J506" s="180"/>
    </row>
    <row r="507">
      <c r="A507" s="258"/>
      <c r="C507" s="180"/>
      <c r="F507" s="180"/>
      <c r="G507" s="180"/>
      <c r="J507" s="180"/>
    </row>
    <row r="508">
      <c r="A508" s="258"/>
      <c r="C508" s="180"/>
      <c r="F508" s="180"/>
      <c r="G508" s="180"/>
      <c r="J508" s="180"/>
    </row>
    <row r="509">
      <c r="A509" s="258"/>
      <c r="C509" s="180"/>
      <c r="F509" s="180"/>
      <c r="G509" s="180"/>
      <c r="J509" s="180"/>
    </row>
    <row r="510">
      <c r="A510" s="258"/>
      <c r="C510" s="180"/>
      <c r="F510" s="180"/>
      <c r="G510" s="180"/>
      <c r="J510" s="180"/>
    </row>
    <row r="511">
      <c r="A511" s="258"/>
      <c r="C511" s="180"/>
      <c r="F511" s="180"/>
      <c r="G511" s="180"/>
      <c r="J511" s="180"/>
    </row>
    <row r="512">
      <c r="A512" s="258"/>
      <c r="C512" s="180"/>
      <c r="F512" s="180"/>
      <c r="G512" s="180"/>
      <c r="J512" s="180"/>
    </row>
    <row r="513">
      <c r="A513" s="258"/>
      <c r="C513" s="180"/>
      <c r="F513" s="180"/>
      <c r="G513" s="180"/>
      <c r="J513" s="180"/>
    </row>
    <row r="514">
      <c r="A514" s="258"/>
      <c r="C514" s="180"/>
      <c r="F514" s="180"/>
      <c r="G514" s="180"/>
      <c r="J514" s="180"/>
    </row>
    <row r="515">
      <c r="A515" s="258"/>
      <c r="C515" s="180"/>
      <c r="F515" s="180"/>
      <c r="G515" s="180"/>
      <c r="J515" s="180"/>
    </row>
    <row r="516">
      <c r="A516" s="258"/>
      <c r="C516" s="180"/>
      <c r="F516" s="180"/>
      <c r="G516" s="180"/>
      <c r="J516" s="180"/>
    </row>
    <row r="517">
      <c r="A517" s="258"/>
      <c r="C517" s="180"/>
      <c r="F517" s="180"/>
      <c r="G517" s="180"/>
      <c r="J517" s="180"/>
    </row>
    <row r="518">
      <c r="A518" s="258"/>
      <c r="C518" s="180"/>
      <c r="F518" s="180"/>
      <c r="G518" s="180"/>
      <c r="J518" s="180"/>
    </row>
    <row r="519">
      <c r="A519" s="258"/>
      <c r="C519" s="180"/>
      <c r="F519" s="180"/>
      <c r="G519" s="180"/>
      <c r="J519" s="180"/>
    </row>
    <row r="520">
      <c r="A520" s="258"/>
      <c r="C520" s="180"/>
      <c r="F520" s="180"/>
      <c r="G520" s="180"/>
      <c r="J520" s="180"/>
    </row>
    <row r="521">
      <c r="A521" s="258"/>
      <c r="C521" s="180"/>
      <c r="F521" s="180"/>
      <c r="G521" s="180"/>
      <c r="J521" s="180"/>
    </row>
    <row r="522">
      <c r="A522" s="258"/>
      <c r="C522" s="180"/>
      <c r="F522" s="180"/>
      <c r="G522" s="180"/>
      <c r="J522" s="180"/>
    </row>
    <row r="523">
      <c r="A523" s="258"/>
      <c r="C523" s="180"/>
      <c r="F523" s="180"/>
      <c r="G523" s="180"/>
      <c r="J523" s="180"/>
    </row>
    <row r="524">
      <c r="A524" s="258"/>
      <c r="C524" s="180"/>
      <c r="F524" s="180"/>
      <c r="G524" s="180"/>
      <c r="J524" s="180"/>
    </row>
    <row r="525">
      <c r="A525" s="258"/>
      <c r="C525" s="180"/>
      <c r="F525" s="180"/>
      <c r="G525" s="180"/>
      <c r="J525" s="180"/>
    </row>
    <row r="526">
      <c r="A526" s="258"/>
      <c r="C526" s="180"/>
      <c r="F526" s="180"/>
      <c r="G526" s="180"/>
      <c r="J526" s="180"/>
    </row>
    <row r="527">
      <c r="A527" s="258"/>
      <c r="C527" s="180"/>
      <c r="F527" s="180"/>
      <c r="G527" s="180"/>
      <c r="J527" s="180"/>
    </row>
    <row r="528">
      <c r="A528" s="258"/>
      <c r="C528" s="180"/>
      <c r="F528" s="180"/>
      <c r="G528" s="180"/>
      <c r="J528" s="180"/>
    </row>
    <row r="529">
      <c r="A529" s="258"/>
      <c r="C529" s="180"/>
      <c r="F529" s="180"/>
      <c r="G529" s="180"/>
      <c r="J529" s="180"/>
    </row>
    <row r="530">
      <c r="A530" s="258"/>
      <c r="C530" s="180"/>
      <c r="F530" s="180"/>
      <c r="G530" s="180"/>
      <c r="J530" s="180"/>
    </row>
    <row r="531">
      <c r="A531" s="258"/>
      <c r="C531" s="180"/>
      <c r="F531" s="180"/>
      <c r="G531" s="180"/>
      <c r="J531" s="180"/>
    </row>
    <row r="532">
      <c r="A532" s="258"/>
      <c r="C532" s="180"/>
      <c r="F532" s="180"/>
      <c r="G532" s="180"/>
      <c r="J532" s="180"/>
    </row>
    <row r="533">
      <c r="A533" s="258"/>
      <c r="C533" s="180"/>
      <c r="F533" s="180"/>
      <c r="G533" s="180"/>
      <c r="J533" s="180"/>
    </row>
    <row r="534">
      <c r="A534" s="258"/>
      <c r="C534" s="180"/>
      <c r="F534" s="180"/>
      <c r="G534" s="180"/>
      <c r="J534" s="180"/>
    </row>
    <row r="535">
      <c r="A535" s="258"/>
      <c r="C535" s="180"/>
      <c r="F535" s="180"/>
      <c r="G535" s="180"/>
      <c r="J535" s="180"/>
    </row>
    <row r="536">
      <c r="A536" s="258"/>
      <c r="C536" s="180"/>
      <c r="F536" s="180"/>
      <c r="G536" s="180"/>
      <c r="J536" s="180"/>
    </row>
    <row r="537">
      <c r="A537" s="258"/>
      <c r="C537" s="180"/>
      <c r="F537" s="180"/>
      <c r="G537" s="180"/>
      <c r="J537" s="180"/>
    </row>
    <row r="538">
      <c r="A538" s="258"/>
      <c r="C538" s="180"/>
      <c r="F538" s="180"/>
      <c r="G538" s="180"/>
      <c r="J538" s="180"/>
    </row>
    <row r="539">
      <c r="A539" s="258"/>
      <c r="C539" s="180"/>
      <c r="F539" s="180"/>
      <c r="G539" s="180"/>
      <c r="J539" s="180"/>
    </row>
    <row r="540">
      <c r="A540" s="258"/>
      <c r="C540" s="180"/>
      <c r="F540" s="180"/>
      <c r="G540" s="180"/>
      <c r="J540" s="180"/>
    </row>
    <row r="541">
      <c r="A541" s="258"/>
      <c r="C541" s="180"/>
      <c r="F541" s="180"/>
      <c r="G541" s="180"/>
      <c r="J541" s="180"/>
    </row>
    <row r="542">
      <c r="A542" s="258"/>
      <c r="C542" s="180"/>
      <c r="F542" s="180"/>
      <c r="G542" s="180"/>
      <c r="J542" s="180"/>
    </row>
    <row r="543">
      <c r="A543" s="258"/>
      <c r="C543" s="180"/>
      <c r="F543" s="180"/>
      <c r="G543" s="180"/>
      <c r="J543" s="180"/>
    </row>
    <row r="544">
      <c r="A544" s="258"/>
      <c r="C544" s="180"/>
      <c r="F544" s="180"/>
      <c r="G544" s="180"/>
      <c r="J544" s="180"/>
    </row>
    <row r="545">
      <c r="A545" s="258"/>
      <c r="C545" s="180"/>
      <c r="F545" s="180"/>
      <c r="G545" s="180"/>
      <c r="J545" s="180"/>
    </row>
    <row r="546">
      <c r="A546" s="258"/>
      <c r="C546" s="180"/>
      <c r="F546" s="180"/>
      <c r="G546" s="180"/>
      <c r="J546" s="180"/>
    </row>
    <row r="547">
      <c r="A547" s="258"/>
      <c r="C547" s="180"/>
      <c r="F547" s="180"/>
      <c r="G547" s="180"/>
      <c r="J547" s="180"/>
    </row>
    <row r="548">
      <c r="A548" s="258"/>
      <c r="C548" s="180"/>
      <c r="F548" s="180"/>
      <c r="G548" s="180"/>
      <c r="J548" s="180"/>
    </row>
    <row r="549">
      <c r="A549" s="258"/>
      <c r="C549" s="180"/>
      <c r="F549" s="180"/>
      <c r="G549" s="180"/>
      <c r="J549" s="180"/>
    </row>
    <row r="550">
      <c r="A550" s="258"/>
      <c r="C550" s="180"/>
      <c r="F550" s="180"/>
      <c r="G550" s="180"/>
      <c r="J550" s="180"/>
    </row>
    <row r="551">
      <c r="A551" s="258"/>
      <c r="C551" s="180"/>
      <c r="F551" s="180"/>
      <c r="G551" s="180"/>
      <c r="J551" s="180"/>
    </row>
    <row r="552">
      <c r="A552" s="258"/>
      <c r="C552" s="180"/>
      <c r="F552" s="180"/>
      <c r="G552" s="180"/>
      <c r="J552" s="180"/>
    </row>
    <row r="553">
      <c r="A553" s="258"/>
      <c r="C553" s="180"/>
      <c r="F553" s="180"/>
      <c r="G553" s="180"/>
      <c r="J553" s="180"/>
    </row>
    <row r="554">
      <c r="A554" s="258"/>
      <c r="C554" s="180"/>
      <c r="F554" s="180"/>
      <c r="G554" s="180"/>
      <c r="J554" s="180"/>
    </row>
    <row r="555">
      <c r="A555" s="258"/>
      <c r="C555" s="180"/>
      <c r="F555" s="180"/>
      <c r="G555" s="180"/>
      <c r="J555" s="180"/>
    </row>
    <row r="556">
      <c r="A556" s="258"/>
      <c r="C556" s="180"/>
      <c r="F556" s="180"/>
      <c r="G556" s="180"/>
      <c r="J556" s="180"/>
    </row>
    <row r="557">
      <c r="A557" s="258"/>
      <c r="C557" s="180"/>
      <c r="F557" s="180"/>
      <c r="G557" s="180"/>
      <c r="J557" s="180"/>
    </row>
    <row r="558">
      <c r="A558" s="258"/>
      <c r="C558" s="180"/>
      <c r="F558" s="180"/>
      <c r="G558" s="180"/>
      <c r="J558" s="180"/>
    </row>
    <row r="559">
      <c r="A559" s="258"/>
      <c r="C559" s="180"/>
      <c r="F559" s="180"/>
      <c r="G559" s="180"/>
      <c r="J559" s="180"/>
    </row>
    <row r="560">
      <c r="A560" s="258"/>
      <c r="C560" s="180"/>
      <c r="F560" s="180"/>
      <c r="G560" s="180"/>
      <c r="J560" s="180"/>
    </row>
    <row r="561">
      <c r="A561" s="258"/>
      <c r="C561" s="180"/>
      <c r="F561" s="180"/>
      <c r="G561" s="180"/>
      <c r="J561" s="180"/>
    </row>
    <row r="562">
      <c r="A562" s="258"/>
      <c r="C562" s="180"/>
      <c r="F562" s="180"/>
      <c r="G562" s="180"/>
      <c r="J562" s="180"/>
    </row>
    <row r="563">
      <c r="A563" s="258"/>
      <c r="C563" s="180"/>
      <c r="F563" s="180"/>
      <c r="G563" s="180"/>
      <c r="J563" s="180"/>
    </row>
    <row r="564">
      <c r="A564" s="258"/>
      <c r="C564" s="180"/>
      <c r="F564" s="180"/>
      <c r="G564" s="180"/>
      <c r="J564" s="180"/>
    </row>
    <row r="565">
      <c r="A565" s="258"/>
      <c r="C565" s="180"/>
      <c r="F565" s="180"/>
      <c r="G565" s="180"/>
      <c r="J565" s="180"/>
    </row>
    <row r="566">
      <c r="A566" s="258"/>
      <c r="C566" s="180"/>
      <c r="F566" s="180"/>
      <c r="G566" s="180"/>
      <c r="J566" s="180"/>
    </row>
    <row r="567">
      <c r="A567" s="258"/>
      <c r="C567" s="180"/>
      <c r="F567" s="180"/>
      <c r="G567" s="180"/>
      <c r="J567" s="180"/>
    </row>
    <row r="568">
      <c r="A568" s="258"/>
      <c r="C568" s="180"/>
      <c r="F568" s="180"/>
      <c r="G568" s="180"/>
      <c r="J568" s="180"/>
    </row>
    <row r="569">
      <c r="A569" s="258"/>
      <c r="C569" s="180"/>
      <c r="F569" s="180"/>
      <c r="G569" s="180"/>
      <c r="J569" s="180"/>
    </row>
    <row r="570">
      <c r="A570" s="258"/>
      <c r="C570" s="180"/>
      <c r="F570" s="180"/>
      <c r="G570" s="180"/>
      <c r="J570" s="180"/>
    </row>
    <row r="571">
      <c r="A571" s="258"/>
      <c r="C571" s="180"/>
      <c r="F571" s="180"/>
      <c r="G571" s="180"/>
      <c r="J571" s="180"/>
    </row>
    <row r="572">
      <c r="A572" s="258"/>
      <c r="C572" s="180"/>
      <c r="F572" s="180"/>
      <c r="G572" s="180"/>
      <c r="J572" s="180"/>
    </row>
    <row r="573">
      <c r="A573" s="258"/>
      <c r="C573" s="180"/>
      <c r="F573" s="180"/>
      <c r="G573" s="180"/>
      <c r="J573" s="180"/>
    </row>
    <row r="574">
      <c r="A574" s="258"/>
      <c r="C574" s="180"/>
      <c r="F574" s="180"/>
      <c r="G574" s="180"/>
      <c r="J574" s="180"/>
    </row>
    <row r="575">
      <c r="A575" s="258"/>
      <c r="C575" s="180"/>
      <c r="F575" s="180"/>
      <c r="G575" s="180"/>
      <c r="J575" s="180"/>
    </row>
    <row r="576">
      <c r="A576" s="258"/>
      <c r="C576" s="180"/>
      <c r="F576" s="180"/>
      <c r="G576" s="180"/>
      <c r="J576" s="180"/>
    </row>
    <row r="577">
      <c r="A577" s="258"/>
      <c r="C577" s="180"/>
      <c r="F577" s="180"/>
      <c r="G577" s="180"/>
      <c r="J577" s="180"/>
    </row>
    <row r="578">
      <c r="A578" s="258"/>
      <c r="C578" s="180"/>
      <c r="F578" s="180"/>
      <c r="G578" s="180"/>
      <c r="J578" s="180"/>
    </row>
    <row r="579">
      <c r="A579" s="258"/>
      <c r="C579" s="180"/>
      <c r="F579" s="180"/>
      <c r="G579" s="180"/>
      <c r="J579" s="180"/>
    </row>
    <row r="580">
      <c r="A580" s="258"/>
      <c r="C580" s="180"/>
      <c r="F580" s="180"/>
      <c r="G580" s="180"/>
      <c r="J580" s="180"/>
    </row>
    <row r="581">
      <c r="A581" s="258"/>
      <c r="C581" s="180"/>
      <c r="F581" s="180"/>
      <c r="G581" s="180"/>
      <c r="J581" s="180"/>
    </row>
    <row r="582">
      <c r="A582" s="258"/>
      <c r="C582" s="180"/>
      <c r="F582" s="180"/>
      <c r="G582" s="180"/>
      <c r="J582" s="180"/>
    </row>
    <row r="583">
      <c r="A583" s="258"/>
      <c r="C583" s="180"/>
      <c r="F583" s="180"/>
      <c r="G583" s="180"/>
      <c r="J583" s="180"/>
    </row>
    <row r="584">
      <c r="A584" s="258"/>
      <c r="C584" s="180"/>
      <c r="F584" s="180"/>
      <c r="G584" s="180"/>
      <c r="J584" s="180"/>
    </row>
    <row r="585">
      <c r="A585" s="258"/>
      <c r="C585" s="180"/>
      <c r="F585" s="180"/>
      <c r="G585" s="180"/>
      <c r="J585" s="180"/>
    </row>
    <row r="586">
      <c r="A586" s="258"/>
      <c r="C586" s="180"/>
      <c r="F586" s="180"/>
      <c r="G586" s="180"/>
      <c r="J586" s="180"/>
    </row>
    <row r="587">
      <c r="A587" s="258"/>
      <c r="C587" s="180"/>
      <c r="F587" s="180"/>
      <c r="G587" s="180"/>
      <c r="J587" s="180"/>
    </row>
    <row r="588">
      <c r="A588" s="258"/>
      <c r="C588" s="180"/>
      <c r="F588" s="180"/>
      <c r="G588" s="180"/>
      <c r="J588" s="180"/>
    </row>
    <row r="589">
      <c r="A589" s="258"/>
      <c r="C589" s="180"/>
      <c r="F589" s="180"/>
      <c r="G589" s="180"/>
      <c r="J589" s="180"/>
    </row>
    <row r="590">
      <c r="A590" s="258"/>
      <c r="C590" s="180"/>
      <c r="F590" s="180"/>
      <c r="G590" s="180"/>
      <c r="J590" s="180"/>
    </row>
    <row r="591">
      <c r="A591" s="258"/>
      <c r="C591" s="180"/>
      <c r="F591" s="180"/>
      <c r="G591" s="180"/>
      <c r="J591" s="180"/>
    </row>
    <row r="592">
      <c r="A592" s="258"/>
      <c r="C592" s="180"/>
      <c r="F592" s="180"/>
      <c r="G592" s="180"/>
      <c r="J592" s="180"/>
    </row>
    <row r="593">
      <c r="A593" s="258"/>
      <c r="C593" s="180"/>
      <c r="F593" s="180"/>
      <c r="G593" s="180"/>
      <c r="J593" s="180"/>
    </row>
    <row r="594">
      <c r="A594" s="258"/>
      <c r="C594" s="180"/>
      <c r="F594" s="180"/>
      <c r="G594" s="180"/>
      <c r="J594" s="180"/>
    </row>
    <row r="595">
      <c r="A595" s="258"/>
      <c r="C595" s="180"/>
      <c r="F595" s="180"/>
      <c r="G595" s="180"/>
      <c r="J595" s="180"/>
    </row>
    <row r="596">
      <c r="A596" s="258"/>
      <c r="C596" s="180"/>
      <c r="F596" s="180"/>
      <c r="G596" s="180"/>
      <c r="J596" s="180"/>
    </row>
    <row r="597">
      <c r="A597" s="258"/>
      <c r="C597" s="180"/>
      <c r="F597" s="180"/>
      <c r="G597" s="180"/>
      <c r="J597" s="180"/>
    </row>
    <row r="598">
      <c r="A598" s="258"/>
      <c r="C598" s="180"/>
      <c r="F598" s="180"/>
      <c r="G598" s="180"/>
      <c r="J598" s="180"/>
    </row>
    <row r="599">
      <c r="A599" s="258"/>
      <c r="C599" s="180"/>
      <c r="F599" s="180"/>
      <c r="G599" s="180"/>
      <c r="J599" s="180"/>
    </row>
    <row r="600">
      <c r="A600" s="258"/>
      <c r="C600" s="180"/>
      <c r="F600" s="180"/>
      <c r="G600" s="180"/>
      <c r="J600" s="180"/>
    </row>
    <row r="601">
      <c r="A601" s="258"/>
      <c r="C601" s="180"/>
      <c r="F601" s="180"/>
      <c r="G601" s="180"/>
      <c r="J601" s="180"/>
    </row>
    <row r="602">
      <c r="A602" s="258"/>
      <c r="C602" s="180"/>
      <c r="F602" s="180"/>
      <c r="G602" s="180"/>
      <c r="J602" s="180"/>
    </row>
    <row r="603">
      <c r="A603" s="258"/>
      <c r="C603" s="180"/>
      <c r="F603" s="180"/>
      <c r="G603" s="180"/>
      <c r="J603" s="180"/>
    </row>
    <row r="604">
      <c r="A604" s="258"/>
      <c r="C604" s="180"/>
      <c r="F604" s="180"/>
      <c r="G604" s="180"/>
      <c r="J604" s="180"/>
    </row>
    <row r="605">
      <c r="A605" s="258"/>
      <c r="C605" s="180"/>
      <c r="F605" s="180"/>
      <c r="G605" s="180"/>
      <c r="J605" s="180"/>
    </row>
    <row r="606">
      <c r="A606" s="258"/>
      <c r="C606" s="180"/>
      <c r="F606" s="180"/>
      <c r="G606" s="180"/>
      <c r="J606" s="180"/>
    </row>
    <row r="607">
      <c r="A607" s="258"/>
      <c r="C607" s="180"/>
      <c r="F607" s="180"/>
      <c r="G607" s="180"/>
      <c r="J607" s="180"/>
    </row>
    <row r="608">
      <c r="A608" s="258"/>
      <c r="C608" s="180"/>
      <c r="F608" s="180"/>
      <c r="G608" s="180"/>
      <c r="J608" s="180"/>
    </row>
    <row r="609">
      <c r="A609" s="258"/>
      <c r="C609" s="180"/>
      <c r="F609" s="180"/>
      <c r="G609" s="180"/>
      <c r="J609" s="180"/>
    </row>
    <row r="610">
      <c r="A610" s="258"/>
      <c r="C610" s="180"/>
      <c r="F610" s="180"/>
      <c r="G610" s="180"/>
      <c r="J610" s="180"/>
    </row>
    <row r="611">
      <c r="A611" s="258"/>
      <c r="C611" s="180"/>
      <c r="F611" s="180"/>
      <c r="G611" s="180"/>
      <c r="J611" s="180"/>
    </row>
    <row r="612">
      <c r="A612" s="258"/>
      <c r="C612" s="180"/>
      <c r="F612" s="180"/>
      <c r="G612" s="180"/>
      <c r="J612" s="180"/>
    </row>
    <row r="613">
      <c r="A613" s="258"/>
      <c r="C613" s="180"/>
      <c r="F613" s="180"/>
      <c r="G613" s="180"/>
      <c r="J613" s="180"/>
    </row>
    <row r="614">
      <c r="A614" s="258"/>
      <c r="C614" s="180"/>
      <c r="F614" s="180"/>
      <c r="G614" s="180"/>
      <c r="J614" s="180"/>
    </row>
    <row r="615">
      <c r="A615" s="258"/>
      <c r="C615" s="180"/>
      <c r="F615" s="180"/>
      <c r="G615" s="180"/>
      <c r="J615" s="180"/>
    </row>
    <row r="616">
      <c r="A616" s="258"/>
      <c r="C616" s="180"/>
      <c r="F616" s="180"/>
      <c r="G616" s="180"/>
      <c r="J616" s="180"/>
    </row>
    <row r="617">
      <c r="A617" s="258"/>
      <c r="C617" s="180"/>
      <c r="F617" s="180"/>
      <c r="G617" s="180"/>
      <c r="J617" s="180"/>
    </row>
    <row r="618">
      <c r="A618" s="258"/>
      <c r="C618" s="180"/>
      <c r="F618" s="180"/>
      <c r="G618" s="180"/>
      <c r="J618" s="180"/>
    </row>
    <row r="619">
      <c r="A619" s="258"/>
      <c r="C619" s="180"/>
      <c r="F619" s="180"/>
      <c r="G619" s="180"/>
      <c r="J619" s="180"/>
    </row>
    <row r="620">
      <c r="A620" s="258"/>
      <c r="C620" s="180"/>
      <c r="F620" s="180"/>
      <c r="G620" s="180"/>
      <c r="J620" s="180"/>
    </row>
    <row r="621">
      <c r="A621" s="258"/>
      <c r="C621" s="180"/>
      <c r="F621" s="180"/>
      <c r="G621" s="180"/>
      <c r="J621" s="180"/>
    </row>
    <row r="622">
      <c r="A622" s="258"/>
      <c r="C622" s="180"/>
      <c r="F622" s="180"/>
      <c r="G622" s="180"/>
      <c r="J622" s="180"/>
    </row>
    <row r="623">
      <c r="A623" s="258"/>
      <c r="C623" s="180"/>
      <c r="F623" s="180"/>
      <c r="G623" s="180"/>
      <c r="J623" s="180"/>
    </row>
    <row r="624">
      <c r="A624" s="258"/>
      <c r="C624" s="180"/>
      <c r="F624" s="180"/>
      <c r="G624" s="180"/>
      <c r="J624" s="180"/>
    </row>
    <row r="625">
      <c r="A625" s="258"/>
      <c r="C625" s="180"/>
      <c r="F625" s="180"/>
      <c r="G625" s="180"/>
      <c r="J625" s="180"/>
    </row>
    <row r="626">
      <c r="A626" s="258"/>
      <c r="C626" s="180"/>
      <c r="F626" s="180"/>
      <c r="G626" s="180"/>
      <c r="J626" s="180"/>
    </row>
    <row r="627">
      <c r="A627" s="258"/>
      <c r="C627" s="180"/>
      <c r="F627" s="180"/>
      <c r="G627" s="180"/>
      <c r="J627" s="180"/>
    </row>
    <row r="628">
      <c r="A628" s="258"/>
      <c r="C628" s="180"/>
      <c r="F628" s="180"/>
      <c r="G628" s="180"/>
      <c r="J628" s="180"/>
    </row>
    <row r="629">
      <c r="A629" s="258"/>
      <c r="C629" s="180"/>
      <c r="F629" s="180"/>
      <c r="G629" s="180"/>
      <c r="J629" s="180"/>
    </row>
    <row r="630">
      <c r="A630" s="258"/>
      <c r="C630" s="180"/>
      <c r="F630" s="180"/>
      <c r="G630" s="180"/>
      <c r="J630" s="180"/>
    </row>
    <row r="631">
      <c r="A631" s="258"/>
      <c r="C631" s="180"/>
      <c r="F631" s="180"/>
      <c r="G631" s="180"/>
      <c r="J631" s="180"/>
    </row>
    <row r="632">
      <c r="A632" s="258"/>
      <c r="C632" s="180"/>
      <c r="F632" s="180"/>
      <c r="G632" s="180"/>
      <c r="J632" s="180"/>
    </row>
    <row r="633">
      <c r="A633" s="258"/>
      <c r="C633" s="180"/>
      <c r="F633" s="180"/>
      <c r="G633" s="180"/>
      <c r="J633" s="180"/>
    </row>
    <row r="634">
      <c r="A634" s="258"/>
      <c r="C634" s="180"/>
      <c r="F634" s="180"/>
      <c r="G634" s="180"/>
      <c r="J634" s="180"/>
    </row>
    <row r="635">
      <c r="A635" s="258"/>
      <c r="C635" s="180"/>
      <c r="F635" s="180"/>
      <c r="G635" s="180"/>
      <c r="J635" s="180"/>
    </row>
    <row r="636">
      <c r="A636" s="258"/>
      <c r="C636" s="180"/>
      <c r="F636" s="180"/>
      <c r="G636" s="180"/>
      <c r="J636" s="180"/>
    </row>
    <row r="637">
      <c r="A637" s="258"/>
      <c r="C637" s="180"/>
      <c r="F637" s="180"/>
      <c r="G637" s="180"/>
      <c r="J637" s="180"/>
    </row>
    <row r="638">
      <c r="A638" s="258"/>
      <c r="C638" s="180"/>
      <c r="F638" s="180"/>
      <c r="G638" s="180"/>
      <c r="J638" s="180"/>
    </row>
    <row r="639">
      <c r="A639" s="258"/>
      <c r="C639" s="180"/>
      <c r="F639" s="180"/>
      <c r="G639" s="180"/>
      <c r="J639" s="180"/>
    </row>
    <row r="640">
      <c r="A640" s="258"/>
      <c r="C640" s="180"/>
      <c r="F640" s="180"/>
      <c r="G640" s="180"/>
      <c r="J640" s="180"/>
    </row>
    <row r="641">
      <c r="A641" s="258"/>
      <c r="C641" s="180"/>
      <c r="F641" s="180"/>
      <c r="G641" s="180"/>
      <c r="J641" s="180"/>
    </row>
    <row r="642">
      <c r="A642" s="258"/>
      <c r="C642" s="180"/>
      <c r="F642" s="180"/>
      <c r="G642" s="180"/>
      <c r="J642" s="180"/>
    </row>
    <row r="643">
      <c r="A643" s="258"/>
      <c r="C643" s="180"/>
      <c r="F643" s="180"/>
      <c r="G643" s="180"/>
      <c r="J643" s="180"/>
    </row>
    <row r="644">
      <c r="A644" s="258"/>
      <c r="C644" s="180"/>
      <c r="F644" s="180"/>
      <c r="G644" s="180"/>
      <c r="J644" s="180"/>
    </row>
    <row r="645">
      <c r="A645" s="258"/>
      <c r="C645" s="180"/>
      <c r="F645" s="180"/>
      <c r="G645" s="180"/>
      <c r="J645" s="180"/>
    </row>
    <row r="646">
      <c r="A646" s="258"/>
      <c r="C646" s="180"/>
      <c r="F646" s="180"/>
      <c r="G646" s="180"/>
      <c r="J646" s="180"/>
    </row>
    <row r="647">
      <c r="A647" s="258"/>
      <c r="C647" s="180"/>
      <c r="F647" s="180"/>
      <c r="G647" s="180"/>
      <c r="J647" s="180"/>
    </row>
    <row r="648">
      <c r="A648" s="258"/>
      <c r="C648" s="180"/>
      <c r="F648" s="180"/>
      <c r="G648" s="180"/>
      <c r="J648" s="180"/>
    </row>
    <row r="649">
      <c r="A649" s="258"/>
      <c r="C649" s="180"/>
      <c r="F649" s="180"/>
      <c r="G649" s="180"/>
      <c r="J649" s="180"/>
    </row>
    <row r="650">
      <c r="A650" s="258"/>
      <c r="C650" s="180"/>
      <c r="F650" s="180"/>
      <c r="G650" s="180"/>
      <c r="J650" s="180"/>
    </row>
    <row r="651">
      <c r="A651" s="258"/>
      <c r="C651" s="180"/>
      <c r="F651" s="180"/>
      <c r="G651" s="180"/>
      <c r="J651" s="180"/>
    </row>
    <row r="652">
      <c r="A652" s="258"/>
      <c r="C652" s="180"/>
      <c r="F652" s="180"/>
      <c r="G652" s="180"/>
      <c r="J652" s="180"/>
    </row>
    <row r="653">
      <c r="A653" s="258"/>
      <c r="C653" s="180"/>
      <c r="F653" s="180"/>
      <c r="G653" s="180"/>
      <c r="J653" s="180"/>
    </row>
    <row r="654">
      <c r="A654" s="258"/>
      <c r="C654" s="180"/>
      <c r="F654" s="180"/>
      <c r="G654" s="180"/>
      <c r="J654" s="180"/>
    </row>
    <row r="655">
      <c r="A655" s="258"/>
      <c r="C655" s="180"/>
      <c r="F655" s="180"/>
      <c r="G655" s="180"/>
      <c r="J655" s="180"/>
    </row>
    <row r="656">
      <c r="A656" s="258"/>
      <c r="C656" s="180"/>
      <c r="F656" s="180"/>
      <c r="G656" s="180"/>
      <c r="J656" s="180"/>
    </row>
    <row r="657">
      <c r="A657" s="258"/>
      <c r="C657" s="180"/>
      <c r="F657" s="180"/>
      <c r="G657" s="180"/>
      <c r="J657" s="180"/>
    </row>
    <row r="658">
      <c r="A658" s="258"/>
      <c r="C658" s="180"/>
      <c r="F658" s="180"/>
      <c r="G658" s="180"/>
      <c r="J658" s="180"/>
    </row>
    <row r="659">
      <c r="A659" s="258"/>
      <c r="C659" s="180"/>
      <c r="F659" s="180"/>
      <c r="G659" s="180"/>
      <c r="J659" s="180"/>
    </row>
    <row r="660">
      <c r="A660" s="258"/>
      <c r="C660" s="180"/>
      <c r="F660" s="180"/>
      <c r="G660" s="180"/>
      <c r="J660" s="180"/>
    </row>
    <row r="661">
      <c r="A661" s="258"/>
      <c r="C661" s="180"/>
      <c r="F661" s="180"/>
      <c r="G661" s="180"/>
      <c r="J661" s="180"/>
    </row>
    <row r="662">
      <c r="A662" s="258"/>
      <c r="C662" s="180"/>
      <c r="F662" s="180"/>
      <c r="G662" s="180"/>
      <c r="J662" s="180"/>
    </row>
    <row r="663">
      <c r="A663" s="258"/>
      <c r="C663" s="180"/>
      <c r="F663" s="180"/>
      <c r="G663" s="180"/>
      <c r="J663" s="180"/>
    </row>
    <row r="664">
      <c r="A664" s="258"/>
      <c r="C664" s="180"/>
      <c r="F664" s="180"/>
      <c r="G664" s="180"/>
      <c r="J664" s="180"/>
    </row>
    <row r="665">
      <c r="A665" s="258"/>
      <c r="C665" s="180"/>
      <c r="F665" s="180"/>
      <c r="G665" s="180"/>
      <c r="J665" s="180"/>
    </row>
    <row r="666">
      <c r="A666" s="258"/>
      <c r="C666" s="180"/>
      <c r="F666" s="180"/>
      <c r="G666" s="180"/>
      <c r="J666" s="180"/>
    </row>
    <row r="667">
      <c r="A667" s="258"/>
      <c r="C667" s="180"/>
      <c r="F667" s="180"/>
      <c r="G667" s="180"/>
      <c r="J667" s="180"/>
    </row>
    <row r="668">
      <c r="A668" s="258"/>
      <c r="C668" s="180"/>
      <c r="F668" s="180"/>
      <c r="G668" s="180"/>
      <c r="J668" s="180"/>
    </row>
    <row r="669">
      <c r="A669" s="258"/>
      <c r="C669" s="180"/>
      <c r="F669" s="180"/>
      <c r="G669" s="180"/>
      <c r="J669" s="180"/>
    </row>
    <row r="670">
      <c r="A670" s="258"/>
      <c r="C670" s="180"/>
      <c r="F670" s="180"/>
      <c r="G670" s="180"/>
      <c r="J670" s="180"/>
    </row>
    <row r="671">
      <c r="A671" s="258"/>
      <c r="C671" s="180"/>
      <c r="F671" s="180"/>
      <c r="G671" s="180"/>
      <c r="J671" s="180"/>
    </row>
    <row r="672">
      <c r="A672" s="258"/>
      <c r="C672" s="180"/>
      <c r="F672" s="180"/>
      <c r="G672" s="180"/>
      <c r="J672" s="180"/>
    </row>
    <row r="673">
      <c r="A673" s="258"/>
      <c r="C673" s="180"/>
      <c r="F673" s="180"/>
      <c r="G673" s="180"/>
      <c r="J673" s="180"/>
    </row>
    <row r="674">
      <c r="A674" s="258"/>
      <c r="C674" s="180"/>
      <c r="F674" s="180"/>
      <c r="G674" s="180"/>
      <c r="J674" s="180"/>
    </row>
    <row r="675">
      <c r="A675" s="258"/>
      <c r="C675" s="180"/>
      <c r="F675" s="180"/>
      <c r="G675" s="180"/>
      <c r="J675" s="180"/>
    </row>
    <row r="676">
      <c r="A676" s="258"/>
      <c r="C676" s="180"/>
      <c r="F676" s="180"/>
      <c r="G676" s="180"/>
      <c r="J676" s="180"/>
    </row>
    <row r="677">
      <c r="A677" s="258"/>
      <c r="C677" s="180"/>
      <c r="F677" s="180"/>
      <c r="G677" s="180"/>
      <c r="J677" s="180"/>
    </row>
    <row r="678">
      <c r="A678" s="258"/>
      <c r="C678" s="180"/>
      <c r="F678" s="180"/>
      <c r="G678" s="180"/>
      <c r="J678" s="180"/>
    </row>
    <row r="679">
      <c r="A679" s="258"/>
      <c r="C679" s="180"/>
      <c r="F679" s="180"/>
      <c r="G679" s="180"/>
      <c r="J679" s="180"/>
    </row>
    <row r="680">
      <c r="A680" s="258"/>
      <c r="C680" s="180"/>
      <c r="F680" s="180"/>
      <c r="G680" s="180"/>
      <c r="J680" s="180"/>
    </row>
    <row r="681">
      <c r="A681" s="258"/>
      <c r="C681" s="180"/>
      <c r="F681" s="180"/>
      <c r="G681" s="180"/>
      <c r="J681" s="180"/>
    </row>
    <row r="682">
      <c r="A682" s="258"/>
      <c r="C682" s="180"/>
      <c r="F682" s="180"/>
      <c r="G682" s="180"/>
      <c r="J682" s="180"/>
    </row>
    <row r="683">
      <c r="A683" s="258"/>
      <c r="C683" s="180"/>
      <c r="F683" s="180"/>
      <c r="G683" s="180"/>
      <c r="J683" s="180"/>
    </row>
    <row r="684">
      <c r="A684" s="258"/>
      <c r="C684" s="180"/>
      <c r="F684" s="180"/>
      <c r="G684" s="180"/>
      <c r="J684" s="180"/>
    </row>
    <row r="685">
      <c r="A685" s="258"/>
      <c r="C685" s="180"/>
      <c r="F685" s="180"/>
      <c r="G685" s="180"/>
      <c r="J685" s="180"/>
    </row>
    <row r="686">
      <c r="A686" s="258"/>
      <c r="C686" s="180"/>
      <c r="F686" s="180"/>
      <c r="G686" s="180"/>
      <c r="J686" s="180"/>
    </row>
    <row r="687">
      <c r="A687" s="258"/>
      <c r="C687" s="180"/>
      <c r="F687" s="180"/>
      <c r="G687" s="180"/>
      <c r="J687" s="180"/>
    </row>
    <row r="688">
      <c r="A688" s="258"/>
      <c r="C688" s="180"/>
      <c r="F688" s="180"/>
      <c r="G688" s="180"/>
      <c r="J688" s="180"/>
    </row>
    <row r="689">
      <c r="A689" s="258"/>
      <c r="C689" s="180"/>
      <c r="F689" s="180"/>
      <c r="G689" s="180"/>
      <c r="J689" s="180"/>
    </row>
    <row r="690">
      <c r="A690" s="258"/>
      <c r="C690" s="180"/>
      <c r="F690" s="180"/>
      <c r="G690" s="180"/>
      <c r="J690" s="180"/>
    </row>
    <row r="691">
      <c r="A691" s="258"/>
      <c r="C691" s="180"/>
      <c r="F691" s="180"/>
      <c r="G691" s="180"/>
      <c r="J691" s="180"/>
    </row>
    <row r="692">
      <c r="A692" s="258"/>
      <c r="C692" s="180"/>
      <c r="F692" s="180"/>
      <c r="G692" s="180"/>
      <c r="J692" s="180"/>
    </row>
    <row r="693">
      <c r="A693" s="258"/>
      <c r="C693" s="180"/>
      <c r="F693" s="180"/>
      <c r="G693" s="180"/>
      <c r="J693" s="180"/>
    </row>
    <row r="694">
      <c r="A694" s="258"/>
      <c r="C694" s="180"/>
      <c r="F694" s="180"/>
      <c r="G694" s="180"/>
      <c r="J694" s="180"/>
    </row>
    <row r="695">
      <c r="A695" s="258"/>
      <c r="C695" s="180"/>
      <c r="F695" s="180"/>
      <c r="G695" s="180"/>
      <c r="J695" s="180"/>
    </row>
    <row r="696">
      <c r="A696" s="258"/>
      <c r="C696" s="180"/>
      <c r="F696" s="180"/>
      <c r="G696" s="180"/>
      <c r="J696" s="180"/>
    </row>
    <row r="697">
      <c r="A697" s="258"/>
      <c r="C697" s="180"/>
      <c r="F697" s="180"/>
      <c r="G697" s="180"/>
      <c r="J697" s="180"/>
    </row>
    <row r="698">
      <c r="A698" s="258"/>
      <c r="C698" s="180"/>
      <c r="F698" s="180"/>
      <c r="G698" s="180"/>
      <c r="J698" s="180"/>
    </row>
    <row r="699">
      <c r="A699" s="258"/>
      <c r="C699" s="180"/>
      <c r="F699" s="180"/>
      <c r="G699" s="180"/>
      <c r="J699" s="180"/>
    </row>
    <row r="700">
      <c r="A700" s="258"/>
      <c r="C700" s="180"/>
      <c r="F700" s="180"/>
      <c r="G700" s="180"/>
      <c r="J700" s="180"/>
    </row>
    <row r="701">
      <c r="A701" s="258"/>
      <c r="C701" s="180"/>
      <c r="F701" s="180"/>
      <c r="G701" s="180"/>
      <c r="J701" s="180"/>
    </row>
    <row r="702">
      <c r="A702" s="258"/>
      <c r="C702" s="180"/>
      <c r="F702" s="180"/>
      <c r="G702" s="180"/>
      <c r="J702" s="180"/>
    </row>
    <row r="703">
      <c r="A703" s="258"/>
      <c r="C703" s="180"/>
      <c r="F703" s="180"/>
      <c r="G703" s="180"/>
      <c r="J703" s="180"/>
    </row>
    <row r="704">
      <c r="A704" s="258"/>
      <c r="C704" s="180"/>
      <c r="F704" s="180"/>
      <c r="G704" s="180"/>
      <c r="J704" s="180"/>
    </row>
    <row r="705">
      <c r="A705" s="258"/>
      <c r="C705" s="180"/>
      <c r="F705" s="180"/>
      <c r="G705" s="180"/>
      <c r="J705" s="180"/>
    </row>
    <row r="706">
      <c r="A706" s="258"/>
      <c r="C706" s="180"/>
      <c r="F706" s="180"/>
      <c r="G706" s="180"/>
      <c r="J706" s="180"/>
    </row>
    <row r="707">
      <c r="A707" s="258"/>
      <c r="C707" s="180"/>
      <c r="F707" s="180"/>
      <c r="G707" s="180"/>
      <c r="J707" s="180"/>
    </row>
    <row r="708">
      <c r="A708" s="258"/>
      <c r="C708" s="180"/>
      <c r="F708" s="180"/>
      <c r="G708" s="180"/>
      <c r="J708" s="180"/>
    </row>
    <row r="709">
      <c r="A709" s="258"/>
      <c r="C709" s="180"/>
      <c r="F709" s="180"/>
      <c r="G709" s="180"/>
      <c r="J709" s="180"/>
    </row>
    <row r="710">
      <c r="A710" s="258"/>
      <c r="C710" s="180"/>
      <c r="F710" s="180"/>
      <c r="G710" s="180"/>
      <c r="J710" s="180"/>
    </row>
    <row r="711">
      <c r="A711" s="258"/>
      <c r="C711" s="180"/>
      <c r="F711" s="180"/>
      <c r="G711" s="180"/>
      <c r="J711" s="180"/>
    </row>
    <row r="712">
      <c r="A712" s="258"/>
      <c r="C712" s="180"/>
      <c r="F712" s="180"/>
      <c r="G712" s="180"/>
      <c r="J712" s="180"/>
    </row>
    <row r="713">
      <c r="A713" s="258"/>
      <c r="C713" s="180"/>
      <c r="F713" s="180"/>
      <c r="G713" s="180"/>
      <c r="J713" s="180"/>
    </row>
    <row r="714">
      <c r="A714" s="258"/>
      <c r="C714" s="180"/>
      <c r="F714" s="180"/>
      <c r="G714" s="180"/>
      <c r="J714" s="180"/>
    </row>
    <row r="715">
      <c r="A715" s="258"/>
      <c r="C715" s="180"/>
      <c r="F715" s="180"/>
      <c r="G715" s="180"/>
      <c r="J715" s="180"/>
    </row>
    <row r="716">
      <c r="A716" s="258"/>
      <c r="C716" s="180"/>
      <c r="F716" s="180"/>
      <c r="G716" s="180"/>
      <c r="J716" s="180"/>
    </row>
    <row r="717">
      <c r="A717" s="258"/>
      <c r="C717" s="180"/>
      <c r="F717" s="180"/>
      <c r="G717" s="180"/>
      <c r="J717" s="180"/>
    </row>
    <row r="718">
      <c r="A718" s="258"/>
      <c r="C718" s="180"/>
      <c r="F718" s="180"/>
      <c r="G718" s="180"/>
      <c r="J718" s="180"/>
    </row>
    <row r="719">
      <c r="A719" s="258"/>
      <c r="C719" s="180"/>
      <c r="F719" s="180"/>
      <c r="G719" s="180"/>
      <c r="J719" s="180"/>
    </row>
    <row r="720">
      <c r="A720" s="258"/>
      <c r="C720" s="180"/>
      <c r="F720" s="180"/>
      <c r="G720" s="180"/>
      <c r="J720" s="180"/>
    </row>
    <row r="721">
      <c r="A721" s="258"/>
      <c r="C721" s="180"/>
      <c r="F721" s="180"/>
      <c r="G721" s="180"/>
      <c r="J721" s="180"/>
    </row>
    <row r="722">
      <c r="A722" s="258"/>
      <c r="C722" s="180"/>
      <c r="F722" s="180"/>
      <c r="G722" s="180"/>
      <c r="J722" s="180"/>
    </row>
    <row r="723">
      <c r="A723" s="258"/>
      <c r="C723" s="180"/>
      <c r="F723" s="180"/>
      <c r="G723" s="180"/>
      <c r="J723" s="180"/>
    </row>
    <row r="724">
      <c r="A724" s="258"/>
      <c r="C724" s="180"/>
      <c r="F724" s="180"/>
      <c r="G724" s="180"/>
      <c r="J724" s="180"/>
    </row>
    <row r="725">
      <c r="A725" s="258"/>
      <c r="C725" s="180"/>
      <c r="F725" s="180"/>
      <c r="G725" s="180"/>
      <c r="J725" s="180"/>
    </row>
    <row r="726">
      <c r="A726" s="258"/>
      <c r="C726" s="180"/>
      <c r="F726" s="180"/>
      <c r="G726" s="180"/>
      <c r="J726" s="180"/>
    </row>
    <row r="727">
      <c r="A727" s="258"/>
      <c r="C727" s="180"/>
      <c r="F727" s="180"/>
      <c r="G727" s="180"/>
      <c r="J727" s="180"/>
    </row>
    <row r="728">
      <c r="A728" s="258"/>
      <c r="C728" s="180"/>
      <c r="F728" s="180"/>
      <c r="G728" s="180"/>
      <c r="J728" s="180"/>
    </row>
    <row r="729">
      <c r="A729" s="258"/>
      <c r="C729" s="180"/>
      <c r="F729" s="180"/>
      <c r="G729" s="180"/>
      <c r="J729" s="180"/>
    </row>
    <row r="730">
      <c r="A730" s="258"/>
      <c r="C730" s="180"/>
      <c r="F730" s="180"/>
      <c r="G730" s="180"/>
      <c r="J730" s="180"/>
    </row>
    <row r="731">
      <c r="A731" s="258"/>
      <c r="C731" s="180"/>
      <c r="F731" s="180"/>
      <c r="G731" s="180"/>
      <c r="J731" s="180"/>
    </row>
    <row r="732">
      <c r="A732" s="258"/>
      <c r="C732" s="180"/>
      <c r="F732" s="180"/>
      <c r="G732" s="180"/>
      <c r="J732" s="180"/>
    </row>
    <row r="733">
      <c r="A733" s="258"/>
      <c r="C733" s="180"/>
      <c r="F733" s="180"/>
      <c r="G733" s="180"/>
      <c r="J733" s="180"/>
    </row>
    <row r="734">
      <c r="A734" s="258"/>
      <c r="C734" s="180"/>
      <c r="F734" s="180"/>
      <c r="G734" s="180"/>
      <c r="J734" s="180"/>
    </row>
    <row r="735">
      <c r="A735" s="258"/>
      <c r="C735" s="180"/>
      <c r="F735" s="180"/>
      <c r="G735" s="180"/>
      <c r="J735" s="180"/>
    </row>
    <row r="736">
      <c r="A736" s="258"/>
      <c r="C736" s="180"/>
      <c r="F736" s="180"/>
      <c r="G736" s="180"/>
      <c r="J736" s="180"/>
    </row>
    <row r="737">
      <c r="A737" s="258"/>
      <c r="C737" s="180"/>
      <c r="F737" s="180"/>
      <c r="G737" s="180"/>
      <c r="J737" s="180"/>
    </row>
    <row r="738">
      <c r="A738" s="258"/>
      <c r="C738" s="180"/>
      <c r="F738" s="180"/>
      <c r="G738" s="180"/>
      <c r="J738" s="180"/>
    </row>
    <row r="739">
      <c r="A739" s="258"/>
      <c r="C739" s="180"/>
      <c r="F739" s="180"/>
      <c r="G739" s="180"/>
      <c r="J739" s="180"/>
    </row>
    <row r="740">
      <c r="A740" s="258"/>
      <c r="C740" s="180"/>
      <c r="F740" s="180"/>
      <c r="G740" s="180"/>
      <c r="J740" s="180"/>
    </row>
    <row r="741">
      <c r="A741" s="258"/>
      <c r="C741" s="180"/>
      <c r="F741" s="180"/>
      <c r="G741" s="180"/>
      <c r="J741" s="180"/>
    </row>
    <row r="742">
      <c r="A742" s="258"/>
      <c r="C742" s="180"/>
      <c r="F742" s="180"/>
      <c r="G742" s="180"/>
      <c r="J742" s="180"/>
    </row>
    <row r="743">
      <c r="A743" s="258"/>
      <c r="C743" s="180"/>
      <c r="F743" s="180"/>
      <c r="G743" s="180"/>
      <c r="J743" s="180"/>
    </row>
    <row r="744">
      <c r="A744" s="258"/>
      <c r="C744" s="180"/>
      <c r="F744" s="180"/>
      <c r="G744" s="180"/>
      <c r="J744" s="180"/>
    </row>
    <row r="745">
      <c r="A745" s="258"/>
      <c r="C745" s="180"/>
      <c r="F745" s="180"/>
      <c r="G745" s="180"/>
      <c r="J745" s="180"/>
    </row>
    <row r="746">
      <c r="A746" s="258"/>
      <c r="C746" s="180"/>
      <c r="F746" s="180"/>
      <c r="G746" s="180"/>
      <c r="J746" s="180"/>
    </row>
    <row r="747">
      <c r="A747" s="258"/>
      <c r="C747" s="180"/>
      <c r="F747" s="180"/>
      <c r="G747" s="180"/>
      <c r="J747" s="180"/>
    </row>
    <row r="748">
      <c r="A748" s="258"/>
      <c r="C748" s="180"/>
      <c r="F748" s="180"/>
      <c r="G748" s="180"/>
      <c r="J748" s="180"/>
    </row>
    <row r="749">
      <c r="A749" s="258"/>
      <c r="C749" s="180"/>
      <c r="F749" s="180"/>
      <c r="G749" s="180"/>
      <c r="J749" s="180"/>
    </row>
    <row r="750">
      <c r="A750" s="258"/>
      <c r="C750" s="180"/>
      <c r="F750" s="180"/>
      <c r="G750" s="180"/>
      <c r="J750" s="180"/>
    </row>
    <row r="751">
      <c r="A751" s="258"/>
      <c r="C751" s="180"/>
      <c r="F751" s="180"/>
      <c r="G751" s="180"/>
      <c r="J751" s="180"/>
    </row>
    <row r="752">
      <c r="A752" s="258"/>
      <c r="C752" s="180"/>
      <c r="F752" s="180"/>
      <c r="G752" s="180"/>
      <c r="J752" s="180"/>
    </row>
    <row r="753">
      <c r="A753" s="258"/>
      <c r="C753" s="180"/>
      <c r="F753" s="180"/>
      <c r="G753" s="180"/>
      <c r="J753" s="180"/>
    </row>
    <row r="754">
      <c r="A754" s="258"/>
      <c r="C754" s="180"/>
      <c r="F754" s="180"/>
      <c r="G754" s="180"/>
      <c r="J754" s="180"/>
    </row>
    <row r="755">
      <c r="A755" s="258"/>
      <c r="C755" s="180"/>
      <c r="F755" s="180"/>
      <c r="G755" s="180"/>
      <c r="J755" s="180"/>
    </row>
    <row r="756">
      <c r="A756" s="258"/>
      <c r="C756" s="180"/>
      <c r="F756" s="180"/>
      <c r="G756" s="180"/>
      <c r="J756" s="180"/>
    </row>
    <row r="757">
      <c r="A757" s="258"/>
      <c r="C757" s="180"/>
      <c r="F757" s="180"/>
      <c r="G757" s="180"/>
      <c r="J757" s="180"/>
    </row>
    <row r="758">
      <c r="A758" s="258"/>
      <c r="C758" s="180"/>
      <c r="F758" s="180"/>
      <c r="G758" s="180"/>
      <c r="J758" s="180"/>
    </row>
    <row r="759">
      <c r="A759" s="258"/>
      <c r="C759" s="180"/>
      <c r="F759" s="180"/>
      <c r="G759" s="180"/>
      <c r="J759" s="180"/>
    </row>
    <row r="760">
      <c r="A760" s="258"/>
      <c r="C760" s="180"/>
      <c r="F760" s="180"/>
      <c r="G760" s="180"/>
      <c r="J760" s="180"/>
    </row>
    <row r="761">
      <c r="A761" s="258"/>
      <c r="C761" s="180"/>
      <c r="F761" s="180"/>
      <c r="G761" s="180"/>
      <c r="J761" s="180"/>
    </row>
    <row r="762">
      <c r="A762" s="258"/>
      <c r="C762" s="180"/>
      <c r="F762" s="180"/>
      <c r="G762" s="180"/>
      <c r="J762" s="180"/>
    </row>
    <row r="763">
      <c r="A763" s="258"/>
      <c r="C763" s="180"/>
      <c r="F763" s="180"/>
      <c r="G763" s="180"/>
      <c r="J763" s="180"/>
    </row>
    <row r="764">
      <c r="A764" s="258"/>
      <c r="C764" s="180"/>
      <c r="F764" s="180"/>
      <c r="G764" s="180"/>
      <c r="J764" s="180"/>
    </row>
    <row r="765">
      <c r="A765" s="258"/>
      <c r="C765" s="180"/>
      <c r="F765" s="180"/>
      <c r="G765" s="180"/>
      <c r="J765" s="180"/>
    </row>
    <row r="766">
      <c r="A766" s="258"/>
      <c r="C766" s="180"/>
      <c r="F766" s="180"/>
      <c r="G766" s="180"/>
      <c r="J766" s="180"/>
    </row>
    <row r="767">
      <c r="A767" s="258"/>
      <c r="C767" s="180"/>
      <c r="F767" s="180"/>
      <c r="G767" s="180"/>
      <c r="J767" s="180"/>
    </row>
    <row r="768">
      <c r="A768" s="258"/>
      <c r="C768" s="180"/>
      <c r="F768" s="180"/>
      <c r="G768" s="180"/>
      <c r="J768" s="180"/>
    </row>
    <row r="769">
      <c r="A769" s="258"/>
      <c r="C769" s="180"/>
      <c r="F769" s="180"/>
      <c r="G769" s="180"/>
      <c r="J769" s="180"/>
    </row>
    <row r="770">
      <c r="A770" s="258"/>
      <c r="C770" s="180"/>
      <c r="F770" s="180"/>
      <c r="G770" s="180"/>
      <c r="J770" s="180"/>
    </row>
    <row r="771">
      <c r="A771" s="258"/>
      <c r="C771" s="180"/>
      <c r="F771" s="180"/>
      <c r="G771" s="180"/>
      <c r="J771" s="180"/>
    </row>
    <row r="772">
      <c r="A772" s="258"/>
      <c r="C772" s="180"/>
      <c r="F772" s="180"/>
      <c r="G772" s="180"/>
      <c r="J772" s="180"/>
    </row>
    <row r="773">
      <c r="A773" s="258"/>
      <c r="C773" s="180"/>
      <c r="F773" s="180"/>
      <c r="G773" s="180"/>
      <c r="J773" s="180"/>
    </row>
    <row r="774">
      <c r="A774" s="258"/>
      <c r="C774" s="180"/>
      <c r="F774" s="180"/>
      <c r="G774" s="180"/>
      <c r="J774" s="180"/>
    </row>
    <row r="775">
      <c r="A775" s="258"/>
      <c r="C775" s="180"/>
      <c r="F775" s="180"/>
      <c r="G775" s="180"/>
      <c r="J775" s="180"/>
    </row>
    <row r="776">
      <c r="A776" s="258"/>
      <c r="C776" s="180"/>
      <c r="F776" s="180"/>
      <c r="G776" s="180"/>
      <c r="J776" s="180"/>
    </row>
    <row r="777">
      <c r="A777" s="258"/>
      <c r="C777" s="180"/>
      <c r="F777" s="180"/>
      <c r="G777" s="180"/>
      <c r="J777" s="180"/>
    </row>
    <row r="778">
      <c r="A778" s="258"/>
      <c r="C778" s="180"/>
      <c r="F778" s="180"/>
      <c r="G778" s="180"/>
      <c r="J778" s="180"/>
    </row>
    <row r="779">
      <c r="A779" s="258"/>
      <c r="C779" s="180"/>
      <c r="F779" s="180"/>
      <c r="G779" s="180"/>
      <c r="J779" s="180"/>
    </row>
    <row r="780">
      <c r="A780" s="258"/>
      <c r="C780" s="180"/>
      <c r="F780" s="180"/>
      <c r="G780" s="180"/>
      <c r="J780" s="180"/>
    </row>
    <row r="781">
      <c r="A781" s="258"/>
      <c r="C781" s="180"/>
      <c r="F781" s="180"/>
      <c r="G781" s="180"/>
      <c r="J781" s="180"/>
    </row>
    <row r="782">
      <c r="A782" s="258"/>
      <c r="C782" s="180"/>
      <c r="F782" s="180"/>
      <c r="G782" s="180"/>
      <c r="J782" s="180"/>
    </row>
    <row r="783">
      <c r="A783" s="258"/>
      <c r="C783" s="180"/>
      <c r="F783" s="180"/>
      <c r="G783" s="180"/>
      <c r="J783" s="180"/>
    </row>
    <row r="784">
      <c r="A784" s="258"/>
      <c r="C784" s="180"/>
      <c r="F784" s="180"/>
      <c r="G784" s="180"/>
      <c r="J784" s="180"/>
    </row>
    <row r="785">
      <c r="A785" s="258"/>
      <c r="C785" s="180"/>
      <c r="F785" s="180"/>
      <c r="G785" s="180"/>
      <c r="J785" s="180"/>
    </row>
    <row r="786">
      <c r="A786" s="258"/>
      <c r="C786" s="180"/>
      <c r="F786" s="180"/>
      <c r="G786" s="180"/>
      <c r="J786" s="180"/>
    </row>
    <row r="787">
      <c r="A787" s="258"/>
      <c r="C787" s="180"/>
      <c r="F787" s="180"/>
      <c r="G787" s="180"/>
      <c r="J787" s="180"/>
    </row>
    <row r="788">
      <c r="A788" s="258"/>
      <c r="C788" s="180"/>
      <c r="F788" s="180"/>
      <c r="G788" s="180"/>
      <c r="J788" s="180"/>
    </row>
    <row r="789">
      <c r="A789" s="258"/>
      <c r="C789" s="180"/>
      <c r="F789" s="180"/>
      <c r="G789" s="180"/>
      <c r="J789" s="180"/>
    </row>
    <row r="790">
      <c r="A790" s="258"/>
      <c r="C790" s="180"/>
      <c r="F790" s="180"/>
      <c r="G790" s="180"/>
      <c r="J790" s="180"/>
    </row>
    <row r="791">
      <c r="A791" s="258"/>
      <c r="C791" s="180"/>
      <c r="F791" s="180"/>
      <c r="G791" s="180"/>
      <c r="J791" s="180"/>
    </row>
    <row r="792">
      <c r="A792" s="258"/>
      <c r="C792" s="180"/>
      <c r="F792" s="180"/>
      <c r="G792" s="180"/>
      <c r="J792" s="180"/>
    </row>
    <row r="793">
      <c r="A793" s="258"/>
      <c r="C793" s="180"/>
      <c r="F793" s="180"/>
      <c r="G793" s="180"/>
      <c r="J793" s="180"/>
    </row>
    <row r="794">
      <c r="A794" s="258"/>
      <c r="C794" s="180"/>
      <c r="F794" s="180"/>
      <c r="G794" s="180"/>
      <c r="J794" s="180"/>
    </row>
    <row r="795">
      <c r="A795" s="258"/>
      <c r="C795" s="180"/>
      <c r="F795" s="180"/>
      <c r="G795" s="180"/>
      <c r="J795" s="180"/>
    </row>
    <row r="796">
      <c r="A796" s="258"/>
      <c r="C796" s="180"/>
      <c r="F796" s="180"/>
      <c r="G796" s="180"/>
      <c r="J796" s="180"/>
    </row>
    <row r="797">
      <c r="A797" s="258"/>
      <c r="C797" s="180"/>
      <c r="F797" s="180"/>
      <c r="G797" s="180"/>
      <c r="J797" s="180"/>
    </row>
    <row r="798">
      <c r="A798" s="258"/>
      <c r="C798" s="180"/>
      <c r="F798" s="180"/>
      <c r="G798" s="180"/>
      <c r="J798" s="180"/>
    </row>
    <row r="799">
      <c r="A799" s="258"/>
      <c r="C799" s="180"/>
      <c r="F799" s="180"/>
      <c r="G799" s="180"/>
      <c r="J799" s="180"/>
    </row>
    <row r="800">
      <c r="A800" s="258"/>
      <c r="C800" s="180"/>
      <c r="F800" s="180"/>
      <c r="G800" s="180"/>
      <c r="J800" s="180"/>
    </row>
    <row r="801">
      <c r="A801" s="258"/>
      <c r="C801" s="180"/>
      <c r="F801" s="180"/>
      <c r="G801" s="180"/>
      <c r="J801" s="180"/>
    </row>
    <row r="802">
      <c r="A802" s="258"/>
      <c r="C802" s="180"/>
      <c r="F802" s="180"/>
      <c r="G802" s="180"/>
      <c r="J802" s="180"/>
    </row>
    <row r="803">
      <c r="A803" s="258"/>
      <c r="C803" s="180"/>
      <c r="F803" s="180"/>
      <c r="G803" s="180"/>
      <c r="J803" s="180"/>
    </row>
    <row r="804">
      <c r="A804" s="258"/>
      <c r="C804" s="180"/>
      <c r="F804" s="180"/>
      <c r="G804" s="180"/>
      <c r="J804" s="180"/>
    </row>
    <row r="805">
      <c r="A805" s="258"/>
      <c r="C805" s="180"/>
      <c r="F805" s="180"/>
      <c r="G805" s="180"/>
      <c r="J805" s="180"/>
    </row>
    <row r="806">
      <c r="A806" s="258"/>
      <c r="C806" s="180"/>
      <c r="F806" s="180"/>
      <c r="G806" s="180"/>
      <c r="J806" s="180"/>
    </row>
    <row r="807">
      <c r="A807" s="258"/>
      <c r="C807" s="180"/>
      <c r="F807" s="180"/>
      <c r="G807" s="180"/>
      <c r="J807" s="180"/>
    </row>
    <row r="808">
      <c r="A808" s="258"/>
      <c r="C808" s="180"/>
      <c r="F808" s="180"/>
      <c r="G808" s="180"/>
      <c r="J808" s="180"/>
    </row>
    <row r="809">
      <c r="A809" s="258"/>
      <c r="C809" s="180"/>
      <c r="F809" s="180"/>
      <c r="G809" s="180"/>
      <c r="J809" s="180"/>
    </row>
    <row r="810">
      <c r="A810" s="258"/>
      <c r="C810" s="180"/>
      <c r="F810" s="180"/>
      <c r="G810" s="180"/>
      <c r="J810" s="180"/>
    </row>
    <row r="811">
      <c r="A811" s="258"/>
      <c r="C811" s="180"/>
      <c r="F811" s="180"/>
      <c r="G811" s="180"/>
      <c r="J811" s="180"/>
    </row>
    <row r="812">
      <c r="A812" s="258"/>
      <c r="C812" s="180"/>
      <c r="F812" s="180"/>
      <c r="G812" s="180"/>
      <c r="J812" s="180"/>
    </row>
    <row r="813">
      <c r="A813" s="258"/>
      <c r="C813" s="180"/>
      <c r="F813" s="180"/>
      <c r="G813" s="180"/>
      <c r="J813" s="180"/>
    </row>
    <row r="814">
      <c r="A814" s="258"/>
      <c r="C814" s="180"/>
      <c r="F814" s="180"/>
      <c r="G814" s="180"/>
      <c r="J814" s="180"/>
    </row>
    <row r="815">
      <c r="A815" s="258"/>
      <c r="C815" s="180"/>
      <c r="F815" s="180"/>
      <c r="G815" s="180"/>
      <c r="J815" s="180"/>
    </row>
    <row r="816">
      <c r="A816" s="258"/>
      <c r="C816" s="180"/>
      <c r="F816" s="180"/>
      <c r="G816" s="180"/>
      <c r="J816" s="180"/>
    </row>
    <row r="817">
      <c r="A817" s="258"/>
      <c r="C817" s="180"/>
      <c r="F817" s="180"/>
      <c r="G817" s="180"/>
      <c r="J817" s="180"/>
    </row>
    <row r="818">
      <c r="A818" s="258"/>
      <c r="C818" s="180"/>
      <c r="F818" s="180"/>
      <c r="G818" s="180"/>
      <c r="J818" s="180"/>
    </row>
    <row r="819">
      <c r="A819" s="258"/>
      <c r="C819" s="180"/>
      <c r="F819" s="180"/>
      <c r="G819" s="180"/>
      <c r="J819" s="180"/>
    </row>
    <row r="820">
      <c r="A820" s="258"/>
      <c r="C820" s="180"/>
      <c r="F820" s="180"/>
      <c r="G820" s="180"/>
      <c r="J820" s="180"/>
    </row>
    <row r="821">
      <c r="A821" s="258"/>
      <c r="C821" s="180"/>
      <c r="F821" s="180"/>
      <c r="G821" s="180"/>
      <c r="J821" s="180"/>
    </row>
    <row r="822">
      <c r="A822" s="258"/>
      <c r="C822" s="180"/>
      <c r="F822" s="180"/>
      <c r="G822" s="180"/>
      <c r="J822" s="180"/>
    </row>
    <row r="823">
      <c r="A823" s="258"/>
      <c r="C823" s="180"/>
      <c r="F823" s="180"/>
      <c r="G823" s="180"/>
      <c r="J823" s="180"/>
    </row>
    <row r="824">
      <c r="A824" s="258"/>
      <c r="C824" s="180"/>
      <c r="F824" s="180"/>
      <c r="G824" s="180"/>
      <c r="J824" s="180"/>
    </row>
    <row r="825">
      <c r="A825" s="258"/>
      <c r="C825" s="180"/>
      <c r="F825" s="180"/>
      <c r="G825" s="180"/>
      <c r="J825" s="180"/>
    </row>
    <row r="826">
      <c r="A826" s="258"/>
      <c r="C826" s="180"/>
      <c r="F826" s="180"/>
      <c r="G826" s="180"/>
      <c r="J826" s="180"/>
    </row>
    <row r="827">
      <c r="A827" s="258"/>
      <c r="C827" s="180"/>
      <c r="F827" s="180"/>
      <c r="G827" s="180"/>
      <c r="J827" s="180"/>
    </row>
    <row r="828">
      <c r="A828" s="258"/>
      <c r="C828" s="180"/>
      <c r="F828" s="180"/>
      <c r="G828" s="180"/>
      <c r="J828" s="180"/>
    </row>
    <row r="829">
      <c r="A829" s="258"/>
      <c r="C829" s="180"/>
      <c r="F829" s="180"/>
      <c r="G829" s="180"/>
      <c r="J829" s="180"/>
    </row>
    <row r="830">
      <c r="A830" s="258"/>
      <c r="C830" s="180"/>
      <c r="F830" s="180"/>
      <c r="G830" s="180"/>
      <c r="J830" s="180"/>
    </row>
    <row r="831">
      <c r="A831" s="258"/>
      <c r="C831" s="180"/>
      <c r="F831" s="180"/>
      <c r="G831" s="180"/>
      <c r="J831" s="180"/>
    </row>
    <row r="832">
      <c r="A832" s="258"/>
      <c r="C832" s="180"/>
      <c r="F832" s="180"/>
      <c r="G832" s="180"/>
      <c r="J832" s="180"/>
    </row>
    <row r="833">
      <c r="A833" s="258"/>
      <c r="C833" s="180"/>
      <c r="F833" s="180"/>
      <c r="G833" s="180"/>
      <c r="J833" s="180"/>
    </row>
    <row r="834">
      <c r="A834" s="258"/>
      <c r="C834" s="180"/>
      <c r="F834" s="180"/>
      <c r="G834" s="180"/>
      <c r="J834" s="180"/>
    </row>
    <row r="835">
      <c r="A835" s="258"/>
      <c r="C835" s="180"/>
      <c r="F835" s="180"/>
      <c r="G835" s="180"/>
      <c r="J835" s="180"/>
    </row>
    <row r="836">
      <c r="A836" s="258"/>
      <c r="C836" s="180"/>
      <c r="F836" s="180"/>
      <c r="G836" s="180"/>
      <c r="J836" s="180"/>
    </row>
    <row r="837">
      <c r="A837" s="258"/>
      <c r="C837" s="180"/>
      <c r="F837" s="180"/>
      <c r="G837" s="180"/>
      <c r="J837" s="180"/>
    </row>
    <row r="838">
      <c r="A838" s="258"/>
      <c r="C838" s="180"/>
      <c r="F838" s="180"/>
      <c r="G838" s="180"/>
      <c r="J838" s="180"/>
    </row>
    <row r="839">
      <c r="A839" s="258"/>
      <c r="C839" s="180"/>
      <c r="F839" s="180"/>
      <c r="G839" s="180"/>
      <c r="J839" s="180"/>
    </row>
    <row r="840">
      <c r="A840" s="258"/>
      <c r="C840" s="180"/>
      <c r="F840" s="180"/>
      <c r="G840" s="180"/>
      <c r="J840" s="180"/>
    </row>
    <row r="841">
      <c r="A841" s="258"/>
      <c r="C841" s="180"/>
      <c r="F841" s="180"/>
      <c r="G841" s="180"/>
      <c r="J841" s="180"/>
    </row>
    <row r="842">
      <c r="A842" s="258"/>
      <c r="C842" s="180"/>
      <c r="F842" s="180"/>
      <c r="G842" s="180"/>
      <c r="J842" s="180"/>
    </row>
    <row r="843">
      <c r="A843" s="258"/>
      <c r="C843" s="180"/>
      <c r="F843" s="180"/>
      <c r="G843" s="180"/>
      <c r="J843" s="180"/>
    </row>
    <row r="844">
      <c r="A844" s="258"/>
      <c r="C844" s="180"/>
      <c r="F844" s="180"/>
      <c r="G844" s="180"/>
      <c r="J844" s="180"/>
    </row>
    <row r="845">
      <c r="A845" s="258"/>
      <c r="C845" s="180"/>
      <c r="F845" s="180"/>
      <c r="G845" s="180"/>
      <c r="J845" s="180"/>
    </row>
    <row r="846">
      <c r="A846" s="258"/>
      <c r="C846" s="180"/>
      <c r="F846" s="180"/>
      <c r="G846" s="180"/>
      <c r="J846" s="180"/>
    </row>
    <row r="847">
      <c r="A847" s="258"/>
      <c r="C847" s="180"/>
      <c r="F847" s="180"/>
      <c r="G847" s="180"/>
      <c r="J847" s="180"/>
    </row>
    <row r="848">
      <c r="A848" s="258"/>
      <c r="C848" s="180"/>
      <c r="F848" s="180"/>
      <c r="G848" s="180"/>
      <c r="J848" s="180"/>
    </row>
    <row r="849">
      <c r="A849" s="258"/>
      <c r="C849" s="180"/>
      <c r="F849" s="180"/>
      <c r="G849" s="180"/>
      <c r="J849" s="180"/>
    </row>
    <row r="850">
      <c r="A850" s="258"/>
      <c r="C850" s="180"/>
      <c r="F850" s="180"/>
      <c r="G850" s="180"/>
      <c r="J850" s="180"/>
    </row>
    <row r="851">
      <c r="A851" s="258"/>
      <c r="C851" s="180"/>
      <c r="F851" s="180"/>
      <c r="G851" s="180"/>
      <c r="J851" s="180"/>
    </row>
    <row r="852">
      <c r="A852" s="258"/>
      <c r="C852" s="180"/>
      <c r="F852" s="180"/>
      <c r="G852" s="180"/>
      <c r="J852" s="180"/>
    </row>
    <row r="853">
      <c r="A853" s="258"/>
      <c r="C853" s="180"/>
      <c r="F853" s="180"/>
      <c r="G853" s="180"/>
      <c r="J853" s="180"/>
    </row>
    <row r="854">
      <c r="A854" s="258"/>
      <c r="C854" s="180"/>
      <c r="F854" s="180"/>
      <c r="G854" s="180"/>
      <c r="J854" s="180"/>
    </row>
    <row r="855">
      <c r="A855" s="258"/>
      <c r="C855" s="180"/>
      <c r="F855" s="180"/>
      <c r="G855" s="180"/>
      <c r="J855" s="180"/>
    </row>
    <row r="856">
      <c r="A856" s="258"/>
      <c r="C856" s="180"/>
      <c r="F856" s="180"/>
      <c r="G856" s="180"/>
      <c r="J856" s="180"/>
    </row>
    <row r="857">
      <c r="A857" s="258"/>
      <c r="C857" s="180"/>
      <c r="F857" s="180"/>
      <c r="G857" s="180"/>
      <c r="J857" s="180"/>
    </row>
    <row r="858">
      <c r="A858" s="258"/>
      <c r="C858" s="180"/>
      <c r="F858" s="180"/>
      <c r="G858" s="180"/>
      <c r="J858" s="180"/>
    </row>
    <row r="859">
      <c r="A859" s="258"/>
      <c r="C859" s="180"/>
      <c r="F859" s="180"/>
      <c r="G859" s="180"/>
      <c r="J859" s="180"/>
    </row>
    <row r="860">
      <c r="A860" s="258"/>
      <c r="C860" s="180"/>
      <c r="F860" s="180"/>
      <c r="G860" s="180"/>
      <c r="J860" s="180"/>
    </row>
    <row r="861">
      <c r="A861" s="258"/>
      <c r="C861" s="180"/>
      <c r="F861" s="180"/>
      <c r="G861" s="180"/>
      <c r="J861" s="180"/>
    </row>
    <row r="862">
      <c r="A862" s="258"/>
      <c r="C862" s="180"/>
      <c r="F862" s="180"/>
      <c r="G862" s="180"/>
      <c r="J862" s="180"/>
    </row>
    <row r="863">
      <c r="A863" s="258"/>
      <c r="C863" s="180"/>
      <c r="F863" s="180"/>
      <c r="G863" s="180"/>
      <c r="J863" s="180"/>
    </row>
    <row r="864">
      <c r="A864" s="258"/>
      <c r="C864" s="180"/>
      <c r="F864" s="180"/>
      <c r="G864" s="180"/>
      <c r="J864" s="180"/>
    </row>
    <row r="865">
      <c r="A865" s="258"/>
      <c r="C865" s="180"/>
      <c r="F865" s="180"/>
      <c r="G865" s="180"/>
      <c r="J865" s="180"/>
    </row>
    <row r="866">
      <c r="A866" s="258"/>
      <c r="C866" s="180"/>
      <c r="F866" s="180"/>
      <c r="G866" s="180"/>
      <c r="J866" s="180"/>
    </row>
    <row r="867">
      <c r="A867" s="258"/>
      <c r="C867" s="180"/>
      <c r="F867" s="180"/>
      <c r="G867" s="180"/>
      <c r="J867" s="180"/>
    </row>
    <row r="868">
      <c r="A868" s="258"/>
      <c r="C868" s="180"/>
      <c r="F868" s="180"/>
      <c r="G868" s="180"/>
      <c r="J868" s="180"/>
    </row>
    <row r="869">
      <c r="A869" s="258"/>
      <c r="C869" s="180"/>
      <c r="F869" s="180"/>
      <c r="G869" s="180"/>
      <c r="J869" s="180"/>
    </row>
    <row r="870">
      <c r="A870" s="258"/>
      <c r="C870" s="180"/>
      <c r="F870" s="180"/>
      <c r="G870" s="180"/>
      <c r="J870" s="180"/>
    </row>
    <row r="871">
      <c r="A871" s="258"/>
      <c r="C871" s="180"/>
      <c r="F871" s="180"/>
      <c r="G871" s="180"/>
      <c r="J871" s="180"/>
    </row>
    <row r="872">
      <c r="A872" s="258"/>
      <c r="C872" s="180"/>
      <c r="F872" s="180"/>
      <c r="G872" s="180"/>
      <c r="J872" s="180"/>
    </row>
    <row r="873">
      <c r="A873" s="258"/>
      <c r="C873" s="180"/>
      <c r="F873" s="180"/>
      <c r="G873" s="180"/>
      <c r="J873" s="180"/>
    </row>
    <row r="874">
      <c r="A874" s="258"/>
      <c r="C874" s="180"/>
      <c r="F874" s="180"/>
      <c r="G874" s="180"/>
      <c r="J874" s="180"/>
    </row>
    <row r="875">
      <c r="A875" s="258"/>
      <c r="C875" s="180"/>
      <c r="F875" s="180"/>
      <c r="G875" s="180"/>
      <c r="J875" s="180"/>
    </row>
    <row r="876">
      <c r="A876" s="258"/>
      <c r="C876" s="180"/>
      <c r="F876" s="180"/>
      <c r="G876" s="180"/>
      <c r="J876" s="180"/>
    </row>
    <row r="877">
      <c r="A877" s="258"/>
      <c r="C877" s="180"/>
      <c r="F877" s="180"/>
      <c r="G877" s="180"/>
      <c r="J877" s="180"/>
    </row>
    <row r="878">
      <c r="A878" s="258"/>
      <c r="C878" s="180"/>
      <c r="F878" s="180"/>
      <c r="G878" s="180"/>
      <c r="J878" s="180"/>
    </row>
    <row r="879">
      <c r="A879" s="258"/>
      <c r="C879" s="180"/>
      <c r="F879" s="180"/>
      <c r="G879" s="180"/>
      <c r="J879" s="180"/>
    </row>
    <row r="880">
      <c r="A880" s="258"/>
      <c r="C880" s="180"/>
      <c r="F880" s="180"/>
      <c r="G880" s="180"/>
      <c r="J880" s="180"/>
    </row>
    <row r="881">
      <c r="A881" s="258"/>
      <c r="C881" s="180"/>
      <c r="F881" s="180"/>
      <c r="G881" s="180"/>
      <c r="J881" s="180"/>
    </row>
    <row r="882">
      <c r="A882" s="258"/>
      <c r="C882" s="180"/>
      <c r="F882" s="180"/>
      <c r="G882" s="180"/>
      <c r="J882" s="180"/>
    </row>
    <row r="883">
      <c r="A883" s="258"/>
      <c r="C883" s="180"/>
      <c r="F883" s="180"/>
      <c r="G883" s="180"/>
      <c r="J883" s="180"/>
    </row>
    <row r="884">
      <c r="A884" s="258"/>
      <c r="C884" s="180"/>
      <c r="F884" s="180"/>
      <c r="G884" s="180"/>
      <c r="J884" s="180"/>
    </row>
    <row r="885">
      <c r="A885" s="258"/>
      <c r="C885" s="180"/>
      <c r="F885" s="180"/>
      <c r="G885" s="180"/>
      <c r="J885" s="180"/>
    </row>
    <row r="886">
      <c r="A886" s="258"/>
      <c r="C886" s="180"/>
      <c r="F886" s="180"/>
      <c r="G886" s="180"/>
      <c r="J886" s="180"/>
    </row>
    <row r="887">
      <c r="A887" s="258"/>
      <c r="C887" s="180"/>
      <c r="F887" s="180"/>
      <c r="G887" s="180"/>
      <c r="J887" s="180"/>
    </row>
    <row r="888">
      <c r="A888" s="258"/>
      <c r="C888" s="180"/>
      <c r="F888" s="180"/>
      <c r="G888" s="180"/>
      <c r="J888" s="180"/>
    </row>
    <row r="889">
      <c r="A889" s="258"/>
      <c r="C889" s="180"/>
      <c r="F889" s="180"/>
      <c r="G889" s="180"/>
      <c r="J889" s="180"/>
    </row>
    <row r="890">
      <c r="A890" s="258"/>
      <c r="C890" s="180"/>
      <c r="F890" s="180"/>
      <c r="G890" s="180"/>
      <c r="J890" s="180"/>
    </row>
    <row r="891">
      <c r="A891" s="258"/>
      <c r="C891" s="180"/>
      <c r="F891" s="180"/>
      <c r="G891" s="180"/>
      <c r="J891" s="180"/>
    </row>
    <row r="892">
      <c r="A892" s="258"/>
      <c r="C892" s="180"/>
      <c r="F892" s="180"/>
      <c r="G892" s="180"/>
      <c r="J892" s="180"/>
    </row>
    <row r="893">
      <c r="A893" s="258"/>
      <c r="C893" s="180"/>
      <c r="F893" s="180"/>
      <c r="G893" s="180"/>
      <c r="J893" s="180"/>
    </row>
    <row r="894">
      <c r="A894" s="258"/>
      <c r="C894" s="180"/>
      <c r="F894" s="180"/>
      <c r="G894" s="180"/>
      <c r="J894" s="180"/>
    </row>
    <row r="895">
      <c r="A895" s="258"/>
      <c r="C895" s="180"/>
      <c r="F895" s="180"/>
      <c r="G895" s="180"/>
      <c r="J895" s="180"/>
    </row>
    <row r="896">
      <c r="A896" s="258"/>
      <c r="C896" s="180"/>
      <c r="F896" s="180"/>
      <c r="G896" s="180"/>
      <c r="J896" s="180"/>
    </row>
    <row r="897">
      <c r="A897" s="258"/>
      <c r="C897" s="180"/>
      <c r="F897" s="180"/>
      <c r="G897" s="180"/>
      <c r="J897" s="180"/>
    </row>
    <row r="898">
      <c r="A898" s="258"/>
      <c r="C898" s="180"/>
      <c r="F898" s="180"/>
      <c r="G898" s="180"/>
      <c r="J898" s="180"/>
    </row>
    <row r="899">
      <c r="A899" s="258"/>
      <c r="C899" s="180"/>
      <c r="F899" s="180"/>
      <c r="G899" s="180"/>
      <c r="J899" s="180"/>
    </row>
    <row r="900">
      <c r="A900" s="258"/>
      <c r="C900" s="180"/>
      <c r="F900" s="180"/>
      <c r="G900" s="180"/>
      <c r="J900" s="180"/>
    </row>
    <row r="901">
      <c r="A901" s="258"/>
      <c r="C901" s="180"/>
      <c r="F901" s="180"/>
      <c r="G901" s="180"/>
      <c r="J901" s="180"/>
    </row>
    <row r="902">
      <c r="A902" s="258"/>
      <c r="C902" s="180"/>
      <c r="F902" s="180"/>
      <c r="G902" s="180"/>
      <c r="J902" s="180"/>
    </row>
    <row r="903">
      <c r="A903" s="258"/>
      <c r="C903" s="180"/>
      <c r="F903" s="180"/>
      <c r="G903" s="180"/>
      <c r="J903" s="180"/>
    </row>
    <row r="904">
      <c r="A904" s="258"/>
      <c r="C904" s="180"/>
      <c r="F904" s="180"/>
      <c r="G904" s="180"/>
      <c r="J904" s="180"/>
    </row>
    <row r="905">
      <c r="A905" s="258"/>
      <c r="C905" s="180"/>
      <c r="F905" s="180"/>
      <c r="G905" s="180"/>
      <c r="J905" s="180"/>
    </row>
    <row r="906">
      <c r="A906" s="258"/>
      <c r="C906" s="180"/>
      <c r="F906" s="180"/>
      <c r="G906" s="180"/>
      <c r="J906" s="180"/>
    </row>
    <row r="907">
      <c r="A907" s="258"/>
      <c r="C907" s="180"/>
      <c r="F907" s="180"/>
      <c r="G907" s="180"/>
      <c r="J907" s="180"/>
    </row>
    <row r="908">
      <c r="A908" s="258"/>
      <c r="C908" s="180"/>
      <c r="F908" s="180"/>
      <c r="G908" s="180"/>
      <c r="J908" s="180"/>
    </row>
    <row r="909">
      <c r="A909" s="258"/>
      <c r="C909" s="180"/>
      <c r="F909" s="180"/>
      <c r="G909" s="180"/>
      <c r="J909" s="180"/>
    </row>
    <row r="910">
      <c r="A910" s="258"/>
      <c r="C910" s="180"/>
      <c r="F910" s="180"/>
      <c r="G910" s="180"/>
      <c r="J910" s="180"/>
    </row>
    <row r="911">
      <c r="A911" s="258"/>
      <c r="C911" s="180"/>
      <c r="F911" s="180"/>
      <c r="G911" s="180"/>
      <c r="J911" s="180"/>
    </row>
    <row r="912">
      <c r="A912" s="258"/>
      <c r="C912" s="180"/>
      <c r="F912" s="180"/>
      <c r="G912" s="180"/>
      <c r="J912" s="180"/>
    </row>
    <row r="913">
      <c r="A913" s="258"/>
      <c r="C913" s="180"/>
      <c r="F913" s="180"/>
      <c r="G913" s="180"/>
      <c r="J913" s="180"/>
    </row>
    <row r="914">
      <c r="A914" s="258"/>
      <c r="C914" s="180"/>
      <c r="F914" s="180"/>
      <c r="G914" s="180"/>
      <c r="J914" s="180"/>
    </row>
    <row r="915">
      <c r="A915" s="258"/>
      <c r="C915" s="180"/>
      <c r="F915" s="180"/>
      <c r="G915" s="180"/>
      <c r="J915" s="180"/>
    </row>
    <row r="916">
      <c r="A916" s="258"/>
      <c r="C916" s="180"/>
      <c r="F916" s="180"/>
      <c r="G916" s="180"/>
      <c r="J916" s="180"/>
    </row>
    <row r="917">
      <c r="A917" s="258"/>
      <c r="C917" s="180"/>
      <c r="F917" s="180"/>
      <c r="G917" s="180"/>
      <c r="J917" s="180"/>
    </row>
    <row r="918">
      <c r="A918" s="258"/>
      <c r="C918" s="180"/>
      <c r="F918" s="180"/>
      <c r="G918" s="180"/>
      <c r="J918" s="180"/>
    </row>
    <row r="919">
      <c r="A919" s="258"/>
      <c r="C919" s="180"/>
      <c r="F919" s="180"/>
      <c r="G919" s="180"/>
      <c r="J919" s="180"/>
    </row>
    <row r="920">
      <c r="A920" s="258"/>
      <c r="C920" s="180"/>
      <c r="F920" s="180"/>
      <c r="G920" s="180"/>
      <c r="J920" s="180"/>
    </row>
    <row r="921">
      <c r="A921" s="258"/>
      <c r="C921" s="180"/>
      <c r="F921" s="180"/>
      <c r="G921" s="180"/>
      <c r="J921" s="180"/>
    </row>
    <row r="922">
      <c r="A922" s="258"/>
      <c r="C922" s="180"/>
      <c r="F922" s="180"/>
      <c r="G922" s="180"/>
      <c r="J922" s="180"/>
    </row>
    <row r="923">
      <c r="A923" s="258"/>
      <c r="C923" s="180"/>
      <c r="F923" s="180"/>
      <c r="G923" s="180"/>
      <c r="J923" s="180"/>
    </row>
    <row r="924">
      <c r="A924" s="258"/>
      <c r="C924" s="180"/>
      <c r="F924" s="180"/>
      <c r="G924" s="180"/>
      <c r="J924" s="180"/>
    </row>
    <row r="925">
      <c r="A925" s="258"/>
      <c r="C925" s="180"/>
      <c r="F925" s="180"/>
      <c r="G925" s="180"/>
      <c r="J925" s="180"/>
    </row>
    <row r="926">
      <c r="A926" s="258"/>
      <c r="C926" s="180"/>
      <c r="F926" s="180"/>
      <c r="G926" s="180"/>
      <c r="J926" s="180"/>
    </row>
    <row r="927">
      <c r="A927" s="258"/>
      <c r="C927" s="180"/>
      <c r="F927" s="180"/>
      <c r="G927" s="180"/>
      <c r="J927" s="180"/>
    </row>
    <row r="928">
      <c r="A928" s="258"/>
      <c r="C928" s="180"/>
      <c r="F928" s="180"/>
      <c r="G928" s="180"/>
      <c r="J928" s="180"/>
    </row>
    <row r="929">
      <c r="A929" s="258"/>
      <c r="C929" s="180"/>
      <c r="F929" s="180"/>
      <c r="G929" s="180"/>
      <c r="J929" s="180"/>
    </row>
    <row r="930">
      <c r="A930" s="258"/>
      <c r="C930" s="180"/>
      <c r="F930" s="180"/>
      <c r="G930" s="180"/>
      <c r="J930" s="180"/>
    </row>
    <row r="931">
      <c r="A931" s="258"/>
      <c r="C931" s="180"/>
      <c r="F931" s="180"/>
      <c r="G931" s="180"/>
      <c r="J931" s="180"/>
    </row>
    <row r="932">
      <c r="A932" s="258"/>
      <c r="C932" s="180"/>
      <c r="F932" s="180"/>
      <c r="G932" s="180"/>
      <c r="J932" s="180"/>
    </row>
    <row r="933">
      <c r="A933" s="258"/>
      <c r="C933" s="180"/>
      <c r="F933" s="180"/>
      <c r="G933" s="180"/>
      <c r="J933" s="180"/>
    </row>
    <row r="934">
      <c r="A934" s="258"/>
      <c r="C934" s="180"/>
      <c r="F934" s="180"/>
      <c r="G934" s="180"/>
      <c r="J934" s="180"/>
    </row>
    <row r="935">
      <c r="A935" s="258"/>
      <c r="C935" s="180"/>
      <c r="F935" s="180"/>
      <c r="G935" s="180"/>
      <c r="J935" s="180"/>
    </row>
    <row r="936">
      <c r="A936" s="258"/>
      <c r="C936" s="180"/>
      <c r="F936" s="180"/>
      <c r="G936" s="180"/>
      <c r="J936" s="180"/>
    </row>
    <row r="937">
      <c r="A937" s="258"/>
      <c r="C937" s="180"/>
      <c r="F937" s="180"/>
      <c r="G937" s="180"/>
      <c r="J937" s="180"/>
    </row>
    <row r="938">
      <c r="A938" s="258"/>
      <c r="C938" s="180"/>
      <c r="F938" s="180"/>
      <c r="G938" s="180"/>
      <c r="J938" s="180"/>
    </row>
    <row r="939">
      <c r="A939" s="258"/>
      <c r="C939" s="180"/>
      <c r="F939" s="180"/>
      <c r="G939" s="180"/>
      <c r="J939" s="180"/>
    </row>
    <row r="940">
      <c r="A940" s="258"/>
      <c r="C940" s="180"/>
      <c r="F940" s="180"/>
      <c r="G940" s="180"/>
      <c r="J940" s="180"/>
    </row>
    <row r="941">
      <c r="A941" s="258"/>
      <c r="C941" s="180"/>
      <c r="F941" s="180"/>
      <c r="G941" s="180"/>
      <c r="J941" s="180"/>
    </row>
    <row r="942">
      <c r="A942" s="258"/>
      <c r="C942" s="180"/>
      <c r="F942" s="180"/>
      <c r="G942" s="180"/>
      <c r="J942" s="180"/>
    </row>
    <row r="943">
      <c r="A943" s="258"/>
      <c r="C943" s="180"/>
      <c r="F943" s="180"/>
      <c r="G943" s="180"/>
      <c r="J943" s="180"/>
    </row>
    <row r="944">
      <c r="A944" s="258"/>
      <c r="C944" s="180"/>
      <c r="F944" s="180"/>
      <c r="G944" s="180"/>
      <c r="J944" s="180"/>
    </row>
    <row r="945">
      <c r="A945" s="258"/>
      <c r="C945" s="180"/>
      <c r="F945" s="180"/>
      <c r="G945" s="180"/>
      <c r="J945" s="180"/>
    </row>
    <row r="946">
      <c r="A946" s="258"/>
      <c r="C946" s="180"/>
      <c r="F946" s="180"/>
      <c r="G946" s="180"/>
      <c r="J946" s="180"/>
    </row>
    <row r="947">
      <c r="A947" s="258"/>
      <c r="C947" s="180"/>
      <c r="F947" s="180"/>
      <c r="G947" s="180"/>
      <c r="J947" s="180"/>
    </row>
    <row r="948">
      <c r="A948" s="258"/>
      <c r="C948" s="180"/>
      <c r="F948" s="180"/>
      <c r="G948" s="180"/>
      <c r="J948" s="180"/>
    </row>
    <row r="949">
      <c r="A949" s="258"/>
      <c r="C949" s="180"/>
      <c r="F949" s="180"/>
      <c r="G949" s="180"/>
      <c r="J949" s="180"/>
    </row>
    <row r="950">
      <c r="A950" s="258"/>
      <c r="C950" s="180"/>
      <c r="F950" s="180"/>
      <c r="G950" s="180"/>
      <c r="J950" s="180"/>
    </row>
    <row r="951">
      <c r="A951" s="258"/>
      <c r="C951" s="180"/>
      <c r="F951" s="180"/>
      <c r="G951" s="180"/>
      <c r="J951" s="180"/>
    </row>
    <row r="952">
      <c r="A952" s="258"/>
      <c r="C952" s="180"/>
      <c r="F952" s="180"/>
      <c r="G952" s="180"/>
      <c r="J952" s="180"/>
    </row>
    <row r="953">
      <c r="A953" s="258"/>
      <c r="C953" s="180"/>
      <c r="F953" s="180"/>
      <c r="G953" s="180"/>
      <c r="J953" s="180"/>
    </row>
    <row r="954">
      <c r="A954" s="258"/>
      <c r="C954" s="180"/>
      <c r="F954" s="180"/>
      <c r="G954" s="180"/>
      <c r="J954" s="180"/>
    </row>
    <row r="955">
      <c r="A955" s="258"/>
      <c r="C955" s="180"/>
      <c r="F955" s="180"/>
      <c r="G955" s="180"/>
      <c r="J955" s="180"/>
    </row>
    <row r="956">
      <c r="A956" s="258"/>
      <c r="C956" s="180"/>
      <c r="F956" s="180"/>
      <c r="G956" s="180"/>
      <c r="J956" s="180"/>
    </row>
    <row r="957">
      <c r="A957" s="258"/>
      <c r="C957" s="180"/>
      <c r="F957" s="180"/>
      <c r="G957" s="180"/>
      <c r="J957" s="180"/>
    </row>
    <row r="958">
      <c r="A958" s="258"/>
      <c r="C958" s="180"/>
      <c r="F958" s="180"/>
      <c r="G958" s="180"/>
      <c r="J958" s="180"/>
    </row>
    <row r="959">
      <c r="A959" s="258"/>
      <c r="C959" s="180"/>
      <c r="F959" s="180"/>
      <c r="G959" s="180"/>
      <c r="J959" s="180"/>
    </row>
    <row r="960">
      <c r="A960" s="258"/>
      <c r="C960" s="180"/>
      <c r="F960" s="180"/>
      <c r="G960" s="180"/>
      <c r="J960" s="180"/>
    </row>
    <row r="961">
      <c r="A961" s="258"/>
      <c r="C961" s="180"/>
      <c r="F961" s="180"/>
      <c r="G961" s="180"/>
      <c r="J961" s="180"/>
    </row>
    <row r="962">
      <c r="A962" s="258"/>
      <c r="C962" s="180"/>
      <c r="F962" s="180"/>
      <c r="G962" s="180"/>
      <c r="J962" s="180"/>
    </row>
    <row r="963">
      <c r="A963" s="258"/>
      <c r="C963" s="180"/>
      <c r="F963" s="180"/>
      <c r="G963" s="180"/>
      <c r="J963" s="180"/>
    </row>
    <row r="964">
      <c r="A964" s="258"/>
      <c r="C964" s="180"/>
      <c r="F964" s="180"/>
      <c r="G964" s="180"/>
      <c r="J964" s="180"/>
    </row>
    <row r="965">
      <c r="A965" s="258"/>
      <c r="C965" s="180"/>
      <c r="F965" s="180"/>
      <c r="G965" s="180"/>
      <c r="J965" s="180"/>
    </row>
    <row r="966">
      <c r="A966" s="258"/>
      <c r="C966" s="180"/>
      <c r="F966" s="180"/>
      <c r="G966" s="180"/>
      <c r="J966" s="180"/>
    </row>
    <row r="967">
      <c r="A967" s="258"/>
      <c r="C967" s="180"/>
      <c r="F967" s="180"/>
      <c r="G967" s="180"/>
      <c r="J967" s="180"/>
    </row>
    <row r="968">
      <c r="A968" s="258"/>
      <c r="C968" s="180"/>
      <c r="F968" s="180"/>
      <c r="G968" s="180"/>
      <c r="J968" s="180"/>
    </row>
    <row r="969">
      <c r="A969" s="258"/>
      <c r="C969" s="180"/>
      <c r="F969" s="180"/>
      <c r="G969" s="180"/>
      <c r="J969" s="180"/>
    </row>
    <row r="970">
      <c r="A970" s="258"/>
      <c r="C970" s="180"/>
      <c r="F970" s="180"/>
      <c r="G970" s="180"/>
      <c r="J970" s="180"/>
    </row>
    <row r="971">
      <c r="A971" s="258"/>
      <c r="C971" s="180"/>
      <c r="F971" s="180"/>
      <c r="G971" s="180"/>
      <c r="J971" s="180"/>
    </row>
    <row r="972">
      <c r="A972" s="258"/>
      <c r="C972" s="180"/>
      <c r="F972" s="180"/>
      <c r="G972" s="180"/>
      <c r="J972" s="180"/>
    </row>
    <row r="973">
      <c r="A973" s="258"/>
      <c r="C973" s="180"/>
      <c r="F973" s="180"/>
      <c r="G973" s="180"/>
      <c r="J973" s="180"/>
    </row>
    <row r="974">
      <c r="A974" s="258"/>
      <c r="C974" s="180"/>
      <c r="F974" s="180"/>
      <c r="G974" s="180"/>
      <c r="J974" s="180"/>
    </row>
    <row r="975">
      <c r="A975" s="258"/>
      <c r="C975" s="180"/>
      <c r="F975" s="180"/>
      <c r="G975" s="180"/>
      <c r="J975" s="180"/>
    </row>
    <row r="976">
      <c r="A976" s="258"/>
      <c r="C976" s="180"/>
      <c r="F976" s="180"/>
      <c r="G976" s="180"/>
      <c r="J976" s="180"/>
    </row>
    <row r="977">
      <c r="A977" s="258"/>
      <c r="C977" s="180"/>
      <c r="F977" s="180"/>
      <c r="G977" s="180"/>
      <c r="J977" s="180"/>
    </row>
    <row r="978">
      <c r="A978" s="258"/>
      <c r="C978" s="180"/>
      <c r="F978" s="180"/>
      <c r="G978" s="180"/>
      <c r="J978" s="180"/>
    </row>
    <row r="979">
      <c r="A979" s="258"/>
      <c r="C979" s="180"/>
      <c r="F979" s="180"/>
      <c r="G979" s="180"/>
      <c r="J979" s="180"/>
    </row>
    <row r="980">
      <c r="A980" s="258"/>
      <c r="C980" s="180"/>
      <c r="F980" s="180"/>
      <c r="G980" s="180"/>
      <c r="J980" s="180"/>
    </row>
    <row r="981">
      <c r="A981" s="258"/>
      <c r="C981" s="180"/>
      <c r="F981" s="180"/>
      <c r="G981" s="180"/>
      <c r="J981" s="180"/>
    </row>
    <row r="982">
      <c r="A982" s="258"/>
      <c r="C982" s="180"/>
      <c r="F982" s="180"/>
      <c r="G982" s="180"/>
      <c r="J982" s="180"/>
    </row>
    <row r="983">
      <c r="A983" s="258"/>
      <c r="C983" s="180"/>
      <c r="F983" s="180"/>
      <c r="G983" s="180"/>
      <c r="J983" s="180"/>
    </row>
    <row r="984">
      <c r="A984" s="258"/>
      <c r="C984" s="180"/>
      <c r="F984" s="180"/>
      <c r="G984" s="180"/>
      <c r="J984" s="180"/>
    </row>
    <row r="985">
      <c r="A985" s="258"/>
      <c r="C985" s="180"/>
      <c r="F985" s="180"/>
      <c r="G985" s="180"/>
      <c r="J985" s="180"/>
    </row>
    <row r="986">
      <c r="A986" s="258"/>
      <c r="C986" s="180"/>
      <c r="F986" s="180"/>
      <c r="G986" s="180"/>
      <c r="J986" s="180"/>
    </row>
    <row r="987">
      <c r="A987" s="258"/>
      <c r="C987" s="180"/>
      <c r="F987" s="180"/>
      <c r="G987" s="180"/>
      <c r="J987" s="180"/>
    </row>
    <row r="988">
      <c r="A988" s="258"/>
      <c r="C988" s="180"/>
      <c r="F988" s="180"/>
      <c r="G988" s="180"/>
      <c r="J988" s="180"/>
    </row>
    <row r="989">
      <c r="A989" s="258"/>
      <c r="C989" s="180"/>
      <c r="F989" s="180"/>
      <c r="G989" s="180"/>
      <c r="J989" s="180"/>
    </row>
    <row r="990">
      <c r="A990" s="258"/>
      <c r="C990" s="180"/>
      <c r="F990" s="180"/>
      <c r="G990" s="180"/>
      <c r="J990" s="180"/>
    </row>
    <row r="991">
      <c r="A991" s="258"/>
      <c r="C991" s="180"/>
      <c r="F991" s="180"/>
      <c r="G991" s="180"/>
      <c r="J991" s="180"/>
    </row>
    <row r="992">
      <c r="A992" s="258"/>
      <c r="C992" s="180"/>
      <c r="F992" s="180"/>
      <c r="G992" s="180"/>
      <c r="J992" s="180"/>
    </row>
    <row r="993">
      <c r="A993" s="258"/>
      <c r="C993" s="180"/>
      <c r="F993" s="180"/>
      <c r="G993" s="180"/>
      <c r="J993" s="180"/>
    </row>
    <row r="994">
      <c r="A994" s="258"/>
      <c r="C994" s="180"/>
      <c r="F994" s="180"/>
      <c r="G994" s="180"/>
      <c r="J994" s="180"/>
    </row>
    <row r="995">
      <c r="A995" s="258"/>
      <c r="C995" s="180"/>
      <c r="F995" s="180"/>
      <c r="G995" s="180"/>
      <c r="J995" s="180"/>
    </row>
    <row r="996">
      <c r="A996" s="258"/>
      <c r="C996" s="180"/>
      <c r="F996" s="180"/>
      <c r="G996" s="180"/>
      <c r="J996" s="180"/>
    </row>
  </sheetData>
  <mergeCells count="3">
    <mergeCell ref="A2:A8"/>
    <mergeCell ref="A9:A10"/>
    <mergeCell ref="A11:A16"/>
  </mergeCells>
  <dataValidations>
    <dataValidation type="list" allowBlank="1" showErrorMessage="1" sqref="E2:E8 E10:E17">
      <formula1>"yes,no"</formula1>
    </dataValidation>
    <dataValidation type="list" allowBlank="1" showErrorMessage="1" sqref="D2:D8 D10:D17">
      <formula1>"Text,Numeric,Image,Single select,Multiple select,Date,Decission Rule"</formula1>
    </dataValidation>
  </dataValidations>
  <hyperlinks>
    <hyperlink r:id="rId4" ref="C19"/>
  </hyperlinks>
  <drawing r:id="rId5"/>
  <legacy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1" width="29.38"/>
    <col customWidth="1" min="2" max="2" width="12.63"/>
    <col customWidth="1" min="3" max="3" width="38.5"/>
    <col customWidth="1" min="4" max="4" width="19.25"/>
    <col customWidth="1" min="5" max="5" width="12.63"/>
    <col customWidth="1" min="6" max="6" width="25.25"/>
    <col customWidth="1" min="10" max="10" width="24.63"/>
    <col customWidth="1" min="14" max="14" width="21.13"/>
    <col customWidth="1" min="15" max="15" width="19.75"/>
  </cols>
  <sheetData>
    <row r="1" ht="15.75" customHeight="1">
      <c r="A1" s="261" t="s">
        <v>631</v>
      </c>
      <c r="B1" s="147" t="s">
        <v>632</v>
      </c>
      <c r="C1" s="147" t="s">
        <v>633</v>
      </c>
      <c r="D1" s="147" t="s">
        <v>634</v>
      </c>
      <c r="E1" s="147" t="s">
        <v>824</v>
      </c>
      <c r="F1" s="147" t="s">
        <v>637</v>
      </c>
      <c r="G1" s="147" t="s">
        <v>638</v>
      </c>
      <c r="H1" s="147" t="s">
        <v>639</v>
      </c>
      <c r="I1" s="147" t="s">
        <v>640</v>
      </c>
      <c r="J1" s="147" t="s">
        <v>641</v>
      </c>
      <c r="K1" s="147" t="s">
        <v>642</v>
      </c>
      <c r="L1" s="147" t="s">
        <v>722</v>
      </c>
      <c r="M1" s="184" t="s">
        <v>723</v>
      </c>
      <c r="N1" s="184"/>
      <c r="O1" s="184"/>
      <c r="P1" s="149"/>
      <c r="Q1" s="149"/>
      <c r="R1" s="149"/>
      <c r="S1" s="149"/>
      <c r="T1" s="149"/>
      <c r="U1" s="149"/>
      <c r="V1" s="149"/>
      <c r="W1" s="149"/>
      <c r="X1" s="149"/>
      <c r="Y1" s="149"/>
      <c r="Z1" s="149"/>
      <c r="AA1" s="149"/>
      <c r="AB1" s="149"/>
    </row>
    <row r="2" ht="15.75" customHeight="1">
      <c r="A2" s="185" t="s">
        <v>1041</v>
      </c>
      <c r="B2" s="151"/>
      <c r="C2" s="151" t="s">
        <v>1042</v>
      </c>
      <c r="D2" s="156" t="s">
        <v>649</v>
      </c>
      <c r="E2" s="151" t="s">
        <v>728</v>
      </c>
      <c r="F2" s="151"/>
      <c r="G2" s="151"/>
      <c r="H2" s="151"/>
      <c r="I2" s="151"/>
      <c r="J2" s="194"/>
      <c r="K2" s="151"/>
      <c r="L2" s="151"/>
      <c r="M2" s="151"/>
      <c r="N2" s="262"/>
      <c r="O2" s="262"/>
      <c r="P2" s="262"/>
      <c r="Q2" s="262"/>
      <c r="R2" s="262"/>
      <c r="S2" s="262"/>
      <c r="T2" s="262"/>
      <c r="U2" s="262"/>
      <c r="V2" s="262"/>
      <c r="W2" s="262"/>
      <c r="X2" s="262"/>
      <c r="Y2" s="262"/>
      <c r="Z2" s="262"/>
      <c r="AA2" s="263"/>
      <c r="AB2" s="149"/>
    </row>
    <row r="3" ht="24.75" customHeight="1">
      <c r="A3" s="26"/>
      <c r="B3" s="151"/>
      <c r="C3" s="200" t="s">
        <v>1043</v>
      </c>
      <c r="D3" s="156" t="s">
        <v>738</v>
      </c>
      <c r="E3" s="151"/>
      <c r="F3" s="151"/>
      <c r="G3" s="151"/>
      <c r="H3" s="151"/>
      <c r="I3" s="151"/>
      <c r="J3" s="204"/>
      <c r="K3" s="156" t="s">
        <v>1044</v>
      </c>
      <c r="L3" s="151"/>
      <c r="M3" s="151"/>
      <c r="AA3" s="264"/>
      <c r="AB3" s="149"/>
    </row>
    <row r="4" ht="24.75" customHeight="1">
      <c r="A4" s="26"/>
      <c r="B4" s="151"/>
      <c r="C4" s="151" t="s">
        <v>1045</v>
      </c>
      <c r="D4" s="151" t="s">
        <v>1046</v>
      </c>
      <c r="E4" s="151" t="s">
        <v>728</v>
      </c>
      <c r="F4" s="151"/>
      <c r="G4" s="151"/>
      <c r="H4" s="151"/>
      <c r="I4" s="151"/>
      <c r="J4" s="204" t="s">
        <v>1047</v>
      </c>
      <c r="K4" s="151"/>
      <c r="L4" s="151"/>
      <c r="M4" s="151"/>
      <c r="AA4" s="264"/>
      <c r="AB4" s="149"/>
    </row>
    <row r="5" ht="15.75" customHeight="1">
      <c r="A5" s="26"/>
      <c r="B5" s="158"/>
      <c r="C5" s="162" t="s">
        <v>1048</v>
      </c>
      <c r="D5" s="162" t="s">
        <v>646</v>
      </c>
      <c r="E5" s="162" t="s">
        <v>728</v>
      </c>
      <c r="F5" s="158"/>
      <c r="G5" s="158"/>
      <c r="H5" s="158"/>
      <c r="I5" s="158"/>
      <c r="J5" s="132"/>
      <c r="K5" s="158"/>
      <c r="L5" s="158"/>
      <c r="M5" s="158"/>
      <c r="N5" s="163"/>
      <c r="O5" s="163"/>
      <c r="P5" s="163"/>
      <c r="Q5" s="163"/>
      <c r="R5" s="163"/>
      <c r="S5" s="163"/>
      <c r="T5" s="163"/>
      <c r="U5" s="163"/>
      <c r="V5" s="163"/>
      <c r="W5" s="163"/>
      <c r="X5" s="163"/>
      <c r="Y5" s="163"/>
      <c r="Z5" s="163"/>
      <c r="AA5" s="265"/>
      <c r="AB5" s="173"/>
    </row>
    <row r="6" ht="15.75" customHeight="1">
      <c r="A6" s="26"/>
      <c r="B6" s="151"/>
      <c r="C6" s="151" t="s">
        <v>1049</v>
      </c>
      <c r="D6" s="151" t="s">
        <v>1046</v>
      </c>
      <c r="E6" s="151" t="s">
        <v>728</v>
      </c>
      <c r="F6" s="151"/>
      <c r="G6" s="151"/>
      <c r="H6" s="151"/>
      <c r="I6" s="151"/>
      <c r="J6" s="134" t="s">
        <v>1050</v>
      </c>
      <c r="K6" s="151"/>
      <c r="L6" s="151"/>
      <c r="M6" s="151"/>
      <c r="AA6" s="264"/>
      <c r="AB6" s="149"/>
    </row>
    <row r="7" ht="15.75" customHeight="1">
      <c r="A7" s="26"/>
      <c r="B7" s="151"/>
      <c r="C7" s="156" t="s">
        <v>1051</v>
      </c>
      <c r="D7" s="156" t="s">
        <v>646</v>
      </c>
      <c r="E7" s="156" t="s">
        <v>728</v>
      </c>
      <c r="F7" s="156" t="s">
        <v>1052</v>
      </c>
      <c r="G7" s="151"/>
      <c r="H7" s="151"/>
      <c r="I7" s="151"/>
      <c r="J7" s="134"/>
      <c r="K7" s="151"/>
      <c r="L7" s="151"/>
      <c r="M7" s="151"/>
      <c r="AA7" s="264"/>
      <c r="AB7" s="149"/>
    </row>
    <row r="8" ht="15.75" customHeight="1">
      <c r="A8" s="26"/>
      <c r="B8" s="151"/>
      <c r="C8" s="151" t="s">
        <v>1053</v>
      </c>
      <c r="D8" s="151" t="s">
        <v>1046</v>
      </c>
      <c r="E8" s="151" t="s">
        <v>728</v>
      </c>
      <c r="F8" s="151"/>
      <c r="G8" s="151"/>
      <c r="H8" s="151"/>
      <c r="I8" s="151"/>
      <c r="J8" s="134" t="s">
        <v>1054</v>
      </c>
      <c r="K8" s="151"/>
      <c r="L8" s="151"/>
      <c r="M8" s="151"/>
      <c r="AA8" s="264"/>
      <c r="AB8" s="149"/>
    </row>
    <row r="9" ht="15.75" customHeight="1">
      <c r="A9" s="26"/>
      <c r="B9" s="156"/>
      <c r="C9" s="156" t="s">
        <v>1055</v>
      </c>
      <c r="D9" s="156" t="s">
        <v>1046</v>
      </c>
      <c r="E9" s="156" t="s">
        <v>728</v>
      </c>
      <c r="G9" s="151"/>
      <c r="H9" s="151"/>
      <c r="I9" s="151"/>
      <c r="J9" s="134" t="s">
        <v>1056</v>
      </c>
      <c r="K9" s="151"/>
      <c r="L9" s="151"/>
      <c r="M9" s="151"/>
      <c r="AA9" s="264"/>
      <c r="AB9" s="149"/>
    </row>
    <row r="10" ht="52.5" customHeight="1">
      <c r="A10" s="26"/>
      <c r="B10" s="151"/>
      <c r="C10" s="42" t="s">
        <v>1057</v>
      </c>
      <c r="D10" s="162" t="s">
        <v>1046</v>
      </c>
      <c r="E10" s="156" t="s">
        <v>728</v>
      </c>
      <c r="F10" s="156" t="s">
        <v>1058</v>
      </c>
      <c r="G10" s="151"/>
      <c r="H10" s="151"/>
      <c r="I10" s="151"/>
      <c r="J10" s="133" t="s">
        <v>1059</v>
      </c>
      <c r="K10" s="151"/>
      <c r="L10" s="151"/>
      <c r="M10" s="151"/>
      <c r="AA10" s="264"/>
      <c r="AB10" s="149"/>
    </row>
    <row r="11" ht="65.25" customHeight="1">
      <c r="A11" s="26"/>
      <c r="B11" s="162"/>
      <c r="C11" s="162" t="s">
        <v>1060</v>
      </c>
      <c r="D11" s="162" t="s">
        <v>646</v>
      </c>
      <c r="E11" s="162" t="s">
        <v>728</v>
      </c>
      <c r="F11" s="162" t="s">
        <v>1061</v>
      </c>
      <c r="G11" s="158"/>
      <c r="H11" s="158"/>
      <c r="I11" s="158"/>
      <c r="J11" s="195"/>
      <c r="K11" s="158"/>
      <c r="L11" s="158"/>
      <c r="M11" s="158"/>
      <c r="N11" s="163"/>
      <c r="O11" s="163"/>
      <c r="P11" s="163"/>
      <c r="Q11" s="163"/>
      <c r="R11" s="163"/>
      <c r="S11" s="163"/>
      <c r="T11" s="163"/>
      <c r="U11" s="163"/>
      <c r="V11" s="163"/>
      <c r="W11" s="163"/>
      <c r="X11" s="163"/>
      <c r="Y11" s="163"/>
      <c r="Z11" s="163"/>
      <c r="AA11" s="265"/>
      <c r="AB11" s="173"/>
    </row>
    <row r="12" ht="65.25" customHeight="1">
      <c r="A12" s="27"/>
      <c r="B12" s="156"/>
      <c r="C12" s="156" t="s">
        <v>1062</v>
      </c>
      <c r="D12" s="156" t="s">
        <v>689</v>
      </c>
      <c r="E12" s="156" t="s">
        <v>728</v>
      </c>
      <c r="F12" s="151"/>
      <c r="G12" s="151"/>
      <c r="H12" s="151"/>
      <c r="I12" s="151"/>
      <c r="J12" s="134" t="s">
        <v>1063</v>
      </c>
      <c r="K12" s="151"/>
      <c r="L12" s="151"/>
      <c r="M12" s="151"/>
      <c r="AA12" s="264"/>
      <c r="AB12" s="149"/>
    </row>
    <row r="13" ht="24.0" customHeight="1">
      <c r="A13" s="266"/>
      <c r="B13" s="151"/>
      <c r="C13" s="156" t="s">
        <v>1064</v>
      </c>
      <c r="D13" s="156" t="s">
        <v>646</v>
      </c>
      <c r="E13" s="156" t="s">
        <v>728</v>
      </c>
      <c r="F13" s="156" t="s">
        <v>1065</v>
      </c>
      <c r="G13" s="151"/>
      <c r="H13" s="151"/>
      <c r="I13" s="151"/>
      <c r="J13" s="194"/>
      <c r="K13" s="151"/>
      <c r="L13" s="151"/>
      <c r="M13" s="151"/>
      <c r="AA13" s="264"/>
      <c r="AB13" s="149"/>
    </row>
    <row r="14" ht="24.0" customHeight="1">
      <c r="A14" s="185" t="s">
        <v>1066</v>
      </c>
      <c r="B14" s="151"/>
      <c r="C14" s="151" t="s">
        <v>1067</v>
      </c>
      <c r="D14" s="151" t="s">
        <v>1046</v>
      </c>
      <c r="E14" s="151" t="s">
        <v>728</v>
      </c>
      <c r="F14" s="151"/>
      <c r="G14" s="151"/>
      <c r="H14" s="151"/>
      <c r="I14" s="151"/>
      <c r="J14" s="194" t="s">
        <v>1068</v>
      </c>
      <c r="K14" s="151"/>
      <c r="L14" s="151"/>
      <c r="M14" s="151"/>
      <c r="AA14" s="264"/>
      <c r="AB14" s="149"/>
    </row>
    <row r="15" ht="24.0" customHeight="1">
      <c r="A15" s="26"/>
      <c r="B15" s="151"/>
      <c r="C15" s="156" t="s">
        <v>1069</v>
      </c>
      <c r="D15" s="156" t="s">
        <v>649</v>
      </c>
      <c r="E15" s="156" t="s">
        <v>728</v>
      </c>
      <c r="F15" s="156" t="s">
        <v>1070</v>
      </c>
      <c r="G15" s="151"/>
      <c r="H15" s="151"/>
      <c r="I15" s="151"/>
      <c r="J15" s="267"/>
      <c r="K15" s="151"/>
      <c r="L15" s="151"/>
      <c r="M15" s="151"/>
      <c r="AA15" s="264"/>
      <c r="AB15" s="149"/>
    </row>
    <row r="16" ht="24.0" customHeight="1">
      <c r="A16" s="26"/>
      <c r="B16" s="151"/>
      <c r="C16" s="156" t="s">
        <v>1071</v>
      </c>
      <c r="D16" s="156" t="s">
        <v>646</v>
      </c>
      <c r="E16" s="156" t="s">
        <v>728</v>
      </c>
      <c r="F16" s="156" t="s">
        <v>1070</v>
      </c>
      <c r="G16" s="151"/>
      <c r="H16" s="151"/>
      <c r="I16" s="151"/>
      <c r="J16" s="267"/>
      <c r="K16" s="151"/>
      <c r="L16" s="151"/>
      <c r="M16" s="151"/>
      <c r="AA16" s="264"/>
      <c r="AB16" s="149"/>
    </row>
    <row r="17" ht="24.0" customHeight="1">
      <c r="A17" s="26"/>
      <c r="B17" s="151"/>
      <c r="C17" s="151" t="s">
        <v>1072</v>
      </c>
      <c r="D17" s="151" t="s">
        <v>1046</v>
      </c>
      <c r="E17" s="151" t="s">
        <v>728</v>
      </c>
      <c r="F17" s="151"/>
      <c r="G17" s="151"/>
      <c r="H17" s="151"/>
      <c r="I17" s="151"/>
      <c r="J17" s="194" t="s">
        <v>1068</v>
      </c>
      <c r="K17" s="151"/>
      <c r="L17" s="151"/>
      <c r="M17" s="151"/>
      <c r="AA17" s="264"/>
      <c r="AB17" s="149"/>
    </row>
    <row r="18" ht="24.0" customHeight="1">
      <c r="A18" s="26"/>
      <c r="C18" s="141" t="s">
        <v>1069</v>
      </c>
      <c r="D18" s="156" t="s">
        <v>649</v>
      </c>
      <c r="E18" s="141" t="s">
        <v>728</v>
      </c>
      <c r="F18" s="156" t="s">
        <v>1073</v>
      </c>
      <c r="G18" s="138"/>
      <c r="H18" s="138"/>
      <c r="I18" s="138"/>
      <c r="J18" s="208"/>
      <c r="K18" s="138"/>
      <c r="L18" s="138"/>
      <c r="M18" s="138"/>
      <c r="AA18" s="264"/>
      <c r="AB18" s="149"/>
    </row>
    <row r="19" ht="24.0" customHeight="1">
      <c r="A19" s="26"/>
      <c r="C19" s="156" t="s">
        <v>1074</v>
      </c>
      <c r="D19" s="156" t="s">
        <v>646</v>
      </c>
      <c r="E19" s="156" t="s">
        <v>728</v>
      </c>
      <c r="F19" s="156" t="s">
        <v>1073</v>
      </c>
      <c r="G19" s="138"/>
      <c r="H19" s="138"/>
      <c r="I19" s="138"/>
      <c r="J19" s="208"/>
      <c r="K19" s="138"/>
      <c r="L19" s="138"/>
      <c r="M19" s="138"/>
      <c r="AA19" s="264"/>
      <c r="AB19" s="149"/>
    </row>
    <row r="20" ht="24.0" customHeight="1">
      <c r="A20" s="26"/>
      <c r="B20" s="156"/>
      <c r="C20" s="156" t="s">
        <v>1075</v>
      </c>
      <c r="D20" s="156" t="s">
        <v>1046</v>
      </c>
      <c r="E20" s="156" t="s">
        <v>728</v>
      </c>
      <c r="F20" s="151"/>
      <c r="G20" s="151"/>
      <c r="H20" s="151"/>
      <c r="I20" s="151"/>
      <c r="J20" s="134" t="s">
        <v>1056</v>
      </c>
      <c r="K20" s="151"/>
      <c r="L20" s="151"/>
      <c r="M20" s="151"/>
      <c r="AA20" s="264"/>
      <c r="AB20" s="149"/>
    </row>
    <row r="21" ht="24.0" customHeight="1">
      <c r="A21" s="26"/>
      <c r="B21" s="156"/>
      <c r="C21" s="156" t="s">
        <v>1076</v>
      </c>
      <c r="D21" s="156" t="s">
        <v>646</v>
      </c>
      <c r="E21" s="156" t="s">
        <v>728</v>
      </c>
      <c r="F21" s="156" t="s">
        <v>1077</v>
      </c>
      <c r="G21" s="151"/>
      <c r="H21" s="151"/>
      <c r="I21" s="151"/>
      <c r="J21" s="134"/>
      <c r="K21" s="151"/>
      <c r="L21" s="151"/>
      <c r="M21" s="151"/>
      <c r="AA21" s="264"/>
      <c r="AB21" s="149"/>
    </row>
    <row r="22" ht="24.0" customHeight="1">
      <c r="A22" s="26"/>
      <c r="B22" s="156"/>
      <c r="C22" s="156" t="s">
        <v>1078</v>
      </c>
      <c r="D22" s="156" t="s">
        <v>1046</v>
      </c>
      <c r="E22" s="156" t="s">
        <v>728</v>
      </c>
      <c r="F22" s="151"/>
      <c r="G22" s="151"/>
      <c r="H22" s="151"/>
      <c r="I22" s="151"/>
      <c r="J22" s="134" t="s">
        <v>1056</v>
      </c>
      <c r="K22" s="151"/>
      <c r="L22" s="151"/>
      <c r="M22" s="151"/>
      <c r="AA22" s="264"/>
      <c r="AB22" s="149"/>
    </row>
    <row r="23" ht="24.0" customHeight="1">
      <c r="A23" s="26"/>
      <c r="B23" s="156"/>
      <c r="C23" s="156" t="s">
        <v>1076</v>
      </c>
      <c r="D23" s="156" t="s">
        <v>646</v>
      </c>
      <c r="E23" s="156" t="s">
        <v>728</v>
      </c>
      <c r="F23" s="156" t="s">
        <v>1079</v>
      </c>
      <c r="G23" s="151"/>
      <c r="H23" s="151"/>
      <c r="I23" s="151"/>
      <c r="J23" s="134"/>
      <c r="K23" s="151"/>
      <c r="L23" s="151"/>
      <c r="M23" s="151"/>
      <c r="AA23" s="264"/>
      <c r="AB23" s="149"/>
    </row>
    <row r="24" ht="41.25" customHeight="1">
      <c r="A24" s="26"/>
      <c r="B24" s="156"/>
      <c r="C24" s="134" t="s">
        <v>1080</v>
      </c>
      <c r="D24" s="156" t="s">
        <v>1046</v>
      </c>
      <c r="E24" s="156" t="s">
        <v>728</v>
      </c>
      <c r="F24" s="134" t="s">
        <v>1081</v>
      </c>
      <c r="G24" s="151"/>
      <c r="H24" s="151"/>
      <c r="I24" s="151"/>
      <c r="J24" s="134" t="s">
        <v>1082</v>
      </c>
      <c r="K24" s="151"/>
      <c r="L24" s="151"/>
      <c r="M24" s="151"/>
      <c r="AA24" s="264"/>
      <c r="AB24" s="149"/>
    </row>
    <row r="25" ht="66.0" customHeight="1">
      <c r="A25" s="26"/>
      <c r="B25" s="156"/>
      <c r="C25" s="156" t="s">
        <v>1083</v>
      </c>
      <c r="D25" s="156" t="s">
        <v>646</v>
      </c>
      <c r="E25" s="156" t="s">
        <v>728</v>
      </c>
      <c r="F25" s="134" t="s">
        <v>1084</v>
      </c>
      <c r="G25" s="151"/>
      <c r="H25" s="151"/>
      <c r="I25" s="151"/>
      <c r="J25" s="134"/>
      <c r="K25" s="151"/>
      <c r="L25" s="151"/>
      <c r="M25" s="151"/>
      <c r="AA25" s="264"/>
      <c r="AB25" s="149"/>
    </row>
    <row r="26" ht="59.25" customHeight="1">
      <c r="A26" s="26"/>
      <c r="B26" s="156"/>
      <c r="C26" s="134" t="s">
        <v>1085</v>
      </c>
      <c r="D26" s="156" t="s">
        <v>1046</v>
      </c>
      <c r="E26" s="156" t="s">
        <v>728</v>
      </c>
      <c r="F26" s="134" t="s">
        <v>1086</v>
      </c>
      <c r="G26" s="151"/>
      <c r="H26" s="151"/>
      <c r="I26" s="151"/>
      <c r="J26" s="134"/>
      <c r="K26" s="151"/>
      <c r="L26" s="151"/>
      <c r="M26" s="151"/>
      <c r="AA26" s="264"/>
      <c r="AB26" s="149"/>
    </row>
    <row r="27" ht="61.5" customHeight="1">
      <c r="A27" s="27"/>
      <c r="B27" s="156"/>
      <c r="C27" s="156" t="s">
        <v>1083</v>
      </c>
      <c r="D27" s="156" t="s">
        <v>646</v>
      </c>
      <c r="E27" s="156" t="s">
        <v>728</v>
      </c>
      <c r="F27" s="134" t="s">
        <v>1087</v>
      </c>
      <c r="G27" s="151"/>
      <c r="H27" s="151"/>
      <c r="I27" s="151"/>
      <c r="J27" s="134"/>
      <c r="K27" s="151"/>
      <c r="L27" s="151"/>
      <c r="M27" s="151"/>
      <c r="AA27" s="264"/>
      <c r="AB27" s="149"/>
    </row>
    <row r="28">
      <c r="C28" s="42" t="s">
        <v>901</v>
      </c>
      <c r="D28" s="42" t="s">
        <v>876</v>
      </c>
      <c r="E28" s="42" t="s">
        <v>307</v>
      </c>
    </row>
    <row r="29" ht="15.75" customHeight="1">
      <c r="A29" s="268"/>
    </row>
    <row r="30" ht="15.75" customHeight="1">
      <c r="A30" s="268"/>
      <c r="C30" s="42"/>
    </row>
    <row r="31" ht="15.75" customHeight="1">
      <c r="A31" s="268"/>
      <c r="J31" s="180"/>
    </row>
    <row r="32" ht="15.75" customHeight="1">
      <c r="A32" s="268"/>
      <c r="J32" s="180"/>
    </row>
    <row r="33" ht="15.75" customHeight="1">
      <c r="A33" s="268"/>
      <c r="J33" s="180"/>
    </row>
    <row r="34" ht="15.75" customHeight="1">
      <c r="A34" s="268"/>
      <c r="J34" s="180"/>
    </row>
    <row r="35" ht="15.75" customHeight="1">
      <c r="A35" s="269"/>
      <c r="J35" s="180"/>
    </row>
    <row r="36" ht="15.75" customHeight="1">
      <c r="A36" s="269"/>
      <c r="J36" s="180"/>
    </row>
    <row r="37" ht="15.75" customHeight="1">
      <c r="A37" s="269"/>
      <c r="J37" s="180"/>
    </row>
    <row r="38" ht="15.75" customHeight="1">
      <c r="A38" s="269"/>
      <c r="J38" s="180"/>
    </row>
    <row r="39" ht="15.75" customHeight="1">
      <c r="A39" s="269"/>
      <c r="J39" s="180"/>
    </row>
    <row r="40" ht="15.75" customHeight="1">
      <c r="A40" s="269"/>
      <c r="J40" s="180"/>
    </row>
    <row r="41" ht="15.75" customHeight="1">
      <c r="A41" s="268"/>
      <c r="J41" s="180"/>
    </row>
    <row r="42" ht="15.75" customHeight="1">
      <c r="A42" s="268"/>
      <c r="J42" s="180"/>
    </row>
    <row r="43" ht="15.75" customHeight="1">
      <c r="A43" s="268"/>
      <c r="J43" s="180"/>
    </row>
    <row r="44" ht="15.75" customHeight="1">
      <c r="A44" s="268"/>
      <c r="J44" s="180"/>
    </row>
    <row r="45" ht="15.75" customHeight="1">
      <c r="A45" s="268"/>
      <c r="J45" s="180"/>
    </row>
    <row r="46" ht="15.75" customHeight="1">
      <c r="A46" s="268"/>
      <c r="J46" s="180"/>
    </row>
    <row r="47" ht="15.75" customHeight="1">
      <c r="A47" s="268"/>
      <c r="J47" s="180"/>
    </row>
    <row r="48" ht="15.75" customHeight="1">
      <c r="A48" s="268"/>
      <c r="J48" s="180"/>
    </row>
    <row r="49" ht="15.75" customHeight="1">
      <c r="A49" s="268"/>
      <c r="J49" s="180"/>
    </row>
    <row r="50" ht="15.75" customHeight="1">
      <c r="A50" s="268"/>
      <c r="J50" s="180"/>
    </row>
    <row r="51" ht="15.75" customHeight="1">
      <c r="A51" s="268"/>
      <c r="J51" s="180"/>
    </row>
    <row r="52" ht="15.75" customHeight="1">
      <c r="A52" s="268"/>
      <c r="J52" s="180"/>
    </row>
    <row r="53" ht="15.75" customHeight="1">
      <c r="A53" s="268"/>
      <c r="J53" s="180"/>
    </row>
    <row r="54" ht="15.75" customHeight="1">
      <c r="A54" s="268"/>
      <c r="J54" s="180"/>
    </row>
    <row r="55" ht="15.75" customHeight="1">
      <c r="A55" s="268"/>
      <c r="J55" s="180"/>
    </row>
    <row r="56" ht="15.75" customHeight="1">
      <c r="A56" s="268"/>
      <c r="J56" s="180"/>
    </row>
    <row r="57" ht="15.75" customHeight="1">
      <c r="A57" s="268"/>
      <c r="J57" s="180"/>
    </row>
    <row r="58" ht="15.75" customHeight="1">
      <c r="A58" s="268"/>
      <c r="J58" s="180"/>
    </row>
    <row r="59" ht="15.75" customHeight="1">
      <c r="A59" s="268"/>
      <c r="J59" s="180"/>
    </row>
    <row r="60" ht="15.75" customHeight="1">
      <c r="A60" s="268"/>
      <c r="J60" s="180"/>
    </row>
    <row r="61" ht="15.75" customHeight="1">
      <c r="A61" s="268"/>
      <c r="J61" s="180"/>
    </row>
    <row r="62" ht="15.75" customHeight="1">
      <c r="A62" s="268"/>
      <c r="J62" s="180"/>
    </row>
    <row r="63" ht="15.75" customHeight="1">
      <c r="A63" s="268"/>
      <c r="J63" s="180"/>
    </row>
    <row r="64" ht="15.75" customHeight="1">
      <c r="A64" s="268"/>
      <c r="J64" s="180"/>
    </row>
    <row r="65" ht="15.75" customHeight="1">
      <c r="A65" s="268"/>
      <c r="J65" s="180"/>
    </row>
    <row r="66" ht="15.75" customHeight="1">
      <c r="A66" s="268"/>
      <c r="J66" s="180"/>
    </row>
    <row r="67" ht="15.75" customHeight="1">
      <c r="A67" s="268"/>
      <c r="J67" s="180"/>
    </row>
    <row r="68" ht="15.75" customHeight="1">
      <c r="A68" s="268"/>
      <c r="J68" s="180"/>
    </row>
    <row r="69" ht="15.75" customHeight="1">
      <c r="A69" s="268"/>
      <c r="J69" s="180"/>
    </row>
    <row r="70" ht="15.75" customHeight="1">
      <c r="A70" s="268"/>
      <c r="J70" s="180"/>
    </row>
    <row r="71" ht="15.75" customHeight="1">
      <c r="A71" s="268"/>
      <c r="J71" s="180"/>
    </row>
    <row r="72" ht="15.75" customHeight="1">
      <c r="A72" s="268"/>
      <c r="J72" s="180"/>
    </row>
    <row r="73" ht="15.75" customHeight="1">
      <c r="A73" s="268"/>
      <c r="J73" s="180"/>
    </row>
    <row r="74" ht="15.75" customHeight="1">
      <c r="A74" s="268"/>
      <c r="J74" s="180"/>
    </row>
    <row r="75" ht="15.75" customHeight="1">
      <c r="A75" s="268"/>
      <c r="J75" s="180"/>
    </row>
    <row r="76" ht="15.75" customHeight="1">
      <c r="A76" s="268"/>
      <c r="J76" s="180"/>
    </row>
    <row r="77" ht="15.75" customHeight="1">
      <c r="A77" s="268"/>
      <c r="J77" s="180"/>
    </row>
    <row r="78" ht="15.75" customHeight="1">
      <c r="A78" s="268"/>
      <c r="J78" s="180"/>
    </row>
    <row r="79" ht="15.75" customHeight="1">
      <c r="A79" s="268"/>
      <c r="J79" s="180"/>
    </row>
    <row r="80" ht="15.75" customHeight="1">
      <c r="A80" s="268"/>
      <c r="J80" s="180"/>
    </row>
    <row r="81" ht="15.75" customHeight="1">
      <c r="A81" s="268"/>
      <c r="J81" s="180"/>
    </row>
    <row r="82" ht="15.75" customHeight="1">
      <c r="A82" s="268"/>
      <c r="J82" s="180"/>
    </row>
    <row r="83" ht="15.75" customHeight="1">
      <c r="A83" s="268"/>
      <c r="J83" s="180"/>
    </row>
    <row r="84" ht="15.75" customHeight="1">
      <c r="A84" s="268"/>
      <c r="J84" s="180"/>
    </row>
    <row r="85" ht="15.75" customHeight="1">
      <c r="A85" s="268"/>
      <c r="J85" s="180"/>
    </row>
    <row r="86" ht="15.75" customHeight="1">
      <c r="A86" s="268"/>
      <c r="J86" s="180"/>
    </row>
    <row r="87" ht="15.75" customHeight="1">
      <c r="A87" s="268"/>
      <c r="J87" s="180"/>
    </row>
    <row r="88" ht="15.75" customHeight="1">
      <c r="A88" s="268"/>
      <c r="J88" s="180"/>
    </row>
    <row r="89" ht="15.75" customHeight="1">
      <c r="A89" s="268"/>
      <c r="J89" s="180"/>
    </row>
    <row r="90" ht="15.75" customHeight="1">
      <c r="A90" s="268"/>
      <c r="J90" s="180"/>
    </row>
    <row r="91" ht="15.75" customHeight="1">
      <c r="A91" s="268"/>
      <c r="J91" s="180"/>
    </row>
    <row r="92" ht="15.75" customHeight="1">
      <c r="A92" s="268"/>
      <c r="J92" s="180"/>
    </row>
    <row r="93" ht="15.75" customHeight="1">
      <c r="A93" s="268"/>
      <c r="J93" s="180"/>
    </row>
    <row r="94" ht="15.75" customHeight="1">
      <c r="A94" s="268"/>
      <c r="J94" s="180"/>
    </row>
    <row r="95" ht="15.75" customHeight="1">
      <c r="A95" s="268"/>
      <c r="J95" s="180"/>
    </row>
    <row r="96" ht="15.75" customHeight="1">
      <c r="A96" s="268"/>
      <c r="J96" s="180"/>
    </row>
    <row r="97" ht="15.75" customHeight="1">
      <c r="A97" s="268"/>
      <c r="J97" s="180"/>
    </row>
    <row r="98" ht="15.75" customHeight="1">
      <c r="A98" s="268"/>
      <c r="J98" s="180"/>
    </row>
    <row r="99" ht="15.75" customHeight="1">
      <c r="A99" s="268"/>
      <c r="J99" s="180"/>
    </row>
    <row r="100" ht="15.75" customHeight="1">
      <c r="A100" s="268"/>
      <c r="J100" s="180"/>
    </row>
    <row r="101" ht="15.75" customHeight="1">
      <c r="A101" s="268"/>
      <c r="J101" s="180"/>
    </row>
    <row r="102" ht="15.75" customHeight="1">
      <c r="A102" s="268"/>
      <c r="J102" s="180"/>
    </row>
    <row r="103" ht="15.75" customHeight="1">
      <c r="A103" s="268"/>
      <c r="J103" s="180"/>
    </row>
    <row r="104" ht="15.75" customHeight="1">
      <c r="A104" s="268"/>
      <c r="J104" s="180"/>
    </row>
    <row r="105" ht="15.75" customHeight="1">
      <c r="A105" s="268"/>
      <c r="J105" s="180"/>
    </row>
    <row r="106" ht="15.75" customHeight="1">
      <c r="A106" s="268"/>
      <c r="J106" s="180"/>
    </row>
    <row r="107" ht="15.75" customHeight="1">
      <c r="A107" s="268"/>
      <c r="J107" s="180"/>
    </row>
    <row r="108" ht="15.75" customHeight="1">
      <c r="A108" s="268"/>
      <c r="J108" s="180"/>
    </row>
    <row r="109" ht="15.75" customHeight="1">
      <c r="A109" s="268"/>
      <c r="J109" s="180"/>
    </row>
    <row r="110" ht="15.75" customHeight="1">
      <c r="A110" s="268"/>
      <c r="J110" s="180"/>
    </row>
    <row r="111" ht="15.75" customHeight="1">
      <c r="A111" s="268"/>
      <c r="J111" s="180"/>
    </row>
    <row r="112" ht="15.75" customHeight="1">
      <c r="A112" s="268"/>
      <c r="J112" s="180"/>
    </row>
    <row r="113" ht="15.75" customHeight="1">
      <c r="A113" s="268"/>
      <c r="J113" s="180"/>
    </row>
    <row r="114" ht="15.75" customHeight="1">
      <c r="A114" s="268"/>
      <c r="J114" s="180"/>
    </row>
    <row r="115" ht="15.75" customHeight="1">
      <c r="A115" s="268"/>
      <c r="J115" s="180"/>
    </row>
    <row r="116" ht="15.75" customHeight="1">
      <c r="A116" s="268"/>
      <c r="J116" s="180"/>
    </row>
    <row r="117" ht="15.75" customHeight="1">
      <c r="A117" s="268"/>
      <c r="J117" s="180"/>
    </row>
    <row r="118" ht="15.75" customHeight="1">
      <c r="A118" s="268"/>
      <c r="J118" s="180"/>
    </row>
    <row r="119" ht="15.75" customHeight="1">
      <c r="A119" s="268"/>
      <c r="J119" s="180"/>
    </row>
    <row r="120" ht="15.75" customHeight="1">
      <c r="A120" s="268"/>
      <c r="J120" s="180"/>
    </row>
    <row r="121" ht="15.75" customHeight="1">
      <c r="A121" s="268"/>
      <c r="J121" s="180"/>
    </row>
    <row r="122" ht="15.75" customHeight="1">
      <c r="A122" s="268"/>
      <c r="J122" s="180"/>
    </row>
    <row r="123" ht="15.75" customHeight="1">
      <c r="A123" s="268"/>
      <c r="J123" s="180"/>
    </row>
    <row r="124" ht="15.75" customHeight="1">
      <c r="A124" s="268"/>
      <c r="J124" s="180"/>
    </row>
    <row r="125" ht="15.75" customHeight="1">
      <c r="A125" s="268"/>
      <c r="J125" s="180"/>
    </row>
    <row r="126" ht="15.75" customHeight="1">
      <c r="A126" s="268"/>
      <c r="J126" s="180"/>
    </row>
    <row r="127" ht="15.75" customHeight="1">
      <c r="A127" s="268"/>
      <c r="J127" s="180"/>
    </row>
    <row r="128" ht="15.75" customHeight="1">
      <c r="A128" s="268"/>
      <c r="J128" s="180"/>
    </row>
    <row r="129" ht="15.75" customHeight="1">
      <c r="A129" s="268"/>
      <c r="J129" s="180"/>
    </row>
    <row r="130" ht="15.75" customHeight="1">
      <c r="A130" s="268"/>
      <c r="J130" s="180"/>
    </row>
    <row r="131" ht="15.75" customHeight="1">
      <c r="A131" s="268"/>
      <c r="J131" s="180"/>
    </row>
    <row r="132" ht="15.75" customHeight="1">
      <c r="A132" s="268"/>
      <c r="J132" s="180"/>
    </row>
    <row r="133" ht="15.75" customHeight="1">
      <c r="A133" s="268"/>
      <c r="J133" s="180"/>
    </row>
    <row r="134" ht="15.75" customHeight="1">
      <c r="A134" s="268"/>
      <c r="J134" s="180"/>
    </row>
    <row r="135" ht="15.75" customHeight="1">
      <c r="A135" s="268"/>
      <c r="J135" s="180"/>
    </row>
    <row r="136" ht="15.75" customHeight="1">
      <c r="A136" s="268"/>
      <c r="J136" s="180"/>
    </row>
    <row r="137" ht="15.75" customHeight="1">
      <c r="A137" s="268"/>
      <c r="J137" s="180"/>
    </row>
    <row r="138" ht="15.75" customHeight="1">
      <c r="A138" s="268"/>
      <c r="J138" s="180"/>
    </row>
    <row r="139" ht="15.75" customHeight="1">
      <c r="A139" s="268"/>
      <c r="J139" s="180"/>
    </row>
    <row r="140" ht="15.75" customHeight="1">
      <c r="A140" s="268"/>
      <c r="J140" s="180"/>
    </row>
    <row r="141" ht="15.75" customHeight="1">
      <c r="A141" s="268"/>
      <c r="J141" s="180"/>
    </row>
    <row r="142" ht="15.75" customHeight="1">
      <c r="A142" s="268"/>
      <c r="J142" s="180"/>
    </row>
    <row r="143" ht="15.75" customHeight="1">
      <c r="A143" s="268"/>
      <c r="J143" s="180"/>
    </row>
    <row r="144" ht="15.75" customHeight="1">
      <c r="A144" s="268"/>
      <c r="J144" s="180"/>
    </row>
    <row r="145" ht="15.75" customHeight="1">
      <c r="A145" s="268"/>
      <c r="J145" s="180"/>
    </row>
    <row r="146" ht="15.75" customHeight="1">
      <c r="A146" s="268"/>
      <c r="J146" s="180"/>
    </row>
    <row r="147" ht="15.75" customHeight="1">
      <c r="A147" s="268"/>
      <c r="J147" s="180"/>
    </row>
    <row r="148" ht="15.75" customHeight="1">
      <c r="A148" s="268"/>
      <c r="J148" s="180"/>
    </row>
    <row r="149" ht="15.75" customHeight="1">
      <c r="A149" s="268"/>
      <c r="J149" s="180"/>
    </row>
    <row r="150" ht="15.75" customHeight="1">
      <c r="A150" s="268"/>
      <c r="J150" s="180"/>
    </row>
    <row r="151" ht="15.75" customHeight="1">
      <c r="A151" s="268"/>
      <c r="J151" s="180"/>
    </row>
    <row r="152" ht="15.75" customHeight="1">
      <c r="A152" s="268"/>
      <c r="J152" s="180"/>
    </row>
    <row r="153" ht="15.75" customHeight="1">
      <c r="A153" s="268"/>
      <c r="J153" s="180"/>
    </row>
    <row r="154" ht="15.75" customHeight="1">
      <c r="A154" s="268"/>
      <c r="J154" s="180"/>
    </row>
    <row r="155" ht="15.75" customHeight="1">
      <c r="A155" s="268"/>
      <c r="J155" s="180"/>
    </row>
    <row r="156" ht="15.75" customHeight="1">
      <c r="A156" s="268"/>
      <c r="J156" s="180"/>
    </row>
    <row r="157" ht="15.75" customHeight="1">
      <c r="A157" s="268"/>
      <c r="J157" s="180"/>
    </row>
    <row r="158" ht="15.75" customHeight="1">
      <c r="A158" s="268"/>
      <c r="J158" s="180"/>
    </row>
    <row r="159" ht="15.75" customHeight="1">
      <c r="A159" s="268"/>
      <c r="J159" s="180"/>
    </row>
    <row r="160" ht="15.75" customHeight="1">
      <c r="A160" s="268"/>
      <c r="J160" s="180"/>
    </row>
    <row r="161" ht="15.75" customHeight="1">
      <c r="A161" s="268"/>
      <c r="J161" s="180"/>
    </row>
    <row r="162" ht="15.75" customHeight="1">
      <c r="A162" s="268"/>
      <c r="J162" s="180"/>
    </row>
    <row r="163" ht="15.75" customHeight="1">
      <c r="A163" s="268"/>
      <c r="J163" s="180"/>
    </row>
    <row r="164" ht="15.75" customHeight="1">
      <c r="A164" s="268"/>
      <c r="J164" s="180"/>
    </row>
    <row r="165" ht="15.75" customHeight="1">
      <c r="A165" s="268"/>
      <c r="J165" s="180"/>
    </row>
    <row r="166" ht="15.75" customHeight="1">
      <c r="A166" s="268"/>
      <c r="J166" s="180"/>
    </row>
    <row r="167" ht="15.75" customHeight="1">
      <c r="A167" s="268"/>
      <c r="J167" s="180"/>
    </row>
    <row r="168" ht="15.75" customHeight="1">
      <c r="A168" s="268"/>
      <c r="J168" s="180"/>
    </row>
    <row r="169" ht="15.75" customHeight="1">
      <c r="A169" s="268"/>
      <c r="J169" s="180"/>
    </row>
    <row r="170" ht="15.75" customHeight="1">
      <c r="A170" s="268"/>
      <c r="J170" s="180"/>
    </row>
    <row r="171" ht="15.75" customHeight="1">
      <c r="A171" s="268"/>
      <c r="J171" s="180"/>
    </row>
    <row r="172" ht="15.75" customHeight="1">
      <c r="A172" s="268"/>
      <c r="J172" s="180"/>
    </row>
    <row r="173" ht="15.75" customHeight="1">
      <c r="A173" s="268"/>
      <c r="J173" s="180"/>
    </row>
    <row r="174" ht="15.75" customHeight="1">
      <c r="A174" s="268"/>
      <c r="J174" s="180"/>
    </row>
    <row r="175" ht="15.75" customHeight="1">
      <c r="A175" s="268"/>
      <c r="J175" s="180"/>
    </row>
    <row r="176" ht="15.75" customHeight="1">
      <c r="A176" s="268"/>
      <c r="J176" s="180"/>
    </row>
    <row r="177" ht="15.75" customHeight="1">
      <c r="A177" s="268"/>
      <c r="J177" s="180"/>
    </row>
    <row r="178" ht="15.75" customHeight="1">
      <c r="A178" s="268"/>
      <c r="J178" s="180"/>
    </row>
    <row r="179" ht="15.75" customHeight="1">
      <c r="A179" s="268"/>
      <c r="J179" s="180"/>
    </row>
    <row r="180" ht="15.75" customHeight="1">
      <c r="A180" s="268"/>
      <c r="J180" s="180"/>
    </row>
    <row r="181" ht="15.75" customHeight="1">
      <c r="A181" s="268"/>
      <c r="J181" s="180"/>
    </row>
    <row r="182" ht="15.75" customHeight="1">
      <c r="A182" s="268"/>
      <c r="J182" s="180"/>
    </row>
    <row r="183" ht="15.75" customHeight="1">
      <c r="A183" s="268"/>
      <c r="J183" s="180"/>
    </row>
    <row r="184" ht="15.75" customHeight="1">
      <c r="A184" s="268"/>
      <c r="J184" s="180"/>
    </row>
    <row r="185" ht="15.75" customHeight="1">
      <c r="A185" s="268"/>
      <c r="J185" s="180"/>
    </row>
    <row r="186" ht="15.75" customHeight="1">
      <c r="A186" s="268"/>
      <c r="J186" s="180"/>
    </row>
    <row r="187" ht="15.75" customHeight="1">
      <c r="A187" s="268"/>
      <c r="J187" s="180"/>
    </row>
    <row r="188" ht="15.75" customHeight="1">
      <c r="A188" s="268"/>
      <c r="J188" s="180"/>
    </row>
    <row r="189" ht="15.75" customHeight="1">
      <c r="A189" s="268"/>
      <c r="J189" s="180"/>
    </row>
    <row r="190" ht="15.75" customHeight="1">
      <c r="A190" s="268"/>
      <c r="J190" s="180"/>
    </row>
    <row r="191" ht="15.75" customHeight="1">
      <c r="A191" s="268"/>
      <c r="J191" s="180"/>
    </row>
    <row r="192" ht="15.75" customHeight="1">
      <c r="A192" s="268"/>
      <c r="J192" s="180"/>
    </row>
    <row r="193" ht="15.75" customHeight="1">
      <c r="A193" s="268"/>
      <c r="J193" s="180"/>
    </row>
    <row r="194" ht="15.75" customHeight="1">
      <c r="A194" s="268"/>
      <c r="J194" s="180"/>
    </row>
    <row r="195" ht="15.75" customHeight="1">
      <c r="A195" s="268"/>
      <c r="J195" s="180"/>
    </row>
    <row r="196" ht="15.75" customHeight="1">
      <c r="A196" s="268"/>
      <c r="J196" s="180"/>
    </row>
    <row r="197" ht="15.75" customHeight="1">
      <c r="A197" s="268"/>
      <c r="J197" s="180"/>
    </row>
    <row r="198" ht="15.75" customHeight="1">
      <c r="A198" s="268"/>
      <c r="J198" s="180"/>
    </row>
    <row r="199" ht="15.75" customHeight="1">
      <c r="A199" s="268"/>
      <c r="J199" s="180"/>
    </row>
    <row r="200" ht="15.75" customHeight="1">
      <c r="A200" s="268"/>
      <c r="J200" s="180"/>
    </row>
    <row r="201" ht="15.75" customHeight="1">
      <c r="A201" s="268"/>
      <c r="J201" s="180"/>
    </row>
    <row r="202" ht="15.75" customHeight="1">
      <c r="A202" s="268"/>
      <c r="J202" s="180"/>
    </row>
    <row r="203" ht="15.75" customHeight="1">
      <c r="A203" s="268"/>
      <c r="J203" s="180"/>
    </row>
    <row r="204" ht="15.75" customHeight="1">
      <c r="A204" s="268"/>
      <c r="J204" s="180"/>
    </row>
    <row r="205" ht="15.75" customHeight="1">
      <c r="A205" s="268"/>
      <c r="J205" s="180"/>
    </row>
    <row r="206" ht="15.75" customHeight="1">
      <c r="A206" s="268"/>
      <c r="J206" s="180"/>
    </row>
    <row r="207" ht="15.75" customHeight="1">
      <c r="A207" s="268"/>
      <c r="J207" s="180"/>
    </row>
    <row r="208" ht="15.75" customHeight="1">
      <c r="A208" s="268"/>
      <c r="J208" s="180"/>
    </row>
    <row r="209" ht="15.75" customHeight="1">
      <c r="A209" s="268"/>
      <c r="J209" s="180"/>
    </row>
    <row r="210" ht="15.75" customHeight="1">
      <c r="A210" s="268"/>
      <c r="J210" s="180"/>
    </row>
    <row r="211" ht="15.75" customHeight="1">
      <c r="A211" s="268"/>
      <c r="J211" s="180"/>
    </row>
    <row r="212" ht="15.75" customHeight="1">
      <c r="A212" s="268"/>
      <c r="J212" s="180"/>
    </row>
    <row r="213" ht="15.75" customHeight="1">
      <c r="A213" s="268"/>
      <c r="J213" s="180"/>
    </row>
    <row r="214" ht="15.75" customHeight="1">
      <c r="A214" s="268"/>
      <c r="J214" s="180"/>
    </row>
    <row r="215" ht="15.75" customHeight="1">
      <c r="A215" s="268"/>
      <c r="J215" s="180"/>
    </row>
    <row r="216" ht="15.75" customHeight="1">
      <c r="A216" s="268"/>
      <c r="J216" s="180"/>
    </row>
    <row r="217" ht="15.75" customHeight="1">
      <c r="A217" s="268"/>
      <c r="J217" s="180"/>
    </row>
    <row r="218" ht="15.75" customHeight="1">
      <c r="A218" s="268"/>
      <c r="J218" s="180"/>
    </row>
    <row r="219" ht="15.75" customHeight="1">
      <c r="A219" s="268"/>
      <c r="J219" s="180"/>
    </row>
    <row r="220" ht="15.75" customHeight="1">
      <c r="A220" s="268"/>
      <c r="J220" s="180"/>
    </row>
    <row r="221" ht="15.75" customHeight="1">
      <c r="A221" s="268"/>
      <c r="J221" s="180"/>
    </row>
    <row r="222" ht="15.75" customHeight="1">
      <c r="A222" s="268"/>
      <c r="J222" s="180"/>
    </row>
    <row r="223" ht="15.75" customHeight="1">
      <c r="A223" s="268"/>
      <c r="J223" s="180"/>
    </row>
    <row r="224" ht="15.75" customHeight="1">
      <c r="A224" s="268"/>
      <c r="J224" s="180"/>
    </row>
    <row r="225" ht="15.75" customHeight="1">
      <c r="A225" s="268"/>
      <c r="J225" s="180"/>
    </row>
    <row r="226" ht="15.75" customHeight="1">
      <c r="A226" s="268"/>
      <c r="J226" s="180"/>
    </row>
    <row r="227" ht="15.75" customHeight="1">
      <c r="A227" s="268"/>
      <c r="J227" s="180"/>
    </row>
    <row r="228" ht="15.75" customHeight="1">
      <c r="A228" s="268"/>
      <c r="J228" s="180"/>
    </row>
    <row r="229" ht="15.75" customHeight="1">
      <c r="A229" s="268"/>
      <c r="J229" s="180"/>
    </row>
    <row r="230" ht="15.75" customHeight="1">
      <c r="A230" s="268"/>
      <c r="J230" s="180"/>
    </row>
    <row r="231" ht="15.75" customHeight="1">
      <c r="A231" s="268"/>
      <c r="J231" s="180"/>
    </row>
    <row r="232" ht="15.75" customHeight="1">
      <c r="A232" s="268"/>
      <c r="J232" s="180"/>
    </row>
    <row r="233" ht="15.75" customHeight="1">
      <c r="A233" s="268"/>
      <c r="J233" s="180"/>
    </row>
    <row r="234" ht="15.75" customHeight="1">
      <c r="A234" s="268"/>
      <c r="J234" s="180"/>
    </row>
    <row r="235" ht="15.75" customHeight="1">
      <c r="A235" s="268"/>
      <c r="J235" s="180"/>
    </row>
    <row r="236" ht="15.75" customHeight="1">
      <c r="A236" s="268"/>
      <c r="J236" s="180"/>
    </row>
    <row r="237" ht="15.75" customHeight="1">
      <c r="A237" s="268"/>
      <c r="J237" s="180"/>
    </row>
    <row r="238" ht="15.75" customHeight="1">
      <c r="A238" s="268"/>
      <c r="J238" s="180"/>
    </row>
    <row r="239" ht="15.75" customHeight="1">
      <c r="A239" s="268"/>
      <c r="J239" s="180"/>
    </row>
    <row r="240" ht="15.75" customHeight="1">
      <c r="A240" s="268"/>
      <c r="J240" s="180"/>
    </row>
    <row r="241" ht="15.75" customHeight="1">
      <c r="A241" s="268"/>
      <c r="J241" s="180"/>
    </row>
    <row r="242" ht="15.75" customHeight="1">
      <c r="A242" s="268"/>
      <c r="J242" s="180"/>
    </row>
    <row r="243" ht="15.75" customHeight="1">
      <c r="A243" s="268"/>
      <c r="J243" s="180"/>
    </row>
    <row r="244" ht="15.75" customHeight="1">
      <c r="A244" s="268"/>
      <c r="J244" s="180"/>
    </row>
    <row r="245" ht="15.75" customHeight="1">
      <c r="A245" s="268"/>
      <c r="J245" s="180"/>
    </row>
    <row r="246" ht="15.75" customHeight="1">
      <c r="A246" s="268"/>
      <c r="J246" s="180"/>
    </row>
    <row r="247" ht="15.75" customHeight="1">
      <c r="A247" s="268"/>
      <c r="J247" s="180"/>
    </row>
    <row r="248" ht="15.75" customHeight="1">
      <c r="A248" s="268"/>
      <c r="J248" s="180"/>
    </row>
    <row r="249" ht="15.75" customHeight="1">
      <c r="A249" s="268"/>
      <c r="J249" s="180"/>
    </row>
    <row r="250" ht="15.75" customHeight="1">
      <c r="A250" s="268"/>
      <c r="J250" s="180"/>
    </row>
    <row r="251" ht="15.75" customHeight="1">
      <c r="A251" s="268"/>
      <c r="J251" s="180"/>
    </row>
    <row r="252" ht="15.75" customHeight="1">
      <c r="A252" s="268"/>
      <c r="J252" s="180"/>
    </row>
    <row r="253" ht="15.75" customHeight="1">
      <c r="A253" s="268"/>
      <c r="J253" s="180"/>
    </row>
    <row r="254" ht="15.75" customHeight="1">
      <c r="A254" s="268"/>
      <c r="J254" s="180"/>
    </row>
    <row r="255" ht="15.75" customHeight="1">
      <c r="A255" s="268"/>
      <c r="J255" s="180"/>
    </row>
    <row r="256" ht="15.75" customHeight="1">
      <c r="A256" s="268"/>
      <c r="J256" s="180"/>
    </row>
    <row r="257" ht="15.75" customHeight="1">
      <c r="A257" s="268"/>
      <c r="J257" s="180"/>
    </row>
    <row r="258" ht="15.75" customHeight="1">
      <c r="A258" s="268"/>
      <c r="J258" s="180"/>
    </row>
    <row r="259" ht="15.75" customHeight="1">
      <c r="A259" s="268"/>
      <c r="J259" s="180"/>
    </row>
    <row r="260" ht="15.75" customHeight="1">
      <c r="A260" s="268"/>
      <c r="J260" s="180"/>
    </row>
    <row r="261" ht="15.75" customHeight="1">
      <c r="A261" s="268"/>
      <c r="J261" s="180"/>
    </row>
    <row r="262" ht="15.75" customHeight="1">
      <c r="A262" s="268"/>
      <c r="J262" s="180"/>
    </row>
    <row r="263" ht="15.75" customHeight="1">
      <c r="A263" s="268"/>
      <c r="J263" s="180"/>
    </row>
    <row r="264" ht="15.75" customHeight="1">
      <c r="A264" s="268"/>
      <c r="J264" s="180"/>
    </row>
    <row r="265" ht="15.75" customHeight="1">
      <c r="A265" s="268"/>
      <c r="J265" s="180"/>
    </row>
    <row r="266" ht="15.75" customHeight="1">
      <c r="A266" s="268"/>
      <c r="J266" s="180"/>
    </row>
    <row r="267" ht="15.75" customHeight="1">
      <c r="A267" s="268"/>
      <c r="J267" s="180"/>
    </row>
    <row r="268" ht="15.75" customHeight="1">
      <c r="A268" s="268"/>
      <c r="J268" s="180"/>
    </row>
    <row r="269" ht="15.75" customHeight="1">
      <c r="A269" s="268"/>
      <c r="J269" s="180"/>
    </row>
    <row r="270" ht="15.75" customHeight="1">
      <c r="A270" s="268"/>
      <c r="J270" s="180"/>
    </row>
    <row r="271" ht="15.75" customHeight="1">
      <c r="A271" s="268"/>
      <c r="J271" s="180"/>
    </row>
    <row r="272" ht="15.75" customHeight="1">
      <c r="A272" s="268"/>
      <c r="J272" s="180"/>
    </row>
    <row r="273" ht="15.75" customHeight="1">
      <c r="A273" s="268"/>
      <c r="J273" s="180"/>
    </row>
    <row r="274" ht="15.75" customHeight="1">
      <c r="A274" s="268"/>
      <c r="J274" s="180"/>
    </row>
    <row r="275" ht="15.75" customHeight="1">
      <c r="A275" s="268"/>
      <c r="J275" s="180"/>
    </row>
    <row r="276" ht="15.75" customHeight="1">
      <c r="A276" s="268"/>
      <c r="J276" s="180"/>
    </row>
    <row r="277" ht="15.75" customHeight="1">
      <c r="A277" s="268"/>
      <c r="J277" s="180"/>
    </row>
    <row r="278" ht="15.75" customHeight="1">
      <c r="A278" s="268"/>
      <c r="J278" s="180"/>
    </row>
    <row r="279" ht="15.75" customHeight="1">
      <c r="A279" s="268"/>
      <c r="J279" s="180"/>
    </row>
    <row r="280" ht="15.75" customHeight="1">
      <c r="A280" s="268"/>
      <c r="J280" s="180"/>
    </row>
    <row r="281" ht="15.75" customHeight="1">
      <c r="A281" s="268"/>
      <c r="J281" s="180"/>
    </row>
    <row r="282" ht="15.75" customHeight="1">
      <c r="A282" s="268"/>
      <c r="J282" s="180"/>
    </row>
    <row r="283" ht="15.75" customHeight="1">
      <c r="A283" s="268"/>
      <c r="J283" s="180"/>
    </row>
    <row r="284" ht="15.75" customHeight="1">
      <c r="A284" s="268"/>
      <c r="J284" s="180"/>
    </row>
    <row r="285" ht="15.75" customHeight="1">
      <c r="A285" s="268"/>
      <c r="J285" s="180"/>
    </row>
    <row r="286" ht="15.75" customHeight="1">
      <c r="A286" s="268"/>
      <c r="J286" s="180"/>
    </row>
    <row r="287" ht="15.75" customHeight="1">
      <c r="A287" s="268"/>
      <c r="J287" s="180"/>
    </row>
    <row r="288" ht="15.75" customHeight="1">
      <c r="A288" s="268"/>
      <c r="J288" s="180"/>
    </row>
    <row r="289" ht="15.75" customHeight="1">
      <c r="A289" s="268"/>
      <c r="J289" s="180"/>
    </row>
    <row r="290" ht="15.75" customHeight="1">
      <c r="A290" s="268"/>
      <c r="J290" s="180"/>
    </row>
    <row r="291" ht="15.75" customHeight="1">
      <c r="A291" s="268"/>
      <c r="J291" s="180"/>
    </row>
    <row r="292" ht="15.75" customHeight="1">
      <c r="A292" s="268"/>
      <c r="J292" s="180"/>
    </row>
    <row r="293" ht="15.75" customHeight="1">
      <c r="A293" s="268"/>
      <c r="J293" s="180"/>
    </row>
    <row r="294" ht="15.75" customHeight="1">
      <c r="A294" s="268"/>
      <c r="J294" s="180"/>
    </row>
    <row r="295" ht="15.75" customHeight="1">
      <c r="A295" s="268"/>
      <c r="J295" s="180"/>
    </row>
    <row r="296" ht="15.75" customHeight="1">
      <c r="A296" s="268"/>
      <c r="J296" s="180"/>
    </row>
    <row r="297" ht="15.75" customHeight="1">
      <c r="A297" s="268"/>
      <c r="J297" s="180"/>
    </row>
    <row r="298" ht="15.75" customHeight="1">
      <c r="A298" s="268"/>
      <c r="J298" s="180"/>
    </row>
    <row r="299" ht="15.75" customHeight="1">
      <c r="A299" s="268"/>
      <c r="J299" s="180"/>
    </row>
    <row r="300" ht="15.75" customHeight="1">
      <c r="A300" s="268"/>
      <c r="J300" s="180"/>
    </row>
    <row r="301" ht="15.75" customHeight="1">
      <c r="A301" s="268"/>
      <c r="J301" s="180"/>
    </row>
    <row r="302" ht="15.75" customHeight="1">
      <c r="A302" s="268"/>
      <c r="J302" s="180"/>
    </row>
    <row r="303" ht="15.75" customHeight="1">
      <c r="A303" s="268"/>
      <c r="J303" s="180"/>
    </row>
    <row r="304" ht="15.75" customHeight="1">
      <c r="A304" s="268"/>
      <c r="J304" s="180"/>
    </row>
    <row r="305" ht="15.75" customHeight="1">
      <c r="A305" s="268"/>
      <c r="J305" s="180"/>
    </row>
    <row r="306" ht="15.75" customHeight="1">
      <c r="A306" s="268"/>
      <c r="J306" s="180"/>
    </row>
    <row r="307" ht="15.75" customHeight="1">
      <c r="A307" s="268"/>
      <c r="J307" s="180"/>
    </row>
    <row r="308" ht="15.75" customHeight="1">
      <c r="A308" s="268"/>
      <c r="J308" s="180"/>
    </row>
    <row r="309" ht="15.75" customHeight="1">
      <c r="A309" s="268"/>
      <c r="J309" s="180"/>
    </row>
    <row r="310" ht="15.75" customHeight="1">
      <c r="A310" s="268"/>
      <c r="J310" s="180"/>
    </row>
    <row r="311" ht="15.75" customHeight="1">
      <c r="A311" s="268"/>
      <c r="J311" s="180"/>
    </row>
    <row r="312" ht="15.75" customHeight="1">
      <c r="A312" s="268"/>
      <c r="J312" s="180"/>
    </row>
    <row r="313" ht="15.75" customHeight="1">
      <c r="A313" s="268"/>
      <c r="J313" s="180"/>
    </row>
    <row r="314" ht="15.75" customHeight="1">
      <c r="A314" s="268"/>
      <c r="J314" s="180"/>
    </row>
    <row r="315" ht="15.75" customHeight="1">
      <c r="A315" s="268"/>
      <c r="J315" s="180"/>
    </row>
    <row r="316" ht="15.75" customHeight="1">
      <c r="A316" s="268"/>
      <c r="J316" s="180"/>
    </row>
    <row r="317" ht="15.75" customHeight="1">
      <c r="A317" s="268"/>
      <c r="J317" s="180"/>
    </row>
    <row r="318" ht="15.75" customHeight="1">
      <c r="A318" s="268"/>
      <c r="J318" s="180"/>
    </row>
    <row r="319" ht="15.75" customHeight="1">
      <c r="A319" s="268"/>
      <c r="J319" s="180"/>
    </row>
    <row r="320" ht="15.75" customHeight="1">
      <c r="A320" s="268"/>
      <c r="J320" s="180"/>
    </row>
    <row r="321" ht="15.75" customHeight="1">
      <c r="A321" s="268"/>
      <c r="J321" s="180"/>
    </row>
    <row r="322" ht="15.75" customHeight="1">
      <c r="A322" s="268"/>
      <c r="J322" s="180"/>
    </row>
    <row r="323" ht="15.75" customHeight="1">
      <c r="A323" s="268"/>
      <c r="J323" s="180"/>
    </row>
    <row r="324" ht="15.75" customHeight="1">
      <c r="A324" s="268"/>
      <c r="J324" s="180"/>
    </row>
    <row r="325" ht="15.75" customHeight="1">
      <c r="A325" s="268"/>
      <c r="J325" s="180"/>
    </row>
    <row r="326" ht="15.75" customHeight="1">
      <c r="A326" s="268"/>
      <c r="J326" s="180"/>
    </row>
    <row r="327" ht="15.75" customHeight="1">
      <c r="A327" s="268"/>
      <c r="J327" s="180"/>
    </row>
    <row r="328" ht="15.75" customHeight="1">
      <c r="A328" s="268"/>
      <c r="J328" s="180"/>
    </row>
    <row r="329" ht="15.75" customHeight="1">
      <c r="A329" s="268"/>
      <c r="J329" s="180"/>
    </row>
    <row r="330" ht="15.75" customHeight="1">
      <c r="A330" s="268"/>
      <c r="J330" s="180"/>
    </row>
    <row r="331" ht="15.75" customHeight="1">
      <c r="A331" s="268"/>
      <c r="J331" s="180"/>
    </row>
    <row r="332" ht="15.75" customHeight="1">
      <c r="A332" s="268"/>
      <c r="J332" s="180"/>
    </row>
    <row r="333" ht="15.75" customHeight="1">
      <c r="A333" s="268"/>
      <c r="J333" s="180"/>
    </row>
    <row r="334" ht="15.75" customHeight="1">
      <c r="A334" s="268"/>
      <c r="J334" s="180"/>
    </row>
    <row r="335" ht="15.75" customHeight="1">
      <c r="A335" s="268"/>
      <c r="J335" s="180"/>
    </row>
    <row r="336" ht="15.75" customHeight="1">
      <c r="A336" s="268"/>
      <c r="J336" s="180"/>
    </row>
    <row r="337" ht="15.75" customHeight="1">
      <c r="A337" s="268"/>
      <c r="J337" s="180"/>
    </row>
    <row r="338" ht="15.75" customHeight="1">
      <c r="A338" s="268"/>
      <c r="J338" s="180"/>
    </row>
    <row r="339" ht="15.75" customHeight="1">
      <c r="A339" s="268"/>
      <c r="J339" s="180"/>
    </row>
    <row r="340" ht="15.75" customHeight="1">
      <c r="A340" s="268"/>
      <c r="J340" s="180"/>
    </row>
    <row r="341" ht="15.75" customHeight="1">
      <c r="A341" s="268"/>
      <c r="J341" s="180"/>
    </row>
    <row r="342" ht="15.75" customHeight="1">
      <c r="A342" s="268"/>
      <c r="J342" s="180"/>
    </row>
    <row r="343" ht="15.75" customHeight="1">
      <c r="A343" s="268"/>
      <c r="J343" s="180"/>
    </row>
    <row r="344" ht="15.75" customHeight="1">
      <c r="A344" s="268"/>
      <c r="J344" s="180"/>
    </row>
    <row r="345" ht="15.75" customHeight="1">
      <c r="A345" s="268"/>
      <c r="J345" s="180"/>
    </row>
    <row r="346" ht="15.75" customHeight="1">
      <c r="A346" s="268"/>
      <c r="J346" s="180"/>
    </row>
    <row r="347" ht="15.75" customHeight="1">
      <c r="A347" s="268"/>
      <c r="J347" s="180"/>
    </row>
    <row r="348" ht="15.75" customHeight="1">
      <c r="A348" s="268"/>
      <c r="J348" s="180"/>
    </row>
    <row r="349" ht="15.75" customHeight="1">
      <c r="A349" s="268"/>
      <c r="J349" s="180"/>
    </row>
    <row r="350" ht="15.75" customHeight="1">
      <c r="A350" s="268"/>
      <c r="J350" s="180"/>
    </row>
    <row r="351" ht="15.75" customHeight="1">
      <c r="A351" s="268"/>
      <c r="J351" s="180"/>
    </row>
    <row r="352" ht="15.75" customHeight="1">
      <c r="A352" s="268"/>
      <c r="J352" s="180"/>
    </row>
    <row r="353" ht="15.75" customHeight="1">
      <c r="A353" s="268"/>
      <c r="J353" s="180"/>
    </row>
    <row r="354" ht="15.75" customHeight="1">
      <c r="A354" s="268"/>
      <c r="J354" s="180"/>
    </row>
    <row r="355" ht="15.75" customHeight="1">
      <c r="A355" s="268"/>
      <c r="J355" s="180"/>
    </row>
    <row r="356" ht="15.75" customHeight="1">
      <c r="A356" s="268"/>
      <c r="J356" s="180"/>
    </row>
    <row r="357" ht="15.75" customHeight="1">
      <c r="A357" s="268"/>
      <c r="J357" s="180"/>
    </row>
    <row r="358" ht="15.75" customHeight="1">
      <c r="A358" s="268"/>
      <c r="J358" s="180"/>
    </row>
    <row r="359" ht="15.75" customHeight="1">
      <c r="A359" s="268"/>
      <c r="J359" s="180"/>
    </row>
    <row r="360" ht="15.75" customHeight="1">
      <c r="A360" s="268"/>
      <c r="J360" s="180"/>
    </row>
    <row r="361" ht="15.75" customHeight="1">
      <c r="A361" s="268"/>
      <c r="J361" s="180"/>
    </row>
    <row r="362" ht="15.75" customHeight="1">
      <c r="A362" s="268"/>
      <c r="J362" s="180"/>
    </row>
    <row r="363" ht="15.75" customHeight="1">
      <c r="A363" s="268"/>
      <c r="J363" s="180"/>
    </row>
    <row r="364" ht="15.75" customHeight="1">
      <c r="A364" s="268"/>
      <c r="J364" s="180"/>
    </row>
    <row r="365" ht="15.75" customHeight="1">
      <c r="A365" s="268"/>
      <c r="J365" s="180"/>
    </row>
    <row r="366" ht="15.75" customHeight="1">
      <c r="A366" s="268"/>
      <c r="J366" s="180"/>
    </row>
    <row r="367" ht="15.75" customHeight="1">
      <c r="A367" s="268"/>
      <c r="J367" s="180"/>
    </row>
    <row r="368" ht="15.75" customHeight="1">
      <c r="A368" s="268"/>
      <c r="J368" s="180"/>
    </row>
    <row r="369" ht="15.75" customHeight="1">
      <c r="A369" s="268"/>
      <c r="J369" s="180"/>
    </row>
    <row r="370" ht="15.75" customHeight="1">
      <c r="A370" s="268"/>
      <c r="J370" s="180"/>
    </row>
    <row r="371" ht="15.75" customHeight="1">
      <c r="A371" s="268"/>
      <c r="J371" s="180"/>
    </row>
    <row r="372" ht="15.75" customHeight="1">
      <c r="A372" s="268"/>
      <c r="J372" s="180"/>
    </row>
    <row r="373" ht="15.75" customHeight="1">
      <c r="A373" s="268"/>
      <c r="J373" s="180"/>
    </row>
    <row r="374" ht="15.75" customHeight="1">
      <c r="A374" s="268"/>
      <c r="J374" s="180"/>
    </row>
    <row r="375" ht="15.75" customHeight="1">
      <c r="A375" s="268"/>
      <c r="J375" s="180"/>
    </row>
    <row r="376" ht="15.75" customHeight="1">
      <c r="A376" s="268"/>
      <c r="J376" s="180"/>
    </row>
    <row r="377" ht="15.75" customHeight="1">
      <c r="A377" s="268"/>
      <c r="J377" s="180"/>
    </row>
    <row r="378" ht="15.75" customHeight="1">
      <c r="A378" s="268"/>
      <c r="J378" s="180"/>
    </row>
    <row r="379" ht="15.75" customHeight="1">
      <c r="A379" s="268"/>
      <c r="J379" s="180"/>
    </row>
    <row r="380" ht="15.75" customHeight="1">
      <c r="A380" s="268"/>
      <c r="J380" s="180"/>
    </row>
    <row r="381" ht="15.75" customHeight="1">
      <c r="A381" s="268"/>
      <c r="J381" s="180"/>
    </row>
    <row r="382" ht="15.75" customHeight="1">
      <c r="A382" s="268"/>
      <c r="J382" s="180"/>
    </row>
    <row r="383" ht="15.75" customHeight="1">
      <c r="A383" s="268"/>
      <c r="J383" s="180"/>
    </row>
    <row r="384" ht="15.75" customHeight="1">
      <c r="A384" s="268"/>
      <c r="J384" s="180"/>
    </row>
    <row r="385" ht="15.75" customHeight="1">
      <c r="A385" s="268"/>
      <c r="J385" s="180"/>
    </row>
    <row r="386" ht="15.75" customHeight="1">
      <c r="A386" s="268"/>
      <c r="J386" s="180"/>
    </row>
    <row r="387" ht="15.75" customHeight="1">
      <c r="A387" s="268"/>
      <c r="J387" s="180"/>
    </row>
    <row r="388" ht="15.75" customHeight="1">
      <c r="A388" s="268"/>
      <c r="J388" s="180"/>
    </row>
    <row r="389" ht="15.75" customHeight="1">
      <c r="A389" s="268"/>
      <c r="J389" s="180"/>
    </row>
    <row r="390" ht="15.75" customHeight="1">
      <c r="A390" s="268"/>
      <c r="J390" s="180"/>
    </row>
    <row r="391" ht="15.75" customHeight="1">
      <c r="A391" s="268"/>
      <c r="J391" s="180"/>
    </row>
    <row r="392" ht="15.75" customHeight="1">
      <c r="A392" s="268"/>
      <c r="J392" s="180"/>
    </row>
    <row r="393" ht="15.75" customHeight="1">
      <c r="A393" s="268"/>
      <c r="J393" s="180"/>
    </row>
    <row r="394" ht="15.75" customHeight="1">
      <c r="A394" s="268"/>
      <c r="J394" s="180"/>
    </row>
    <row r="395" ht="15.75" customHeight="1">
      <c r="A395" s="268"/>
      <c r="J395" s="180"/>
    </row>
    <row r="396" ht="15.75" customHeight="1">
      <c r="A396" s="268"/>
      <c r="J396" s="180"/>
    </row>
    <row r="397" ht="15.75" customHeight="1">
      <c r="A397" s="268"/>
      <c r="J397" s="180"/>
    </row>
    <row r="398" ht="15.75" customHeight="1">
      <c r="A398" s="268"/>
      <c r="J398" s="180"/>
    </row>
    <row r="399" ht="15.75" customHeight="1">
      <c r="A399" s="268"/>
      <c r="J399" s="180"/>
    </row>
    <row r="400" ht="15.75" customHeight="1">
      <c r="A400" s="268"/>
      <c r="J400" s="180"/>
    </row>
    <row r="401" ht="15.75" customHeight="1">
      <c r="A401" s="268"/>
      <c r="J401" s="180"/>
    </row>
    <row r="402" ht="15.75" customHeight="1">
      <c r="A402" s="268"/>
      <c r="J402" s="180"/>
    </row>
    <row r="403" ht="15.75" customHeight="1">
      <c r="A403" s="268"/>
      <c r="J403" s="180"/>
    </row>
    <row r="404" ht="15.75" customHeight="1">
      <c r="A404" s="268"/>
      <c r="J404" s="180"/>
    </row>
    <row r="405" ht="15.75" customHeight="1">
      <c r="A405" s="268"/>
      <c r="J405" s="180"/>
    </row>
    <row r="406" ht="15.75" customHeight="1">
      <c r="A406" s="268"/>
      <c r="J406" s="180"/>
    </row>
    <row r="407" ht="15.75" customHeight="1">
      <c r="A407" s="268"/>
      <c r="J407" s="180"/>
    </row>
    <row r="408" ht="15.75" customHeight="1">
      <c r="A408" s="268"/>
      <c r="J408" s="180"/>
    </row>
    <row r="409" ht="15.75" customHeight="1">
      <c r="A409" s="268"/>
      <c r="J409" s="180"/>
    </row>
    <row r="410" ht="15.75" customHeight="1">
      <c r="A410" s="268"/>
      <c r="J410" s="180"/>
    </row>
    <row r="411" ht="15.75" customHeight="1">
      <c r="A411" s="268"/>
      <c r="J411" s="180"/>
    </row>
    <row r="412" ht="15.75" customHeight="1">
      <c r="A412" s="268"/>
      <c r="J412" s="180"/>
    </row>
    <row r="413" ht="15.75" customHeight="1">
      <c r="A413" s="268"/>
      <c r="J413" s="180"/>
    </row>
    <row r="414" ht="15.75" customHeight="1">
      <c r="A414" s="268"/>
      <c r="J414" s="180"/>
    </row>
    <row r="415" ht="15.75" customHeight="1">
      <c r="A415" s="268"/>
      <c r="J415" s="180"/>
    </row>
    <row r="416" ht="15.75" customHeight="1">
      <c r="A416" s="268"/>
      <c r="J416" s="180"/>
    </row>
    <row r="417" ht="15.75" customHeight="1">
      <c r="A417" s="268"/>
      <c r="J417" s="180"/>
    </row>
    <row r="418" ht="15.75" customHeight="1">
      <c r="A418" s="268"/>
      <c r="J418" s="180"/>
    </row>
    <row r="419" ht="15.75" customHeight="1">
      <c r="A419" s="268"/>
      <c r="J419" s="180"/>
    </row>
    <row r="420" ht="15.75" customHeight="1">
      <c r="A420" s="268"/>
      <c r="J420" s="180"/>
    </row>
    <row r="421" ht="15.75" customHeight="1">
      <c r="A421" s="268"/>
      <c r="J421" s="180"/>
    </row>
    <row r="422" ht="15.75" customHeight="1">
      <c r="A422" s="268"/>
      <c r="J422" s="180"/>
    </row>
    <row r="423" ht="15.75" customHeight="1">
      <c r="A423" s="268"/>
      <c r="J423" s="180"/>
    </row>
    <row r="424" ht="15.75" customHeight="1">
      <c r="A424" s="268"/>
      <c r="J424" s="180"/>
    </row>
    <row r="425" ht="15.75" customHeight="1">
      <c r="A425" s="268"/>
      <c r="J425" s="180"/>
    </row>
    <row r="426" ht="15.75" customHeight="1">
      <c r="A426" s="268"/>
      <c r="J426" s="180"/>
    </row>
    <row r="427" ht="15.75" customHeight="1">
      <c r="A427" s="268"/>
      <c r="J427" s="180"/>
    </row>
    <row r="428" ht="15.75" customHeight="1">
      <c r="A428" s="268"/>
      <c r="J428" s="180"/>
    </row>
    <row r="429" ht="15.75" customHeight="1">
      <c r="A429" s="268"/>
      <c r="J429" s="180"/>
    </row>
    <row r="430" ht="15.75" customHeight="1">
      <c r="A430" s="268"/>
      <c r="J430" s="180"/>
    </row>
    <row r="431" ht="15.75" customHeight="1">
      <c r="A431" s="268"/>
      <c r="J431" s="180"/>
    </row>
    <row r="432" ht="15.75" customHeight="1">
      <c r="A432" s="268"/>
      <c r="J432" s="180"/>
    </row>
    <row r="433" ht="15.75" customHeight="1">
      <c r="A433" s="268"/>
      <c r="J433" s="180"/>
    </row>
    <row r="434" ht="15.75" customHeight="1">
      <c r="A434" s="268"/>
      <c r="J434" s="180"/>
    </row>
    <row r="435" ht="15.75" customHeight="1">
      <c r="A435" s="268"/>
      <c r="J435" s="180"/>
    </row>
    <row r="436" ht="15.75" customHeight="1">
      <c r="A436" s="268"/>
      <c r="J436" s="180"/>
    </row>
    <row r="437" ht="15.75" customHeight="1">
      <c r="A437" s="268"/>
      <c r="J437" s="180"/>
    </row>
    <row r="438" ht="15.75" customHeight="1">
      <c r="A438" s="268"/>
      <c r="J438" s="180"/>
    </row>
    <row r="439" ht="15.75" customHeight="1">
      <c r="A439" s="268"/>
      <c r="J439" s="180"/>
    </row>
    <row r="440" ht="15.75" customHeight="1">
      <c r="A440" s="268"/>
      <c r="J440" s="180"/>
    </row>
    <row r="441" ht="15.75" customHeight="1">
      <c r="A441" s="268"/>
      <c r="J441" s="180"/>
    </row>
    <row r="442" ht="15.75" customHeight="1">
      <c r="A442" s="268"/>
      <c r="J442" s="180"/>
    </row>
    <row r="443" ht="15.75" customHeight="1">
      <c r="A443" s="268"/>
      <c r="J443" s="180"/>
    </row>
    <row r="444" ht="15.75" customHeight="1">
      <c r="A444" s="268"/>
      <c r="J444" s="180"/>
    </row>
    <row r="445" ht="15.75" customHeight="1">
      <c r="A445" s="268"/>
      <c r="J445" s="180"/>
    </row>
    <row r="446" ht="15.75" customHeight="1">
      <c r="A446" s="268"/>
      <c r="J446" s="180"/>
    </row>
    <row r="447" ht="15.75" customHeight="1">
      <c r="A447" s="268"/>
      <c r="J447" s="180"/>
    </row>
    <row r="448" ht="15.75" customHeight="1">
      <c r="A448" s="268"/>
      <c r="J448" s="180"/>
    </row>
    <row r="449" ht="15.75" customHeight="1">
      <c r="A449" s="268"/>
      <c r="J449" s="180"/>
    </row>
    <row r="450" ht="15.75" customHeight="1">
      <c r="A450" s="268"/>
      <c r="J450" s="180"/>
    </row>
    <row r="451" ht="15.75" customHeight="1">
      <c r="A451" s="268"/>
      <c r="J451" s="180"/>
    </row>
    <row r="452" ht="15.75" customHeight="1">
      <c r="A452" s="268"/>
      <c r="J452" s="180"/>
    </row>
    <row r="453" ht="15.75" customHeight="1">
      <c r="A453" s="268"/>
      <c r="J453" s="180"/>
    </row>
    <row r="454" ht="15.75" customHeight="1">
      <c r="A454" s="268"/>
      <c r="J454" s="180"/>
    </row>
    <row r="455" ht="15.75" customHeight="1">
      <c r="A455" s="268"/>
      <c r="J455" s="180"/>
    </row>
    <row r="456" ht="15.75" customHeight="1">
      <c r="A456" s="268"/>
      <c r="J456" s="180"/>
    </row>
    <row r="457" ht="15.75" customHeight="1">
      <c r="A457" s="268"/>
      <c r="J457" s="180"/>
    </row>
    <row r="458" ht="15.75" customHeight="1">
      <c r="A458" s="268"/>
      <c r="J458" s="180"/>
    </row>
    <row r="459" ht="15.75" customHeight="1">
      <c r="A459" s="268"/>
      <c r="J459" s="180"/>
    </row>
    <row r="460" ht="15.75" customHeight="1">
      <c r="A460" s="268"/>
      <c r="J460" s="180"/>
    </row>
    <row r="461" ht="15.75" customHeight="1">
      <c r="A461" s="268"/>
      <c r="J461" s="180"/>
    </row>
    <row r="462" ht="15.75" customHeight="1">
      <c r="A462" s="268"/>
      <c r="J462" s="180"/>
    </row>
    <row r="463" ht="15.75" customHeight="1">
      <c r="A463" s="268"/>
      <c r="J463" s="180"/>
    </row>
    <row r="464" ht="15.75" customHeight="1">
      <c r="A464" s="268"/>
      <c r="J464" s="180"/>
    </row>
    <row r="465" ht="15.75" customHeight="1">
      <c r="A465" s="268"/>
      <c r="J465" s="180"/>
    </row>
    <row r="466" ht="15.75" customHeight="1">
      <c r="A466" s="268"/>
      <c r="J466" s="180"/>
    </row>
    <row r="467" ht="15.75" customHeight="1">
      <c r="A467" s="268"/>
      <c r="J467" s="180"/>
    </row>
    <row r="468" ht="15.75" customHeight="1">
      <c r="A468" s="268"/>
      <c r="J468" s="180"/>
    </row>
    <row r="469" ht="15.75" customHeight="1">
      <c r="A469" s="268"/>
      <c r="J469" s="180"/>
    </row>
    <row r="470" ht="15.75" customHeight="1">
      <c r="A470" s="268"/>
      <c r="J470" s="180"/>
    </row>
    <row r="471" ht="15.75" customHeight="1">
      <c r="A471" s="268"/>
      <c r="J471" s="180"/>
    </row>
    <row r="472" ht="15.75" customHeight="1">
      <c r="A472" s="268"/>
      <c r="J472" s="180"/>
    </row>
    <row r="473" ht="15.75" customHeight="1">
      <c r="A473" s="268"/>
      <c r="J473" s="180"/>
    </row>
    <row r="474" ht="15.75" customHeight="1">
      <c r="A474" s="268"/>
      <c r="J474" s="180"/>
    </row>
    <row r="475" ht="15.75" customHeight="1">
      <c r="A475" s="268"/>
      <c r="J475" s="180"/>
    </row>
    <row r="476" ht="15.75" customHeight="1">
      <c r="A476" s="268"/>
      <c r="J476" s="180"/>
    </row>
    <row r="477" ht="15.75" customHeight="1">
      <c r="A477" s="268"/>
      <c r="J477" s="180"/>
    </row>
    <row r="478" ht="15.75" customHeight="1">
      <c r="A478" s="268"/>
      <c r="J478" s="180"/>
    </row>
    <row r="479" ht="15.75" customHeight="1">
      <c r="A479" s="268"/>
      <c r="J479" s="180"/>
    </row>
    <row r="480" ht="15.75" customHeight="1">
      <c r="A480" s="268"/>
      <c r="J480" s="180"/>
    </row>
    <row r="481" ht="15.75" customHeight="1">
      <c r="A481" s="268"/>
      <c r="J481" s="180"/>
    </row>
    <row r="482" ht="15.75" customHeight="1">
      <c r="A482" s="268"/>
      <c r="J482" s="180"/>
    </row>
    <row r="483" ht="15.75" customHeight="1">
      <c r="A483" s="268"/>
      <c r="J483" s="180"/>
    </row>
    <row r="484" ht="15.75" customHeight="1">
      <c r="A484" s="268"/>
      <c r="J484" s="180"/>
    </row>
    <row r="485" ht="15.75" customHeight="1">
      <c r="A485" s="268"/>
      <c r="J485" s="180"/>
    </row>
    <row r="486" ht="15.75" customHeight="1">
      <c r="A486" s="268"/>
      <c r="J486" s="180"/>
    </row>
    <row r="487" ht="15.75" customHeight="1">
      <c r="A487" s="268"/>
      <c r="J487" s="180"/>
    </row>
    <row r="488" ht="15.75" customHeight="1">
      <c r="A488" s="268"/>
      <c r="J488" s="180"/>
    </row>
    <row r="489" ht="15.75" customHeight="1">
      <c r="A489" s="268"/>
      <c r="J489" s="180"/>
    </row>
    <row r="490" ht="15.75" customHeight="1">
      <c r="A490" s="268"/>
      <c r="J490" s="180"/>
    </row>
    <row r="491" ht="15.75" customHeight="1">
      <c r="A491" s="268"/>
      <c r="J491" s="180"/>
    </row>
    <row r="492" ht="15.75" customHeight="1">
      <c r="A492" s="268"/>
      <c r="J492" s="180"/>
    </row>
    <row r="493" ht="15.75" customHeight="1">
      <c r="A493" s="268"/>
      <c r="J493" s="180"/>
    </row>
    <row r="494" ht="15.75" customHeight="1">
      <c r="A494" s="268"/>
      <c r="J494" s="180"/>
    </row>
    <row r="495" ht="15.75" customHeight="1">
      <c r="A495" s="268"/>
      <c r="J495" s="180"/>
    </row>
    <row r="496" ht="15.75" customHeight="1">
      <c r="A496" s="268"/>
      <c r="J496" s="180"/>
    </row>
    <row r="497" ht="15.75" customHeight="1">
      <c r="A497" s="268"/>
      <c r="J497" s="180"/>
    </row>
    <row r="498" ht="15.75" customHeight="1">
      <c r="A498" s="268"/>
      <c r="J498" s="180"/>
    </row>
    <row r="499" ht="15.75" customHeight="1">
      <c r="A499" s="268"/>
      <c r="J499" s="180"/>
    </row>
    <row r="500" ht="15.75" customHeight="1">
      <c r="A500" s="268"/>
      <c r="J500" s="180"/>
    </row>
    <row r="501" ht="15.75" customHeight="1">
      <c r="A501" s="268"/>
      <c r="J501" s="180"/>
    </row>
    <row r="502" ht="15.75" customHeight="1">
      <c r="A502" s="268"/>
      <c r="J502" s="180"/>
    </row>
    <row r="503" ht="15.75" customHeight="1">
      <c r="A503" s="268"/>
      <c r="J503" s="180"/>
    </row>
    <row r="504" ht="15.75" customHeight="1">
      <c r="A504" s="268"/>
      <c r="J504" s="180"/>
    </row>
    <row r="505" ht="15.75" customHeight="1">
      <c r="A505" s="268"/>
      <c r="J505" s="180"/>
    </row>
    <row r="506" ht="15.75" customHeight="1">
      <c r="A506" s="268"/>
      <c r="J506" s="180"/>
    </row>
    <row r="507" ht="15.75" customHeight="1">
      <c r="A507" s="268"/>
      <c r="J507" s="180"/>
    </row>
    <row r="508" ht="15.75" customHeight="1">
      <c r="A508" s="268"/>
      <c r="J508" s="180"/>
    </row>
    <row r="509" ht="15.75" customHeight="1">
      <c r="A509" s="268"/>
      <c r="J509" s="180"/>
    </row>
    <row r="510" ht="15.75" customHeight="1">
      <c r="A510" s="268"/>
      <c r="J510" s="180"/>
    </row>
    <row r="511" ht="15.75" customHeight="1">
      <c r="A511" s="268"/>
      <c r="J511" s="180"/>
    </row>
    <row r="512" ht="15.75" customHeight="1">
      <c r="A512" s="268"/>
      <c r="J512" s="180"/>
    </row>
    <row r="513" ht="15.75" customHeight="1">
      <c r="A513" s="268"/>
      <c r="J513" s="180"/>
    </row>
    <row r="514" ht="15.75" customHeight="1">
      <c r="A514" s="268"/>
      <c r="J514" s="180"/>
    </row>
    <row r="515" ht="15.75" customHeight="1">
      <c r="A515" s="268"/>
      <c r="J515" s="180"/>
    </row>
    <row r="516" ht="15.75" customHeight="1">
      <c r="A516" s="268"/>
      <c r="J516" s="180"/>
    </row>
    <row r="517" ht="15.75" customHeight="1">
      <c r="A517" s="268"/>
      <c r="J517" s="180"/>
    </row>
    <row r="518" ht="15.75" customHeight="1">
      <c r="A518" s="268"/>
      <c r="J518" s="180"/>
    </row>
    <row r="519" ht="15.75" customHeight="1">
      <c r="A519" s="268"/>
      <c r="J519" s="180"/>
    </row>
    <row r="520" ht="15.75" customHeight="1">
      <c r="A520" s="268"/>
      <c r="J520" s="180"/>
    </row>
    <row r="521" ht="15.75" customHeight="1">
      <c r="A521" s="268"/>
      <c r="J521" s="180"/>
    </row>
    <row r="522" ht="15.75" customHeight="1">
      <c r="A522" s="268"/>
      <c r="J522" s="180"/>
    </row>
    <row r="523" ht="15.75" customHeight="1">
      <c r="A523" s="268"/>
      <c r="J523" s="180"/>
    </row>
    <row r="524" ht="15.75" customHeight="1">
      <c r="A524" s="268"/>
      <c r="J524" s="180"/>
    </row>
    <row r="525" ht="15.75" customHeight="1">
      <c r="A525" s="268"/>
      <c r="J525" s="180"/>
    </row>
    <row r="526" ht="15.75" customHeight="1">
      <c r="A526" s="268"/>
      <c r="J526" s="180"/>
    </row>
    <row r="527" ht="15.75" customHeight="1">
      <c r="A527" s="268"/>
      <c r="J527" s="180"/>
    </row>
    <row r="528" ht="15.75" customHeight="1">
      <c r="A528" s="268"/>
      <c r="J528" s="180"/>
    </row>
    <row r="529" ht="15.75" customHeight="1">
      <c r="A529" s="268"/>
      <c r="J529" s="180"/>
    </row>
    <row r="530" ht="15.75" customHeight="1">
      <c r="A530" s="268"/>
      <c r="J530" s="180"/>
    </row>
    <row r="531" ht="15.75" customHeight="1">
      <c r="A531" s="268"/>
      <c r="J531" s="180"/>
    </row>
    <row r="532" ht="15.75" customHeight="1">
      <c r="A532" s="268"/>
      <c r="J532" s="180"/>
    </row>
    <row r="533" ht="15.75" customHeight="1">
      <c r="A533" s="268"/>
      <c r="J533" s="180"/>
    </row>
    <row r="534" ht="15.75" customHeight="1">
      <c r="A534" s="268"/>
      <c r="J534" s="180"/>
    </row>
    <row r="535" ht="15.75" customHeight="1">
      <c r="A535" s="268"/>
      <c r="J535" s="180"/>
    </row>
    <row r="536" ht="15.75" customHeight="1">
      <c r="A536" s="268"/>
      <c r="J536" s="180"/>
    </row>
    <row r="537" ht="15.75" customHeight="1">
      <c r="A537" s="268"/>
      <c r="J537" s="180"/>
    </row>
    <row r="538" ht="15.75" customHeight="1">
      <c r="A538" s="268"/>
      <c r="J538" s="180"/>
    </row>
    <row r="539" ht="15.75" customHeight="1">
      <c r="A539" s="268"/>
      <c r="J539" s="180"/>
    </row>
    <row r="540" ht="15.75" customHeight="1">
      <c r="A540" s="268"/>
      <c r="J540" s="180"/>
    </row>
    <row r="541" ht="15.75" customHeight="1">
      <c r="A541" s="268"/>
      <c r="J541" s="180"/>
    </row>
    <row r="542" ht="15.75" customHeight="1">
      <c r="A542" s="268"/>
      <c r="J542" s="180"/>
    </row>
    <row r="543" ht="15.75" customHeight="1">
      <c r="A543" s="268"/>
      <c r="J543" s="180"/>
    </row>
    <row r="544" ht="15.75" customHeight="1">
      <c r="A544" s="268"/>
      <c r="J544" s="180"/>
    </row>
    <row r="545" ht="15.75" customHeight="1">
      <c r="A545" s="268"/>
      <c r="J545" s="180"/>
    </row>
    <row r="546" ht="15.75" customHeight="1">
      <c r="A546" s="268"/>
      <c r="J546" s="180"/>
    </row>
    <row r="547" ht="15.75" customHeight="1">
      <c r="A547" s="268"/>
      <c r="J547" s="180"/>
    </row>
    <row r="548" ht="15.75" customHeight="1">
      <c r="A548" s="268"/>
      <c r="J548" s="180"/>
    </row>
    <row r="549" ht="15.75" customHeight="1">
      <c r="A549" s="268"/>
      <c r="J549" s="180"/>
    </row>
    <row r="550" ht="15.75" customHeight="1">
      <c r="A550" s="268"/>
      <c r="J550" s="180"/>
    </row>
    <row r="551" ht="15.75" customHeight="1">
      <c r="A551" s="268"/>
      <c r="J551" s="180"/>
    </row>
    <row r="552" ht="15.75" customHeight="1">
      <c r="A552" s="268"/>
      <c r="J552" s="180"/>
    </row>
    <row r="553" ht="15.75" customHeight="1">
      <c r="A553" s="268"/>
      <c r="J553" s="180"/>
    </row>
    <row r="554" ht="15.75" customHeight="1">
      <c r="A554" s="268"/>
      <c r="J554" s="180"/>
    </row>
    <row r="555" ht="15.75" customHeight="1">
      <c r="A555" s="268"/>
      <c r="J555" s="180"/>
    </row>
    <row r="556" ht="15.75" customHeight="1">
      <c r="A556" s="268"/>
      <c r="J556" s="180"/>
    </row>
    <row r="557" ht="15.75" customHeight="1">
      <c r="A557" s="268"/>
      <c r="J557" s="180"/>
    </row>
    <row r="558" ht="15.75" customHeight="1">
      <c r="A558" s="268"/>
      <c r="J558" s="180"/>
    </row>
    <row r="559" ht="15.75" customHeight="1">
      <c r="A559" s="268"/>
      <c r="J559" s="180"/>
    </row>
    <row r="560" ht="15.75" customHeight="1">
      <c r="A560" s="268"/>
      <c r="J560" s="180"/>
    </row>
    <row r="561" ht="15.75" customHeight="1">
      <c r="A561" s="268"/>
      <c r="J561" s="180"/>
    </row>
    <row r="562" ht="15.75" customHeight="1">
      <c r="A562" s="268"/>
      <c r="J562" s="180"/>
    </row>
    <row r="563" ht="15.75" customHeight="1">
      <c r="A563" s="268"/>
      <c r="J563" s="180"/>
    </row>
    <row r="564" ht="15.75" customHeight="1">
      <c r="A564" s="268"/>
      <c r="J564" s="180"/>
    </row>
    <row r="565" ht="15.75" customHeight="1">
      <c r="A565" s="268"/>
      <c r="J565" s="180"/>
    </row>
    <row r="566" ht="15.75" customHeight="1">
      <c r="A566" s="268"/>
      <c r="J566" s="180"/>
    </row>
    <row r="567" ht="15.75" customHeight="1">
      <c r="A567" s="268"/>
      <c r="J567" s="180"/>
    </row>
    <row r="568" ht="15.75" customHeight="1">
      <c r="A568" s="268"/>
      <c r="J568" s="180"/>
    </row>
    <row r="569" ht="15.75" customHeight="1">
      <c r="A569" s="268"/>
      <c r="J569" s="180"/>
    </row>
    <row r="570" ht="15.75" customHeight="1">
      <c r="A570" s="268"/>
      <c r="J570" s="180"/>
    </row>
    <row r="571" ht="15.75" customHeight="1">
      <c r="A571" s="268"/>
      <c r="J571" s="180"/>
    </row>
    <row r="572" ht="15.75" customHeight="1">
      <c r="A572" s="268"/>
      <c r="J572" s="180"/>
    </row>
    <row r="573" ht="15.75" customHeight="1">
      <c r="A573" s="268"/>
      <c r="J573" s="180"/>
    </row>
    <row r="574" ht="15.75" customHeight="1">
      <c r="A574" s="268"/>
      <c r="J574" s="180"/>
    </row>
    <row r="575" ht="15.75" customHeight="1">
      <c r="A575" s="268"/>
      <c r="J575" s="180"/>
    </row>
    <row r="576" ht="15.75" customHeight="1">
      <c r="A576" s="268"/>
      <c r="J576" s="180"/>
    </row>
    <row r="577" ht="15.75" customHeight="1">
      <c r="A577" s="268"/>
      <c r="J577" s="180"/>
    </row>
    <row r="578" ht="15.75" customHeight="1">
      <c r="A578" s="268"/>
      <c r="J578" s="180"/>
    </row>
    <row r="579" ht="15.75" customHeight="1">
      <c r="A579" s="268"/>
      <c r="J579" s="180"/>
    </row>
    <row r="580" ht="15.75" customHeight="1">
      <c r="A580" s="268"/>
      <c r="J580" s="180"/>
    </row>
    <row r="581" ht="15.75" customHeight="1">
      <c r="A581" s="268"/>
      <c r="J581" s="180"/>
    </row>
    <row r="582" ht="15.75" customHeight="1">
      <c r="A582" s="268"/>
      <c r="J582" s="180"/>
    </row>
    <row r="583" ht="15.75" customHeight="1">
      <c r="A583" s="268"/>
      <c r="J583" s="180"/>
    </row>
    <row r="584" ht="15.75" customHeight="1">
      <c r="A584" s="268"/>
      <c r="J584" s="180"/>
    </row>
    <row r="585" ht="15.75" customHeight="1">
      <c r="A585" s="268"/>
      <c r="J585" s="180"/>
    </row>
    <row r="586" ht="15.75" customHeight="1">
      <c r="A586" s="268"/>
      <c r="J586" s="180"/>
    </row>
    <row r="587" ht="15.75" customHeight="1">
      <c r="A587" s="268"/>
      <c r="J587" s="180"/>
    </row>
    <row r="588" ht="15.75" customHeight="1">
      <c r="A588" s="268"/>
      <c r="J588" s="180"/>
    </row>
    <row r="589" ht="15.75" customHeight="1">
      <c r="A589" s="268"/>
      <c r="J589" s="180"/>
    </row>
    <row r="590" ht="15.75" customHeight="1">
      <c r="A590" s="268"/>
      <c r="J590" s="180"/>
    </row>
    <row r="591" ht="15.75" customHeight="1">
      <c r="A591" s="268"/>
      <c r="J591" s="180"/>
    </row>
    <row r="592" ht="15.75" customHeight="1">
      <c r="A592" s="268"/>
      <c r="J592" s="180"/>
    </row>
    <row r="593" ht="15.75" customHeight="1">
      <c r="A593" s="268"/>
      <c r="J593" s="180"/>
    </row>
    <row r="594" ht="15.75" customHeight="1">
      <c r="A594" s="268"/>
      <c r="J594" s="180"/>
    </row>
    <row r="595" ht="15.75" customHeight="1">
      <c r="A595" s="268"/>
      <c r="J595" s="180"/>
    </row>
    <row r="596" ht="15.75" customHeight="1">
      <c r="A596" s="268"/>
      <c r="J596" s="180"/>
    </row>
    <row r="597" ht="15.75" customHeight="1">
      <c r="A597" s="268"/>
      <c r="J597" s="180"/>
    </row>
    <row r="598" ht="15.75" customHeight="1">
      <c r="A598" s="268"/>
      <c r="J598" s="180"/>
    </row>
    <row r="599" ht="15.75" customHeight="1">
      <c r="A599" s="268"/>
      <c r="J599" s="180"/>
    </row>
    <row r="600" ht="15.75" customHeight="1">
      <c r="A600" s="268"/>
      <c r="J600" s="180"/>
    </row>
    <row r="601" ht="15.75" customHeight="1">
      <c r="A601" s="268"/>
      <c r="J601" s="180"/>
    </row>
    <row r="602" ht="15.75" customHeight="1">
      <c r="A602" s="268"/>
      <c r="J602" s="180"/>
    </row>
    <row r="603" ht="15.75" customHeight="1">
      <c r="A603" s="268"/>
      <c r="J603" s="180"/>
    </row>
    <row r="604" ht="15.75" customHeight="1">
      <c r="A604" s="268"/>
      <c r="J604" s="180"/>
    </row>
    <row r="605" ht="15.75" customHeight="1">
      <c r="A605" s="268"/>
      <c r="J605" s="180"/>
    </row>
    <row r="606" ht="15.75" customHeight="1">
      <c r="A606" s="268"/>
      <c r="J606" s="180"/>
    </row>
    <row r="607" ht="15.75" customHeight="1">
      <c r="A607" s="268"/>
      <c r="J607" s="180"/>
    </row>
    <row r="608" ht="15.75" customHeight="1">
      <c r="A608" s="268"/>
      <c r="J608" s="180"/>
    </row>
    <row r="609" ht="15.75" customHeight="1">
      <c r="A609" s="268"/>
      <c r="J609" s="180"/>
    </row>
    <row r="610" ht="15.75" customHeight="1">
      <c r="A610" s="268"/>
      <c r="J610" s="180"/>
    </row>
    <row r="611" ht="15.75" customHeight="1">
      <c r="A611" s="268"/>
      <c r="J611" s="180"/>
    </row>
    <row r="612" ht="15.75" customHeight="1">
      <c r="A612" s="268"/>
      <c r="J612" s="180"/>
    </row>
    <row r="613" ht="15.75" customHeight="1">
      <c r="A613" s="268"/>
      <c r="J613" s="180"/>
    </row>
    <row r="614" ht="15.75" customHeight="1">
      <c r="A614" s="268"/>
      <c r="J614" s="180"/>
    </row>
    <row r="615" ht="15.75" customHeight="1">
      <c r="A615" s="268"/>
      <c r="J615" s="180"/>
    </row>
    <row r="616" ht="15.75" customHeight="1">
      <c r="A616" s="268"/>
      <c r="J616" s="180"/>
    </row>
    <row r="617" ht="15.75" customHeight="1">
      <c r="A617" s="268"/>
      <c r="J617" s="180"/>
    </row>
    <row r="618" ht="15.75" customHeight="1">
      <c r="A618" s="268"/>
      <c r="J618" s="180"/>
    </row>
    <row r="619" ht="15.75" customHeight="1">
      <c r="A619" s="268"/>
      <c r="J619" s="180"/>
    </row>
    <row r="620" ht="15.75" customHeight="1">
      <c r="A620" s="268"/>
      <c r="J620" s="180"/>
    </row>
    <row r="621" ht="15.75" customHeight="1">
      <c r="A621" s="268"/>
      <c r="J621" s="180"/>
    </row>
    <row r="622" ht="15.75" customHeight="1">
      <c r="A622" s="268"/>
      <c r="J622" s="180"/>
    </row>
    <row r="623" ht="15.75" customHeight="1">
      <c r="A623" s="268"/>
      <c r="J623" s="180"/>
    </row>
    <row r="624" ht="15.75" customHeight="1">
      <c r="A624" s="268"/>
      <c r="J624" s="180"/>
    </row>
    <row r="625" ht="15.75" customHeight="1">
      <c r="A625" s="268"/>
      <c r="J625" s="180"/>
    </row>
    <row r="626" ht="15.75" customHeight="1">
      <c r="A626" s="268"/>
      <c r="J626" s="180"/>
    </row>
    <row r="627" ht="15.75" customHeight="1">
      <c r="A627" s="268"/>
      <c r="J627" s="180"/>
    </row>
    <row r="628" ht="15.75" customHeight="1">
      <c r="A628" s="268"/>
      <c r="J628" s="180"/>
    </row>
    <row r="629" ht="15.75" customHeight="1">
      <c r="A629" s="268"/>
      <c r="J629" s="180"/>
    </row>
    <row r="630" ht="15.75" customHeight="1">
      <c r="A630" s="268"/>
      <c r="J630" s="180"/>
    </row>
    <row r="631" ht="15.75" customHeight="1">
      <c r="A631" s="268"/>
      <c r="J631" s="180"/>
    </row>
    <row r="632" ht="15.75" customHeight="1">
      <c r="A632" s="268"/>
      <c r="J632" s="180"/>
    </row>
    <row r="633" ht="15.75" customHeight="1">
      <c r="A633" s="268"/>
      <c r="J633" s="180"/>
    </row>
    <row r="634" ht="15.75" customHeight="1">
      <c r="A634" s="268"/>
      <c r="J634" s="180"/>
    </row>
    <row r="635" ht="15.75" customHeight="1">
      <c r="A635" s="268"/>
      <c r="J635" s="180"/>
    </row>
    <row r="636" ht="15.75" customHeight="1">
      <c r="A636" s="268"/>
      <c r="J636" s="180"/>
    </row>
    <row r="637" ht="15.75" customHeight="1">
      <c r="A637" s="268"/>
      <c r="J637" s="180"/>
    </row>
    <row r="638" ht="15.75" customHeight="1">
      <c r="A638" s="268"/>
      <c r="J638" s="180"/>
    </row>
    <row r="639" ht="15.75" customHeight="1">
      <c r="A639" s="268"/>
      <c r="J639" s="180"/>
    </row>
    <row r="640" ht="15.75" customHeight="1">
      <c r="A640" s="268"/>
      <c r="J640" s="180"/>
    </row>
    <row r="641" ht="15.75" customHeight="1">
      <c r="A641" s="268"/>
      <c r="J641" s="180"/>
    </row>
    <row r="642" ht="15.75" customHeight="1">
      <c r="A642" s="268"/>
      <c r="J642" s="180"/>
    </row>
    <row r="643" ht="15.75" customHeight="1">
      <c r="A643" s="268"/>
      <c r="J643" s="180"/>
    </row>
    <row r="644" ht="15.75" customHeight="1">
      <c r="A644" s="268"/>
      <c r="J644" s="180"/>
    </row>
    <row r="645" ht="15.75" customHeight="1">
      <c r="A645" s="268"/>
      <c r="J645" s="180"/>
    </row>
    <row r="646" ht="15.75" customHeight="1">
      <c r="A646" s="268"/>
      <c r="J646" s="180"/>
    </row>
    <row r="647" ht="15.75" customHeight="1">
      <c r="A647" s="268"/>
      <c r="J647" s="180"/>
    </row>
    <row r="648" ht="15.75" customHeight="1">
      <c r="A648" s="268"/>
      <c r="J648" s="180"/>
    </row>
    <row r="649" ht="15.75" customHeight="1">
      <c r="A649" s="268"/>
      <c r="J649" s="180"/>
    </row>
    <row r="650" ht="15.75" customHeight="1">
      <c r="A650" s="268"/>
      <c r="J650" s="180"/>
    </row>
    <row r="651" ht="15.75" customHeight="1">
      <c r="A651" s="268"/>
      <c r="J651" s="180"/>
    </row>
    <row r="652" ht="15.75" customHeight="1">
      <c r="A652" s="268"/>
      <c r="J652" s="180"/>
    </row>
    <row r="653" ht="15.75" customHeight="1">
      <c r="A653" s="268"/>
      <c r="J653" s="180"/>
    </row>
    <row r="654" ht="15.75" customHeight="1">
      <c r="A654" s="268"/>
      <c r="J654" s="180"/>
    </row>
    <row r="655" ht="15.75" customHeight="1">
      <c r="A655" s="268"/>
      <c r="J655" s="180"/>
    </row>
    <row r="656" ht="15.75" customHeight="1">
      <c r="A656" s="268"/>
      <c r="J656" s="180"/>
    </row>
    <row r="657" ht="15.75" customHeight="1">
      <c r="A657" s="268"/>
      <c r="J657" s="180"/>
    </row>
    <row r="658" ht="15.75" customHeight="1">
      <c r="A658" s="268"/>
      <c r="J658" s="180"/>
    </row>
    <row r="659" ht="15.75" customHeight="1">
      <c r="A659" s="268"/>
      <c r="J659" s="180"/>
    </row>
    <row r="660" ht="15.75" customHeight="1">
      <c r="A660" s="268"/>
      <c r="J660" s="180"/>
    </row>
    <row r="661" ht="15.75" customHeight="1">
      <c r="A661" s="268"/>
      <c r="J661" s="180"/>
    </row>
    <row r="662" ht="15.75" customHeight="1">
      <c r="A662" s="268"/>
      <c r="J662" s="180"/>
    </row>
    <row r="663" ht="15.75" customHeight="1">
      <c r="A663" s="268"/>
      <c r="J663" s="180"/>
    </row>
    <row r="664" ht="15.75" customHeight="1">
      <c r="A664" s="268"/>
      <c r="J664" s="180"/>
    </row>
    <row r="665" ht="15.75" customHeight="1">
      <c r="A665" s="268"/>
      <c r="J665" s="180"/>
    </row>
    <row r="666" ht="15.75" customHeight="1">
      <c r="A666" s="268"/>
      <c r="J666" s="180"/>
    </row>
    <row r="667" ht="15.75" customHeight="1">
      <c r="A667" s="268"/>
      <c r="J667" s="180"/>
    </row>
    <row r="668" ht="15.75" customHeight="1">
      <c r="A668" s="268"/>
      <c r="J668" s="180"/>
    </row>
    <row r="669" ht="15.75" customHeight="1">
      <c r="A669" s="268"/>
      <c r="J669" s="180"/>
    </row>
    <row r="670" ht="15.75" customHeight="1">
      <c r="A670" s="268"/>
      <c r="J670" s="180"/>
    </row>
    <row r="671" ht="15.75" customHeight="1">
      <c r="A671" s="268"/>
      <c r="J671" s="180"/>
    </row>
    <row r="672" ht="15.75" customHeight="1">
      <c r="A672" s="268"/>
      <c r="J672" s="180"/>
    </row>
    <row r="673" ht="15.75" customHeight="1">
      <c r="A673" s="268"/>
      <c r="J673" s="180"/>
    </row>
    <row r="674" ht="15.75" customHeight="1">
      <c r="A674" s="268"/>
      <c r="J674" s="180"/>
    </row>
    <row r="675" ht="15.75" customHeight="1">
      <c r="A675" s="268"/>
      <c r="J675" s="180"/>
    </row>
    <row r="676" ht="15.75" customHeight="1">
      <c r="A676" s="268"/>
      <c r="J676" s="180"/>
    </row>
    <row r="677" ht="15.75" customHeight="1">
      <c r="A677" s="268"/>
      <c r="J677" s="180"/>
    </row>
    <row r="678" ht="15.75" customHeight="1">
      <c r="A678" s="268"/>
      <c r="J678" s="180"/>
    </row>
    <row r="679" ht="15.75" customHeight="1">
      <c r="A679" s="268"/>
      <c r="J679" s="180"/>
    </row>
    <row r="680" ht="15.75" customHeight="1">
      <c r="A680" s="268"/>
      <c r="J680" s="180"/>
    </row>
    <row r="681" ht="15.75" customHeight="1">
      <c r="A681" s="268"/>
      <c r="J681" s="180"/>
    </row>
    <row r="682" ht="15.75" customHeight="1">
      <c r="A682" s="268"/>
      <c r="J682" s="180"/>
    </row>
    <row r="683" ht="15.75" customHeight="1">
      <c r="A683" s="268"/>
      <c r="J683" s="180"/>
    </row>
    <row r="684" ht="15.75" customHeight="1">
      <c r="A684" s="268"/>
      <c r="J684" s="180"/>
    </row>
    <row r="685" ht="15.75" customHeight="1">
      <c r="A685" s="268"/>
      <c r="J685" s="180"/>
    </row>
    <row r="686" ht="15.75" customHeight="1">
      <c r="A686" s="268"/>
      <c r="J686" s="180"/>
    </row>
    <row r="687" ht="15.75" customHeight="1">
      <c r="A687" s="268"/>
      <c r="J687" s="180"/>
    </row>
    <row r="688" ht="15.75" customHeight="1">
      <c r="A688" s="268"/>
      <c r="J688" s="180"/>
    </row>
    <row r="689" ht="15.75" customHeight="1">
      <c r="A689" s="268"/>
      <c r="J689" s="180"/>
    </row>
    <row r="690" ht="15.75" customHeight="1">
      <c r="A690" s="268"/>
      <c r="J690" s="180"/>
    </row>
    <row r="691" ht="15.75" customHeight="1">
      <c r="A691" s="268"/>
      <c r="J691" s="180"/>
    </row>
    <row r="692" ht="15.75" customHeight="1">
      <c r="A692" s="268"/>
      <c r="J692" s="180"/>
    </row>
    <row r="693" ht="15.75" customHeight="1">
      <c r="A693" s="268"/>
      <c r="J693" s="180"/>
    </row>
    <row r="694" ht="15.75" customHeight="1">
      <c r="A694" s="268"/>
      <c r="J694" s="180"/>
    </row>
    <row r="695" ht="15.75" customHeight="1">
      <c r="A695" s="268"/>
      <c r="J695" s="180"/>
    </row>
    <row r="696" ht="15.75" customHeight="1">
      <c r="A696" s="268"/>
      <c r="J696" s="180"/>
    </row>
    <row r="697" ht="15.75" customHeight="1">
      <c r="A697" s="268"/>
      <c r="J697" s="180"/>
    </row>
    <row r="698" ht="15.75" customHeight="1">
      <c r="A698" s="268"/>
      <c r="J698" s="180"/>
    </row>
    <row r="699" ht="15.75" customHeight="1">
      <c r="A699" s="268"/>
      <c r="J699" s="180"/>
    </row>
    <row r="700" ht="15.75" customHeight="1">
      <c r="A700" s="268"/>
      <c r="J700" s="180"/>
    </row>
    <row r="701" ht="15.75" customHeight="1">
      <c r="A701" s="268"/>
      <c r="J701" s="180"/>
    </row>
    <row r="702" ht="15.75" customHeight="1">
      <c r="A702" s="268"/>
      <c r="J702" s="180"/>
    </row>
    <row r="703" ht="15.75" customHeight="1">
      <c r="A703" s="268"/>
      <c r="J703" s="180"/>
    </row>
    <row r="704" ht="15.75" customHeight="1">
      <c r="A704" s="268"/>
      <c r="J704" s="180"/>
    </row>
    <row r="705" ht="15.75" customHeight="1">
      <c r="A705" s="268"/>
      <c r="J705" s="180"/>
    </row>
    <row r="706" ht="15.75" customHeight="1">
      <c r="A706" s="268"/>
      <c r="J706" s="180"/>
    </row>
    <row r="707" ht="15.75" customHeight="1">
      <c r="A707" s="268"/>
      <c r="J707" s="180"/>
    </row>
    <row r="708" ht="15.75" customHeight="1">
      <c r="A708" s="268"/>
      <c r="J708" s="180"/>
    </row>
    <row r="709" ht="15.75" customHeight="1">
      <c r="A709" s="268"/>
      <c r="J709" s="180"/>
    </row>
    <row r="710" ht="15.75" customHeight="1">
      <c r="A710" s="268"/>
      <c r="J710" s="180"/>
    </row>
    <row r="711" ht="15.75" customHeight="1">
      <c r="A711" s="268"/>
      <c r="J711" s="180"/>
    </row>
    <row r="712" ht="15.75" customHeight="1">
      <c r="A712" s="268"/>
      <c r="J712" s="180"/>
    </row>
    <row r="713" ht="15.75" customHeight="1">
      <c r="A713" s="268"/>
      <c r="J713" s="180"/>
    </row>
    <row r="714" ht="15.75" customHeight="1">
      <c r="A714" s="268"/>
      <c r="J714" s="180"/>
    </row>
    <row r="715" ht="15.75" customHeight="1">
      <c r="A715" s="268"/>
      <c r="J715" s="180"/>
    </row>
    <row r="716" ht="15.75" customHeight="1">
      <c r="A716" s="268"/>
      <c r="J716" s="180"/>
    </row>
    <row r="717" ht="15.75" customHeight="1">
      <c r="A717" s="268"/>
      <c r="J717" s="180"/>
    </row>
    <row r="718" ht="15.75" customHeight="1">
      <c r="A718" s="268"/>
      <c r="J718" s="180"/>
    </row>
    <row r="719" ht="15.75" customHeight="1">
      <c r="A719" s="268"/>
      <c r="J719" s="180"/>
    </row>
    <row r="720" ht="15.75" customHeight="1">
      <c r="A720" s="268"/>
      <c r="J720" s="180"/>
    </row>
    <row r="721" ht="15.75" customHeight="1">
      <c r="A721" s="268"/>
      <c r="J721" s="180"/>
    </row>
    <row r="722" ht="15.75" customHeight="1">
      <c r="A722" s="268"/>
      <c r="J722" s="180"/>
    </row>
    <row r="723" ht="15.75" customHeight="1">
      <c r="A723" s="268"/>
      <c r="J723" s="180"/>
    </row>
    <row r="724" ht="15.75" customHeight="1">
      <c r="A724" s="268"/>
      <c r="J724" s="180"/>
    </row>
    <row r="725" ht="15.75" customHeight="1">
      <c r="A725" s="268"/>
      <c r="J725" s="180"/>
    </row>
    <row r="726" ht="15.75" customHeight="1">
      <c r="A726" s="268"/>
      <c r="J726" s="180"/>
    </row>
    <row r="727" ht="15.75" customHeight="1">
      <c r="A727" s="268"/>
      <c r="J727" s="180"/>
    </row>
    <row r="728" ht="15.75" customHeight="1">
      <c r="A728" s="268"/>
      <c r="J728" s="180"/>
    </row>
    <row r="729" ht="15.75" customHeight="1">
      <c r="A729" s="268"/>
      <c r="J729" s="180"/>
    </row>
    <row r="730" ht="15.75" customHeight="1">
      <c r="A730" s="268"/>
      <c r="J730" s="180"/>
    </row>
    <row r="731" ht="15.75" customHeight="1">
      <c r="A731" s="268"/>
      <c r="J731" s="180"/>
    </row>
    <row r="732" ht="15.75" customHeight="1">
      <c r="A732" s="268"/>
      <c r="J732" s="180"/>
    </row>
    <row r="733" ht="15.75" customHeight="1">
      <c r="A733" s="268"/>
      <c r="J733" s="180"/>
    </row>
    <row r="734" ht="15.75" customHeight="1">
      <c r="A734" s="268"/>
      <c r="J734" s="180"/>
    </row>
    <row r="735" ht="15.75" customHeight="1">
      <c r="A735" s="268"/>
      <c r="J735" s="180"/>
    </row>
    <row r="736" ht="15.75" customHeight="1">
      <c r="A736" s="268"/>
      <c r="J736" s="180"/>
    </row>
    <row r="737" ht="15.75" customHeight="1">
      <c r="A737" s="268"/>
      <c r="J737" s="180"/>
    </row>
    <row r="738" ht="15.75" customHeight="1">
      <c r="A738" s="268"/>
      <c r="J738" s="180"/>
    </row>
    <row r="739" ht="15.75" customHeight="1">
      <c r="A739" s="268"/>
      <c r="J739" s="180"/>
    </row>
    <row r="740" ht="15.75" customHeight="1">
      <c r="A740" s="268"/>
      <c r="J740" s="180"/>
    </row>
    <row r="741" ht="15.75" customHeight="1">
      <c r="A741" s="268"/>
      <c r="J741" s="180"/>
    </row>
    <row r="742" ht="15.75" customHeight="1">
      <c r="A742" s="268"/>
      <c r="J742" s="180"/>
    </row>
    <row r="743" ht="15.75" customHeight="1">
      <c r="A743" s="268"/>
      <c r="J743" s="180"/>
    </row>
    <row r="744" ht="15.75" customHeight="1">
      <c r="A744" s="268"/>
      <c r="J744" s="180"/>
    </row>
    <row r="745" ht="15.75" customHeight="1">
      <c r="A745" s="268"/>
      <c r="J745" s="180"/>
    </row>
    <row r="746" ht="15.75" customHeight="1">
      <c r="A746" s="268"/>
      <c r="J746" s="180"/>
    </row>
    <row r="747" ht="15.75" customHeight="1">
      <c r="A747" s="268"/>
      <c r="J747" s="180"/>
    </row>
    <row r="748" ht="15.75" customHeight="1">
      <c r="A748" s="268"/>
      <c r="J748" s="180"/>
    </row>
    <row r="749" ht="15.75" customHeight="1">
      <c r="A749" s="268"/>
      <c r="J749" s="180"/>
    </row>
    <row r="750" ht="15.75" customHeight="1">
      <c r="A750" s="268"/>
      <c r="J750" s="180"/>
    </row>
    <row r="751" ht="15.75" customHeight="1">
      <c r="A751" s="268"/>
      <c r="J751" s="180"/>
    </row>
    <row r="752" ht="15.75" customHeight="1">
      <c r="A752" s="268"/>
      <c r="J752" s="180"/>
    </row>
    <row r="753" ht="15.75" customHeight="1">
      <c r="A753" s="268"/>
      <c r="J753" s="180"/>
    </row>
    <row r="754" ht="15.75" customHeight="1">
      <c r="A754" s="268"/>
      <c r="J754" s="180"/>
    </row>
    <row r="755" ht="15.75" customHeight="1">
      <c r="A755" s="268"/>
      <c r="J755" s="180"/>
    </row>
    <row r="756" ht="15.75" customHeight="1">
      <c r="A756" s="268"/>
      <c r="J756" s="180"/>
    </row>
    <row r="757" ht="15.75" customHeight="1">
      <c r="A757" s="268"/>
      <c r="J757" s="180"/>
    </row>
    <row r="758" ht="15.75" customHeight="1">
      <c r="A758" s="268"/>
      <c r="J758" s="180"/>
    </row>
    <row r="759" ht="15.75" customHeight="1">
      <c r="A759" s="268"/>
      <c r="J759" s="180"/>
    </row>
    <row r="760" ht="15.75" customHeight="1">
      <c r="A760" s="268"/>
      <c r="J760" s="180"/>
    </row>
    <row r="761" ht="15.75" customHeight="1">
      <c r="A761" s="268"/>
      <c r="J761" s="180"/>
    </row>
    <row r="762" ht="15.75" customHeight="1">
      <c r="A762" s="268"/>
      <c r="J762" s="180"/>
    </row>
    <row r="763" ht="15.75" customHeight="1">
      <c r="A763" s="268"/>
      <c r="J763" s="180"/>
    </row>
    <row r="764" ht="15.75" customHeight="1">
      <c r="A764" s="268"/>
      <c r="J764" s="180"/>
    </row>
    <row r="765" ht="15.75" customHeight="1">
      <c r="A765" s="268"/>
      <c r="J765" s="180"/>
    </row>
    <row r="766" ht="15.75" customHeight="1">
      <c r="A766" s="268"/>
      <c r="J766" s="180"/>
    </row>
    <row r="767" ht="15.75" customHeight="1">
      <c r="A767" s="268"/>
      <c r="J767" s="180"/>
    </row>
    <row r="768" ht="15.75" customHeight="1">
      <c r="A768" s="268"/>
      <c r="J768" s="180"/>
    </row>
    <row r="769" ht="15.75" customHeight="1">
      <c r="A769" s="268"/>
      <c r="J769" s="180"/>
    </row>
    <row r="770" ht="15.75" customHeight="1">
      <c r="A770" s="268"/>
      <c r="J770" s="180"/>
    </row>
    <row r="771" ht="15.75" customHeight="1">
      <c r="A771" s="268"/>
      <c r="J771" s="180"/>
    </row>
    <row r="772" ht="15.75" customHeight="1">
      <c r="A772" s="268"/>
      <c r="J772" s="180"/>
    </row>
    <row r="773" ht="15.75" customHeight="1">
      <c r="A773" s="268"/>
      <c r="J773" s="180"/>
    </row>
    <row r="774" ht="15.75" customHeight="1">
      <c r="A774" s="268"/>
      <c r="J774" s="180"/>
    </row>
    <row r="775" ht="15.75" customHeight="1">
      <c r="A775" s="268"/>
      <c r="J775" s="180"/>
    </row>
    <row r="776" ht="15.75" customHeight="1">
      <c r="A776" s="268"/>
      <c r="J776" s="180"/>
    </row>
    <row r="777" ht="15.75" customHeight="1">
      <c r="A777" s="268"/>
      <c r="J777" s="180"/>
    </row>
    <row r="778" ht="15.75" customHeight="1">
      <c r="A778" s="268"/>
      <c r="J778" s="180"/>
    </row>
    <row r="779" ht="15.75" customHeight="1">
      <c r="A779" s="268"/>
      <c r="J779" s="180"/>
    </row>
    <row r="780" ht="15.75" customHeight="1">
      <c r="A780" s="268"/>
      <c r="J780" s="180"/>
    </row>
    <row r="781" ht="15.75" customHeight="1">
      <c r="A781" s="268"/>
      <c r="J781" s="180"/>
    </row>
    <row r="782" ht="15.75" customHeight="1">
      <c r="A782" s="268"/>
      <c r="J782" s="180"/>
    </row>
    <row r="783" ht="15.75" customHeight="1">
      <c r="A783" s="268"/>
      <c r="J783" s="180"/>
    </row>
    <row r="784" ht="15.75" customHeight="1">
      <c r="A784" s="268"/>
      <c r="J784" s="180"/>
    </row>
    <row r="785" ht="15.75" customHeight="1">
      <c r="A785" s="268"/>
      <c r="J785" s="180"/>
    </row>
    <row r="786" ht="15.75" customHeight="1">
      <c r="A786" s="268"/>
      <c r="J786" s="180"/>
    </row>
    <row r="787" ht="15.75" customHeight="1">
      <c r="A787" s="268"/>
      <c r="J787" s="180"/>
    </row>
    <row r="788" ht="15.75" customHeight="1">
      <c r="A788" s="268"/>
      <c r="J788" s="180"/>
    </row>
    <row r="789" ht="15.75" customHeight="1">
      <c r="A789" s="268"/>
      <c r="J789" s="180"/>
    </row>
    <row r="790" ht="15.75" customHeight="1">
      <c r="A790" s="268"/>
      <c r="J790" s="180"/>
    </row>
    <row r="791" ht="15.75" customHeight="1">
      <c r="A791" s="268"/>
      <c r="J791" s="180"/>
    </row>
    <row r="792" ht="15.75" customHeight="1">
      <c r="A792" s="268"/>
      <c r="J792" s="180"/>
    </row>
    <row r="793" ht="15.75" customHeight="1">
      <c r="A793" s="268"/>
      <c r="J793" s="180"/>
    </row>
    <row r="794" ht="15.75" customHeight="1">
      <c r="A794" s="268"/>
      <c r="J794" s="180"/>
    </row>
    <row r="795" ht="15.75" customHeight="1">
      <c r="A795" s="268"/>
      <c r="J795" s="180"/>
    </row>
    <row r="796" ht="15.75" customHeight="1">
      <c r="A796" s="268"/>
      <c r="J796" s="180"/>
    </row>
    <row r="797" ht="15.75" customHeight="1">
      <c r="A797" s="268"/>
      <c r="J797" s="180"/>
    </row>
    <row r="798" ht="15.75" customHeight="1">
      <c r="A798" s="268"/>
      <c r="J798" s="180"/>
    </row>
    <row r="799" ht="15.75" customHeight="1">
      <c r="A799" s="268"/>
      <c r="J799" s="180"/>
    </row>
    <row r="800" ht="15.75" customHeight="1">
      <c r="A800" s="268"/>
      <c r="J800" s="180"/>
    </row>
    <row r="801" ht="15.75" customHeight="1">
      <c r="A801" s="268"/>
      <c r="J801" s="180"/>
    </row>
    <row r="802" ht="15.75" customHeight="1">
      <c r="A802" s="268"/>
      <c r="J802" s="180"/>
    </row>
    <row r="803" ht="15.75" customHeight="1">
      <c r="A803" s="268"/>
      <c r="J803" s="180"/>
    </row>
    <row r="804" ht="15.75" customHeight="1">
      <c r="A804" s="268"/>
      <c r="J804" s="180"/>
    </row>
    <row r="805" ht="15.75" customHeight="1">
      <c r="A805" s="268"/>
      <c r="J805" s="180"/>
    </row>
    <row r="806" ht="15.75" customHeight="1">
      <c r="A806" s="268"/>
      <c r="J806" s="180"/>
    </row>
    <row r="807" ht="15.75" customHeight="1">
      <c r="A807" s="268"/>
      <c r="J807" s="180"/>
    </row>
    <row r="808" ht="15.75" customHeight="1">
      <c r="A808" s="268"/>
      <c r="J808" s="180"/>
    </row>
    <row r="809" ht="15.75" customHeight="1">
      <c r="A809" s="268"/>
      <c r="J809" s="180"/>
    </row>
    <row r="810" ht="15.75" customHeight="1">
      <c r="A810" s="268"/>
      <c r="J810" s="180"/>
    </row>
    <row r="811" ht="15.75" customHeight="1">
      <c r="A811" s="268"/>
      <c r="J811" s="180"/>
    </row>
    <row r="812" ht="15.75" customHeight="1">
      <c r="A812" s="268"/>
      <c r="J812" s="180"/>
    </row>
    <row r="813" ht="15.75" customHeight="1">
      <c r="A813" s="268"/>
      <c r="J813" s="180"/>
    </row>
    <row r="814" ht="15.75" customHeight="1">
      <c r="A814" s="268"/>
      <c r="J814" s="180"/>
    </row>
    <row r="815" ht="15.75" customHeight="1">
      <c r="A815" s="268"/>
      <c r="J815" s="180"/>
    </row>
    <row r="816" ht="15.75" customHeight="1">
      <c r="A816" s="268"/>
      <c r="J816" s="180"/>
    </row>
    <row r="817" ht="15.75" customHeight="1">
      <c r="A817" s="268"/>
      <c r="J817" s="180"/>
    </row>
    <row r="818" ht="15.75" customHeight="1">
      <c r="A818" s="268"/>
      <c r="J818" s="180"/>
    </row>
    <row r="819" ht="15.75" customHeight="1">
      <c r="A819" s="268"/>
      <c r="J819" s="180"/>
    </row>
    <row r="820" ht="15.75" customHeight="1">
      <c r="A820" s="268"/>
      <c r="J820" s="180"/>
    </row>
    <row r="821" ht="15.75" customHeight="1">
      <c r="A821" s="268"/>
      <c r="J821" s="180"/>
    </row>
    <row r="822" ht="15.75" customHeight="1">
      <c r="A822" s="268"/>
      <c r="J822" s="180"/>
    </row>
    <row r="823" ht="15.75" customHeight="1">
      <c r="A823" s="268"/>
      <c r="J823" s="180"/>
    </row>
    <row r="824" ht="15.75" customHeight="1">
      <c r="A824" s="268"/>
      <c r="J824" s="180"/>
    </row>
    <row r="825" ht="15.75" customHeight="1">
      <c r="A825" s="268"/>
      <c r="J825" s="180"/>
    </row>
    <row r="826" ht="15.75" customHeight="1">
      <c r="A826" s="268"/>
      <c r="J826" s="180"/>
    </row>
    <row r="827" ht="15.75" customHeight="1">
      <c r="A827" s="268"/>
      <c r="J827" s="180"/>
    </row>
    <row r="828" ht="15.75" customHeight="1">
      <c r="A828" s="268"/>
      <c r="J828" s="180"/>
    </row>
    <row r="829" ht="15.75" customHeight="1">
      <c r="A829" s="268"/>
      <c r="J829" s="180"/>
    </row>
    <row r="830" ht="15.75" customHeight="1">
      <c r="A830" s="268"/>
      <c r="J830" s="180"/>
    </row>
    <row r="831" ht="15.75" customHeight="1">
      <c r="A831" s="268"/>
      <c r="J831" s="180"/>
    </row>
    <row r="832" ht="15.75" customHeight="1">
      <c r="A832" s="268"/>
      <c r="J832" s="180"/>
    </row>
    <row r="833" ht="15.75" customHeight="1">
      <c r="A833" s="268"/>
      <c r="J833" s="180"/>
    </row>
    <row r="834" ht="15.75" customHeight="1">
      <c r="A834" s="268"/>
      <c r="J834" s="180"/>
    </row>
    <row r="835" ht="15.75" customHeight="1">
      <c r="A835" s="268"/>
      <c r="J835" s="180"/>
    </row>
    <row r="836" ht="15.75" customHeight="1">
      <c r="A836" s="268"/>
      <c r="J836" s="180"/>
    </row>
    <row r="837" ht="15.75" customHeight="1">
      <c r="A837" s="268"/>
      <c r="J837" s="180"/>
    </row>
    <row r="838" ht="15.75" customHeight="1">
      <c r="A838" s="268"/>
      <c r="J838" s="180"/>
    </row>
    <row r="839" ht="15.75" customHeight="1">
      <c r="A839" s="268"/>
      <c r="J839" s="180"/>
    </row>
    <row r="840" ht="15.75" customHeight="1">
      <c r="A840" s="268"/>
      <c r="J840" s="180"/>
    </row>
    <row r="841" ht="15.75" customHeight="1">
      <c r="A841" s="268"/>
      <c r="J841" s="180"/>
    </row>
    <row r="842" ht="15.75" customHeight="1">
      <c r="A842" s="268"/>
      <c r="J842" s="180"/>
    </row>
    <row r="843" ht="15.75" customHeight="1">
      <c r="A843" s="268"/>
      <c r="J843" s="180"/>
    </row>
    <row r="844" ht="15.75" customHeight="1">
      <c r="A844" s="268"/>
      <c r="J844" s="180"/>
    </row>
    <row r="845" ht="15.75" customHeight="1">
      <c r="A845" s="268"/>
      <c r="J845" s="180"/>
    </row>
    <row r="846" ht="15.75" customHeight="1">
      <c r="A846" s="268"/>
      <c r="J846" s="180"/>
    </row>
    <row r="847" ht="15.75" customHeight="1">
      <c r="A847" s="268"/>
      <c r="J847" s="180"/>
    </row>
    <row r="848" ht="15.75" customHeight="1">
      <c r="A848" s="268"/>
      <c r="J848" s="180"/>
    </row>
    <row r="849" ht="15.75" customHeight="1">
      <c r="A849" s="268"/>
      <c r="J849" s="180"/>
    </row>
    <row r="850" ht="15.75" customHeight="1">
      <c r="A850" s="268"/>
      <c r="J850" s="180"/>
    </row>
    <row r="851" ht="15.75" customHeight="1">
      <c r="A851" s="268"/>
      <c r="J851" s="180"/>
    </row>
    <row r="852" ht="15.75" customHeight="1">
      <c r="A852" s="268"/>
      <c r="J852" s="180"/>
    </row>
    <row r="853" ht="15.75" customHeight="1">
      <c r="A853" s="268"/>
      <c r="J853" s="180"/>
    </row>
    <row r="854" ht="15.75" customHeight="1">
      <c r="A854" s="268"/>
      <c r="J854" s="180"/>
    </row>
    <row r="855" ht="15.75" customHeight="1">
      <c r="A855" s="268"/>
      <c r="J855" s="180"/>
    </row>
    <row r="856" ht="15.75" customHeight="1">
      <c r="A856" s="268"/>
      <c r="J856" s="180"/>
    </row>
    <row r="857" ht="15.75" customHeight="1">
      <c r="A857" s="268"/>
      <c r="J857" s="180"/>
    </row>
    <row r="858" ht="15.75" customHeight="1">
      <c r="A858" s="268"/>
      <c r="J858" s="180"/>
    </row>
    <row r="859" ht="15.75" customHeight="1">
      <c r="A859" s="268"/>
      <c r="J859" s="180"/>
    </row>
    <row r="860" ht="15.75" customHeight="1">
      <c r="A860" s="268"/>
      <c r="J860" s="180"/>
    </row>
    <row r="861" ht="15.75" customHeight="1">
      <c r="A861" s="268"/>
      <c r="J861" s="180"/>
    </row>
    <row r="862" ht="15.75" customHeight="1">
      <c r="A862" s="268"/>
      <c r="J862" s="180"/>
    </row>
    <row r="863" ht="15.75" customHeight="1">
      <c r="A863" s="268"/>
      <c r="J863" s="180"/>
    </row>
    <row r="864" ht="15.75" customHeight="1">
      <c r="A864" s="268"/>
      <c r="J864" s="180"/>
    </row>
    <row r="865" ht="15.75" customHeight="1">
      <c r="A865" s="268"/>
      <c r="J865" s="180"/>
    </row>
    <row r="866" ht="15.75" customHeight="1">
      <c r="A866" s="268"/>
      <c r="J866" s="180"/>
    </row>
    <row r="867" ht="15.75" customHeight="1">
      <c r="A867" s="268"/>
      <c r="J867" s="180"/>
    </row>
    <row r="868" ht="15.75" customHeight="1">
      <c r="A868" s="268"/>
      <c r="J868" s="180"/>
    </row>
    <row r="869" ht="15.75" customHeight="1">
      <c r="A869" s="268"/>
      <c r="J869" s="180"/>
    </row>
    <row r="870" ht="15.75" customHeight="1">
      <c r="A870" s="268"/>
      <c r="J870" s="180"/>
    </row>
    <row r="871" ht="15.75" customHeight="1">
      <c r="A871" s="268"/>
      <c r="J871" s="180"/>
    </row>
    <row r="872" ht="15.75" customHeight="1">
      <c r="A872" s="268"/>
      <c r="J872" s="180"/>
    </row>
    <row r="873" ht="15.75" customHeight="1">
      <c r="A873" s="268"/>
      <c r="J873" s="180"/>
    </row>
    <row r="874" ht="15.75" customHeight="1">
      <c r="A874" s="268"/>
      <c r="J874" s="180"/>
    </row>
    <row r="875" ht="15.75" customHeight="1">
      <c r="A875" s="268"/>
      <c r="J875" s="180"/>
    </row>
    <row r="876" ht="15.75" customHeight="1">
      <c r="A876" s="268"/>
      <c r="J876" s="180"/>
    </row>
    <row r="877" ht="15.75" customHeight="1">
      <c r="A877" s="268"/>
      <c r="J877" s="180"/>
    </row>
    <row r="878" ht="15.75" customHeight="1">
      <c r="A878" s="268"/>
      <c r="J878" s="180"/>
    </row>
    <row r="879" ht="15.75" customHeight="1">
      <c r="A879" s="268"/>
      <c r="J879" s="180"/>
    </row>
    <row r="880" ht="15.75" customHeight="1">
      <c r="A880" s="268"/>
      <c r="J880" s="180"/>
    </row>
    <row r="881" ht="15.75" customHeight="1">
      <c r="A881" s="268"/>
      <c r="J881" s="180"/>
    </row>
    <row r="882" ht="15.75" customHeight="1">
      <c r="A882" s="268"/>
      <c r="J882" s="180"/>
    </row>
    <row r="883" ht="15.75" customHeight="1">
      <c r="A883" s="268"/>
      <c r="J883" s="180"/>
    </row>
    <row r="884" ht="15.75" customHeight="1">
      <c r="A884" s="268"/>
      <c r="J884" s="180"/>
    </row>
    <row r="885" ht="15.75" customHeight="1">
      <c r="A885" s="268"/>
      <c r="J885" s="180"/>
    </row>
    <row r="886" ht="15.75" customHeight="1">
      <c r="A886" s="268"/>
      <c r="J886" s="180"/>
    </row>
    <row r="887" ht="15.75" customHeight="1">
      <c r="A887" s="268"/>
      <c r="J887" s="180"/>
    </row>
    <row r="888" ht="15.75" customHeight="1">
      <c r="A888" s="268"/>
      <c r="J888" s="180"/>
    </row>
    <row r="889" ht="15.75" customHeight="1">
      <c r="A889" s="268"/>
      <c r="J889" s="180"/>
    </row>
    <row r="890" ht="15.75" customHeight="1">
      <c r="A890" s="268"/>
      <c r="J890" s="180"/>
    </row>
    <row r="891" ht="15.75" customHeight="1">
      <c r="A891" s="268"/>
      <c r="J891" s="180"/>
    </row>
    <row r="892" ht="15.75" customHeight="1">
      <c r="A892" s="268"/>
      <c r="J892" s="180"/>
    </row>
    <row r="893" ht="15.75" customHeight="1">
      <c r="A893" s="268"/>
      <c r="J893" s="180"/>
    </row>
    <row r="894" ht="15.75" customHeight="1">
      <c r="A894" s="268"/>
      <c r="J894" s="180"/>
    </row>
    <row r="895" ht="15.75" customHeight="1">
      <c r="A895" s="268"/>
      <c r="J895" s="180"/>
    </row>
    <row r="896" ht="15.75" customHeight="1">
      <c r="A896" s="268"/>
      <c r="J896" s="180"/>
    </row>
    <row r="897" ht="15.75" customHeight="1">
      <c r="A897" s="268"/>
      <c r="J897" s="180"/>
    </row>
    <row r="898" ht="15.75" customHeight="1">
      <c r="A898" s="268"/>
      <c r="J898" s="180"/>
    </row>
    <row r="899" ht="15.75" customHeight="1">
      <c r="A899" s="268"/>
      <c r="J899" s="180"/>
    </row>
    <row r="900" ht="15.75" customHeight="1">
      <c r="A900" s="268"/>
      <c r="J900" s="180"/>
    </row>
    <row r="901" ht="15.75" customHeight="1">
      <c r="A901" s="268"/>
      <c r="J901" s="180"/>
    </row>
    <row r="902" ht="15.75" customHeight="1">
      <c r="A902" s="268"/>
      <c r="J902" s="180"/>
    </row>
    <row r="903" ht="15.75" customHeight="1">
      <c r="A903" s="268"/>
      <c r="J903" s="180"/>
    </row>
    <row r="904" ht="15.75" customHeight="1">
      <c r="A904" s="268"/>
      <c r="J904" s="180"/>
    </row>
    <row r="905" ht="15.75" customHeight="1">
      <c r="A905" s="268"/>
      <c r="J905" s="180"/>
    </row>
    <row r="906" ht="15.75" customHeight="1">
      <c r="A906" s="268"/>
      <c r="J906" s="180"/>
    </row>
    <row r="907" ht="15.75" customHeight="1">
      <c r="A907" s="268"/>
      <c r="J907" s="180"/>
    </row>
    <row r="908" ht="15.75" customHeight="1">
      <c r="A908" s="268"/>
      <c r="J908" s="180"/>
    </row>
    <row r="909" ht="15.75" customHeight="1">
      <c r="A909" s="268"/>
      <c r="J909" s="180"/>
    </row>
    <row r="910" ht="15.75" customHeight="1">
      <c r="A910" s="268"/>
      <c r="J910" s="180"/>
    </row>
    <row r="911" ht="15.75" customHeight="1">
      <c r="A911" s="268"/>
      <c r="J911" s="180"/>
    </row>
    <row r="912" ht="15.75" customHeight="1">
      <c r="A912" s="268"/>
      <c r="J912" s="180"/>
    </row>
    <row r="913" ht="15.75" customHeight="1">
      <c r="A913" s="268"/>
      <c r="J913" s="180"/>
    </row>
    <row r="914" ht="15.75" customHeight="1">
      <c r="A914" s="268"/>
      <c r="J914" s="180"/>
    </row>
    <row r="915" ht="15.75" customHeight="1">
      <c r="A915" s="268"/>
      <c r="J915" s="180"/>
    </row>
    <row r="916" ht="15.75" customHeight="1">
      <c r="A916" s="268"/>
      <c r="J916" s="180"/>
    </row>
    <row r="917" ht="15.75" customHeight="1">
      <c r="A917" s="268"/>
      <c r="J917" s="180"/>
    </row>
    <row r="918" ht="15.75" customHeight="1">
      <c r="A918" s="268"/>
      <c r="J918" s="180"/>
    </row>
    <row r="919" ht="15.75" customHeight="1">
      <c r="A919" s="268"/>
      <c r="J919" s="180"/>
    </row>
    <row r="920" ht="15.75" customHeight="1">
      <c r="A920" s="268"/>
      <c r="J920" s="180"/>
    </row>
    <row r="921" ht="15.75" customHeight="1">
      <c r="A921" s="268"/>
      <c r="J921" s="180"/>
    </row>
    <row r="922" ht="15.75" customHeight="1">
      <c r="A922" s="268"/>
      <c r="J922" s="180"/>
    </row>
    <row r="923" ht="15.75" customHeight="1">
      <c r="A923" s="268"/>
      <c r="J923" s="180"/>
    </row>
    <row r="924" ht="15.75" customHeight="1">
      <c r="A924" s="268"/>
      <c r="J924" s="180"/>
    </row>
    <row r="925" ht="15.75" customHeight="1">
      <c r="A925" s="268"/>
      <c r="J925" s="180"/>
    </row>
    <row r="926" ht="15.75" customHeight="1">
      <c r="A926" s="268"/>
      <c r="J926" s="180"/>
    </row>
    <row r="927" ht="15.75" customHeight="1">
      <c r="A927" s="268"/>
      <c r="J927" s="180"/>
    </row>
    <row r="928" ht="15.75" customHeight="1">
      <c r="A928" s="268"/>
      <c r="J928" s="180"/>
    </row>
    <row r="929" ht="15.75" customHeight="1">
      <c r="A929" s="268"/>
      <c r="J929" s="180"/>
    </row>
    <row r="930" ht="15.75" customHeight="1">
      <c r="A930" s="268"/>
      <c r="J930" s="180"/>
    </row>
    <row r="931" ht="15.75" customHeight="1">
      <c r="A931" s="268"/>
      <c r="J931" s="180"/>
    </row>
    <row r="932" ht="15.75" customHeight="1">
      <c r="A932" s="268"/>
      <c r="J932" s="180"/>
    </row>
    <row r="933" ht="15.75" customHeight="1">
      <c r="A933" s="268"/>
      <c r="J933" s="180"/>
    </row>
    <row r="934" ht="15.75" customHeight="1">
      <c r="A934" s="268"/>
      <c r="J934" s="180"/>
    </row>
    <row r="935" ht="15.75" customHeight="1">
      <c r="A935" s="268"/>
      <c r="J935" s="180"/>
    </row>
    <row r="936" ht="15.75" customHeight="1">
      <c r="A936" s="268"/>
      <c r="J936" s="180"/>
    </row>
    <row r="937" ht="15.75" customHeight="1">
      <c r="A937" s="268"/>
      <c r="J937" s="180"/>
    </row>
    <row r="938" ht="15.75" customHeight="1">
      <c r="A938" s="268"/>
      <c r="J938" s="180"/>
    </row>
    <row r="939" ht="15.75" customHeight="1">
      <c r="A939" s="268"/>
      <c r="J939" s="180"/>
    </row>
    <row r="940" ht="15.75" customHeight="1">
      <c r="A940" s="268"/>
      <c r="J940" s="180"/>
    </row>
    <row r="941" ht="15.75" customHeight="1">
      <c r="A941" s="268"/>
      <c r="J941" s="180"/>
    </row>
    <row r="942" ht="15.75" customHeight="1">
      <c r="A942" s="268"/>
      <c r="J942" s="180"/>
    </row>
    <row r="943" ht="15.75" customHeight="1">
      <c r="A943" s="268"/>
      <c r="J943" s="180"/>
    </row>
    <row r="944" ht="15.75" customHeight="1">
      <c r="A944" s="268"/>
      <c r="J944" s="180"/>
    </row>
    <row r="945" ht="15.75" customHeight="1">
      <c r="A945" s="268"/>
      <c r="J945" s="180"/>
    </row>
    <row r="946" ht="15.75" customHeight="1">
      <c r="A946" s="268"/>
      <c r="J946" s="180"/>
    </row>
    <row r="947" ht="15.75" customHeight="1">
      <c r="A947" s="268"/>
      <c r="J947" s="180"/>
    </row>
    <row r="948" ht="15.75" customHeight="1">
      <c r="A948" s="268"/>
      <c r="J948" s="180"/>
    </row>
    <row r="949" ht="15.75" customHeight="1">
      <c r="A949" s="268"/>
      <c r="J949" s="180"/>
    </row>
    <row r="950" ht="15.75" customHeight="1">
      <c r="A950" s="268"/>
      <c r="J950" s="180"/>
    </row>
    <row r="951" ht="15.75" customHeight="1">
      <c r="A951" s="268"/>
      <c r="J951" s="180"/>
    </row>
    <row r="952" ht="15.75" customHeight="1">
      <c r="A952" s="268"/>
      <c r="J952" s="180"/>
    </row>
    <row r="953" ht="15.75" customHeight="1">
      <c r="A953" s="268"/>
      <c r="J953" s="180"/>
    </row>
    <row r="954" ht="15.75" customHeight="1">
      <c r="A954" s="268"/>
      <c r="J954" s="180"/>
    </row>
    <row r="955" ht="15.75" customHeight="1">
      <c r="A955" s="268"/>
      <c r="J955" s="180"/>
    </row>
    <row r="956" ht="15.75" customHeight="1">
      <c r="A956" s="268"/>
      <c r="J956" s="180"/>
    </row>
    <row r="957" ht="15.75" customHeight="1">
      <c r="A957" s="268"/>
      <c r="J957" s="180"/>
    </row>
    <row r="958" ht="15.75" customHeight="1">
      <c r="A958" s="268"/>
      <c r="J958" s="180"/>
    </row>
    <row r="959" ht="15.75" customHeight="1">
      <c r="A959" s="268"/>
      <c r="J959" s="180"/>
    </row>
    <row r="960" ht="15.75" customHeight="1">
      <c r="A960" s="268"/>
      <c r="J960" s="180"/>
    </row>
    <row r="961" ht="15.75" customHeight="1">
      <c r="A961" s="268"/>
      <c r="J961" s="180"/>
    </row>
    <row r="962" ht="15.75" customHeight="1">
      <c r="A962" s="268"/>
      <c r="J962" s="180"/>
    </row>
    <row r="963" ht="15.75" customHeight="1">
      <c r="A963" s="268"/>
      <c r="J963" s="180"/>
    </row>
    <row r="964" ht="15.75" customHeight="1">
      <c r="A964" s="268"/>
      <c r="J964" s="180"/>
    </row>
    <row r="965" ht="15.75" customHeight="1">
      <c r="A965" s="268"/>
      <c r="J965" s="180"/>
    </row>
    <row r="966" ht="15.75" customHeight="1">
      <c r="A966" s="268"/>
      <c r="J966" s="180"/>
    </row>
    <row r="967" ht="15.75" customHeight="1">
      <c r="A967" s="268"/>
      <c r="J967" s="180"/>
    </row>
    <row r="968" ht="15.75" customHeight="1">
      <c r="A968" s="268"/>
      <c r="J968" s="180"/>
    </row>
    <row r="969" ht="15.75" customHeight="1">
      <c r="A969" s="268"/>
      <c r="J969" s="180"/>
    </row>
    <row r="970" ht="15.75" customHeight="1">
      <c r="A970" s="268"/>
      <c r="J970" s="180"/>
    </row>
    <row r="971" ht="15.75" customHeight="1">
      <c r="A971" s="268"/>
      <c r="J971" s="180"/>
    </row>
    <row r="972" ht="15.75" customHeight="1">
      <c r="A972" s="268"/>
      <c r="J972" s="180"/>
    </row>
    <row r="973" ht="15.75" customHeight="1">
      <c r="A973" s="268"/>
      <c r="J973" s="180"/>
    </row>
    <row r="974" ht="15.75" customHeight="1">
      <c r="A974" s="268"/>
      <c r="J974" s="180"/>
    </row>
    <row r="975" ht="15.75" customHeight="1">
      <c r="A975" s="268"/>
      <c r="J975" s="180"/>
    </row>
    <row r="976" ht="15.75" customHeight="1">
      <c r="A976" s="268"/>
      <c r="J976" s="180"/>
    </row>
    <row r="977" ht="15.75" customHeight="1">
      <c r="A977" s="268"/>
      <c r="J977" s="180"/>
    </row>
    <row r="978" ht="15.75" customHeight="1">
      <c r="A978" s="268"/>
      <c r="J978" s="180"/>
    </row>
    <row r="979" ht="15.75" customHeight="1">
      <c r="A979" s="268"/>
      <c r="J979" s="180"/>
    </row>
    <row r="980" ht="15.75" customHeight="1">
      <c r="A980" s="268"/>
      <c r="J980" s="180"/>
    </row>
    <row r="981" ht="15.75" customHeight="1">
      <c r="A981" s="268"/>
      <c r="J981" s="180"/>
    </row>
    <row r="982" ht="15.75" customHeight="1">
      <c r="A982" s="268"/>
      <c r="J982" s="180"/>
    </row>
    <row r="983" ht="15.75" customHeight="1">
      <c r="A983" s="268"/>
      <c r="J983" s="180"/>
    </row>
    <row r="984" ht="15.75" customHeight="1">
      <c r="A984" s="268"/>
      <c r="J984" s="180"/>
    </row>
    <row r="985" ht="15.75" customHeight="1">
      <c r="A985" s="268"/>
      <c r="J985" s="180"/>
    </row>
    <row r="986" ht="15.75" customHeight="1">
      <c r="A986" s="268"/>
      <c r="J986" s="180"/>
    </row>
    <row r="987" ht="15.75" customHeight="1">
      <c r="A987" s="268"/>
      <c r="J987" s="180"/>
    </row>
    <row r="988" ht="15.75" customHeight="1">
      <c r="A988" s="268"/>
      <c r="J988" s="180"/>
    </row>
    <row r="989" ht="15.75" customHeight="1">
      <c r="A989" s="268"/>
      <c r="J989" s="180"/>
    </row>
    <row r="990" ht="15.75" customHeight="1">
      <c r="A990" s="268"/>
      <c r="J990" s="180"/>
    </row>
    <row r="991" ht="15.75" customHeight="1">
      <c r="A991" s="268"/>
      <c r="J991" s="180"/>
    </row>
    <row r="992" ht="15.75" customHeight="1">
      <c r="A992" s="268"/>
      <c r="J992" s="180"/>
    </row>
    <row r="993" ht="15.75" customHeight="1">
      <c r="A993" s="268"/>
      <c r="J993" s="180"/>
    </row>
    <row r="994" ht="15.75" customHeight="1">
      <c r="A994" s="268"/>
      <c r="J994" s="180"/>
    </row>
    <row r="995" ht="15.75" customHeight="1">
      <c r="A995" s="268"/>
      <c r="J995" s="180"/>
    </row>
    <row r="996" ht="15.75" customHeight="1">
      <c r="A996" s="268"/>
      <c r="J996" s="180"/>
    </row>
    <row r="997" ht="15.75" customHeight="1">
      <c r="A997" s="268"/>
      <c r="J997" s="180"/>
    </row>
    <row r="998" ht="15.75" customHeight="1">
      <c r="A998" s="268"/>
      <c r="J998" s="180"/>
    </row>
    <row r="999" ht="15.75" customHeight="1">
      <c r="A999" s="268"/>
      <c r="J999" s="180"/>
    </row>
    <row r="1000" ht="15.75" customHeight="1">
      <c r="A1000" s="268"/>
      <c r="J1000" s="180"/>
    </row>
    <row r="1001" ht="15.75" customHeight="1">
      <c r="A1001" s="268"/>
      <c r="J1001" s="180"/>
    </row>
    <row r="1002" ht="15.75" customHeight="1">
      <c r="A1002" s="268"/>
      <c r="J1002" s="180"/>
    </row>
    <row r="1003" ht="15.75" customHeight="1">
      <c r="A1003" s="268"/>
      <c r="J1003" s="180"/>
    </row>
    <row r="1004" ht="15.75" customHeight="1">
      <c r="A1004" s="268"/>
      <c r="J1004" s="180"/>
    </row>
    <row r="1005" ht="15.75" customHeight="1">
      <c r="A1005" s="268"/>
      <c r="J1005" s="180"/>
    </row>
    <row r="1006" ht="15.75" customHeight="1">
      <c r="A1006" s="268"/>
      <c r="J1006" s="180"/>
    </row>
    <row r="1007" ht="15.75" customHeight="1">
      <c r="A1007" s="268"/>
      <c r="J1007" s="180"/>
    </row>
    <row r="1008" ht="15.75" customHeight="1">
      <c r="A1008" s="268"/>
      <c r="J1008" s="180"/>
    </row>
    <row r="1009" ht="15.75" customHeight="1">
      <c r="A1009" s="268"/>
      <c r="J1009" s="180"/>
    </row>
    <row r="1010" ht="15.75" customHeight="1">
      <c r="A1010" s="268"/>
      <c r="J1010" s="180"/>
    </row>
    <row r="1011" ht="15.75" customHeight="1">
      <c r="A1011" s="268"/>
      <c r="J1011" s="180"/>
    </row>
    <row r="1012" ht="15.75" customHeight="1">
      <c r="A1012" s="268"/>
      <c r="J1012" s="180"/>
    </row>
    <row r="1013" ht="15.75" customHeight="1">
      <c r="A1013" s="268"/>
      <c r="J1013" s="180"/>
    </row>
    <row r="1014" ht="15.75" customHeight="1">
      <c r="A1014" s="268"/>
      <c r="J1014" s="180"/>
    </row>
    <row r="1015" ht="15.75" customHeight="1">
      <c r="A1015" s="268"/>
      <c r="J1015" s="180"/>
    </row>
    <row r="1016" ht="15.75" customHeight="1">
      <c r="A1016" s="268"/>
      <c r="J1016" s="180"/>
    </row>
    <row r="1017" ht="15.75" customHeight="1">
      <c r="A1017" s="268"/>
      <c r="J1017" s="180"/>
    </row>
    <row r="1018" ht="15.75" customHeight="1">
      <c r="A1018" s="268"/>
      <c r="J1018" s="180"/>
    </row>
    <row r="1019" ht="15.75" customHeight="1">
      <c r="A1019" s="268"/>
      <c r="J1019" s="180"/>
    </row>
    <row r="1020" ht="15.75" customHeight="1">
      <c r="A1020" s="268"/>
      <c r="J1020" s="180"/>
    </row>
  </sheetData>
  <mergeCells count="2">
    <mergeCell ref="A2:A12"/>
    <mergeCell ref="A14:A27"/>
  </mergeCells>
  <dataValidations>
    <dataValidation type="list" allowBlank="1" showErrorMessage="1" sqref="E2:E17 E19:E27">
      <formula1>"yes,no"</formula1>
    </dataValidation>
    <dataValidation type="list" allowBlank="1" showErrorMessage="1" sqref="D2:D27">
      <formula1>"Text,Numeric,Image,single Select,Multi select,Date,Autocalculate"</formula1>
    </dataValidation>
  </dataValidations>
  <printOptions/>
  <pageMargins bottom="0.75" footer="0.0" header="0.0" left="0.7" right="0.7" top="0.75"/>
  <pageSetup orientation="landscape"/>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0"/>
    <col customWidth="1" min="2" max="2" width="37.13"/>
    <col customWidth="1" min="3" max="3" width="23.75"/>
    <col customWidth="1" min="4" max="4" width="12.63"/>
    <col customWidth="1" min="5" max="5" width="19.25"/>
    <col customWidth="1" min="6" max="6" width="12.63"/>
    <col customWidth="1" min="9" max="9" width="28.88"/>
    <col customWidth="1" min="10" max="10" width="33.25"/>
  </cols>
  <sheetData>
    <row r="1" ht="15.75" customHeight="1">
      <c r="A1" s="147" t="s">
        <v>632</v>
      </c>
      <c r="B1" s="147" t="s">
        <v>633</v>
      </c>
      <c r="C1" s="147" t="s">
        <v>634</v>
      </c>
      <c r="D1" s="147" t="s">
        <v>907</v>
      </c>
      <c r="E1" s="147" t="s">
        <v>637</v>
      </c>
      <c r="F1" s="147" t="s">
        <v>638</v>
      </c>
      <c r="G1" s="147" t="s">
        <v>639</v>
      </c>
      <c r="H1" s="147" t="s">
        <v>640</v>
      </c>
      <c r="I1" s="147" t="s">
        <v>641</v>
      </c>
      <c r="J1" s="147" t="s">
        <v>642</v>
      </c>
      <c r="K1" s="149"/>
      <c r="L1" s="149"/>
      <c r="M1" s="149"/>
      <c r="N1" s="149"/>
      <c r="O1" s="149"/>
      <c r="P1" s="149"/>
      <c r="Q1" s="149"/>
      <c r="R1" s="149"/>
      <c r="S1" s="149"/>
      <c r="T1" s="149"/>
      <c r="U1" s="149"/>
    </row>
    <row r="2" ht="65.25" customHeight="1">
      <c r="A2" s="270">
        <v>1.0</v>
      </c>
      <c r="B2" s="148" t="s">
        <v>1088</v>
      </c>
      <c r="C2" s="156" t="s">
        <v>912</v>
      </c>
      <c r="D2" s="151" t="s">
        <v>728</v>
      </c>
      <c r="E2" s="271"/>
      <c r="F2" s="271"/>
      <c r="G2" s="271"/>
      <c r="H2" s="271"/>
      <c r="I2" s="200" t="s">
        <v>1089</v>
      </c>
      <c r="J2" s="271"/>
    </row>
    <row r="3" ht="15.75" customHeight="1">
      <c r="A3" s="270">
        <v>2.0</v>
      </c>
      <c r="B3" s="137" t="s">
        <v>1090</v>
      </c>
      <c r="C3" s="156" t="s">
        <v>646</v>
      </c>
      <c r="D3" s="151" t="s">
        <v>728</v>
      </c>
      <c r="E3" s="271"/>
      <c r="F3" s="271"/>
      <c r="G3" s="271"/>
      <c r="H3" s="271"/>
      <c r="I3" s="271"/>
      <c r="J3" s="271"/>
    </row>
    <row r="4" ht="15.75" customHeight="1">
      <c r="A4" s="270">
        <v>3.0</v>
      </c>
      <c r="B4" s="137" t="s">
        <v>1091</v>
      </c>
      <c r="C4" s="156" t="s">
        <v>646</v>
      </c>
      <c r="D4" s="151" t="s">
        <v>728</v>
      </c>
      <c r="E4" s="137" t="s">
        <v>1092</v>
      </c>
      <c r="F4" s="271"/>
      <c r="G4" s="271"/>
      <c r="H4" s="271"/>
      <c r="J4" s="148"/>
    </row>
    <row r="5" ht="15.75" customHeight="1">
      <c r="A5" s="272">
        <v>4.0</v>
      </c>
      <c r="B5" s="137" t="s">
        <v>1069</v>
      </c>
      <c r="C5" s="156" t="s">
        <v>649</v>
      </c>
      <c r="D5" s="151" t="s">
        <v>728</v>
      </c>
      <c r="E5" s="137" t="s">
        <v>1092</v>
      </c>
      <c r="F5" s="187"/>
      <c r="G5" s="187"/>
      <c r="H5" s="187"/>
      <c r="I5" s="187"/>
      <c r="J5" s="187"/>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dataValidations>
    <dataValidation type="list" allowBlank="1" showErrorMessage="1" sqref="D2:D5">
      <formula1>"yes,no"</formula1>
    </dataValidation>
    <dataValidation type="list" allowBlank="1" showErrorMessage="1" sqref="C2:C5">
      <formula1>"Text,Numeric,Image,Single Select,Multi select,Date"</formula1>
    </dataValidation>
  </dataValidations>
  <drawing r:id="rId4"/>
  <legacy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1" width="18.13"/>
    <col customWidth="1" min="2" max="2" width="16.88"/>
    <col customWidth="1" min="3" max="3" width="36.88"/>
    <col customWidth="1" min="4" max="4" width="17.5"/>
    <col customWidth="1" min="5" max="5" width="12.63"/>
    <col customWidth="1" min="6" max="6" width="35.75"/>
    <col customWidth="1" min="7" max="7" width="31.75"/>
    <col customWidth="1" min="10" max="10" width="30.13"/>
    <col customWidth="1" min="11" max="11" width="25.38"/>
    <col customWidth="1" min="14" max="14" width="19.38"/>
    <col customWidth="1" min="15" max="15" width="18.5"/>
    <col customWidth="1" min="16" max="16" width="57.38"/>
  </cols>
  <sheetData>
    <row r="1" ht="15.75" customHeight="1">
      <c r="A1" s="147" t="s">
        <v>631</v>
      </c>
      <c r="B1" s="147" t="s">
        <v>632</v>
      </c>
      <c r="C1" s="147" t="s">
        <v>633</v>
      </c>
      <c r="D1" s="147" t="s">
        <v>634</v>
      </c>
      <c r="E1" s="147" t="s">
        <v>824</v>
      </c>
      <c r="F1" s="147" t="s">
        <v>637</v>
      </c>
      <c r="G1" s="147" t="s">
        <v>638</v>
      </c>
      <c r="H1" s="147" t="s">
        <v>639</v>
      </c>
      <c r="I1" s="147" t="s">
        <v>640</v>
      </c>
      <c r="J1" s="147" t="s">
        <v>641</v>
      </c>
      <c r="K1" s="147" t="s">
        <v>642</v>
      </c>
      <c r="L1" s="147" t="s">
        <v>722</v>
      </c>
      <c r="M1" s="184" t="s">
        <v>723</v>
      </c>
      <c r="N1" s="184" t="s">
        <v>724</v>
      </c>
      <c r="O1" s="184" t="s">
        <v>725</v>
      </c>
      <c r="P1" s="149"/>
      <c r="Q1" s="149"/>
      <c r="R1" s="149"/>
      <c r="S1" s="149"/>
      <c r="T1" s="149"/>
      <c r="U1" s="149"/>
      <c r="V1" s="149"/>
      <c r="W1" s="149"/>
      <c r="X1" s="149"/>
      <c r="Y1" s="149"/>
      <c r="Z1" s="149"/>
      <c r="AA1" s="149"/>
    </row>
    <row r="2" ht="15.75" customHeight="1">
      <c r="A2" s="216" t="s">
        <v>1093</v>
      </c>
      <c r="B2" s="156"/>
      <c r="C2" s="156" t="s">
        <v>1094</v>
      </c>
      <c r="D2" s="156" t="s">
        <v>1046</v>
      </c>
      <c r="E2" s="156" t="s">
        <v>728</v>
      </c>
      <c r="F2" s="151"/>
      <c r="G2" s="151"/>
      <c r="H2" s="151"/>
      <c r="I2" s="151"/>
      <c r="J2" s="134" t="s">
        <v>673</v>
      </c>
      <c r="K2" s="42"/>
      <c r="L2" s="151"/>
      <c r="M2" s="151"/>
      <c r="N2" s="151"/>
      <c r="O2" s="151"/>
      <c r="AA2" s="149"/>
    </row>
    <row r="3" ht="15.75" customHeight="1">
      <c r="A3" s="216"/>
      <c r="B3" s="156"/>
      <c r="C3" s="156" t="s">
        <v>1095</v>
      </c>
      <c r="D3" s="156" t="s">
        <v>649</v>
      </c>
      <c r="E3" s="156" t="s">
        <v>728</v>
      </c>
      <c r="F3" s="156" t="s">
        <v>1096</v>
      </c>
      <c r="G3" s="151"/>
      <c r="H3" s="151"/>
      <c r="I3" s="151"/>
      <c r="J3" s="134"/>
      <c r="K3" s="42"/>
      <c r="L3" s="151"/>
      <c r="M3" s="151"/>
      <c r="N3" s="151"/>
      <c r="O3" s="151"/>
      <c r="AA3" s="149"/>
    </row>
    <row r="4" ht="15.75" customHeight="1">
      <c r="A4" s="216"/>
      <c r="B4" s="156"/>
      <c r="C4" s="156" t="s">
        <v>1097</v>
      </c>
      <c r="D4" s="156" t="s">
        <v>646</v>
      </c>
      <c r="E4" s="156" t="s">
        <v>728</v>
      </c>
      <c r="F4" s="156" t="s">
        <v>1096</v>
      </c>
      <c r="G4" s="151"/>
      <c r="H4" s="151"/>
      <c r="I4" s="151"/>
      <c r="J4" s="134"/>
      <c r="K4" s="42"/>
      <c r="L4" s="151"/>
      <c r="M4" s="151"/>
      <c r="N4" s="151"/>
      <c r="O4" s="151"/>
      <c r="AA4" s="149"/>
    </row>
    <row r="5" ht="15.75" customHeight="1">
      <c r="A5" s="216" t="s">
        <v>1098</v>
      </c>
      <c r="B5" s="156">
        <v>1.0</v>
      </c>
      <c r="C5" s="156" t="s">
        <v>1099</v>
      </c>
      <c r="D5" s="156" t="s">
        <v>689</v>
      </c>
      <c r="E5" s="156" t="s">
        <v>728</v>
      </c>
      <c r="F5" s="151"/>
      <c r="G5" s="156" t="s">
        <v>1096</v>
      </c>
      <c r="H5" s="151"/>
      <c r="I5" s="151"/>
      <c r="J5" s="134"/>
      <c r="K5" s="42" t="s">
        <v>1100</v>
      </c>
      <c r="L5" s="151"/>
      <c r="M5" s="151" t="s">
        <v>1101</v>
      </c>
      <c r="N5" s="151"/>
      <c r="O5" s="151"/>
      <c r="AA5" s="264"/>
    </row>
    <row r="6" ht="15.75" customHeight="1">
      <c r="A6" s="26"/>
      <c r="B6" s="156">
        <v>2.0</v>
      </c>
      <c r="C6" s="156" t="s">
        <v>1102</v>
      </c>
      <c r="D6" s="156" t="s">
        <v>738</v>
      </c>
      <c r="E6" s="156" t="s">
        <v>728</v>
      </c>
      <c r="F6" s="151"/>
      <c r="G6" s="156" t="s">
        <v>1096</v>
      </c>
      <c r="H6" s="151"/>
      <c r="I6" s="151"/>
      <c r="J6" s="134" t="s">
        <v>1103</v>
      </c>
      <c r="K6" s="156" t="s">
        <v>1104</v>
      </c>
      <c r="L6" s="151"/>
      <c r="M6" s="151"/>
      <c r="N6" s="151"/>
      <c r="O6" s="151"/>
      <c r="AA6" s="264"/>
    </row>
    <row r="7" ht="15.75" customHeight="1">
      <c r="A7" s="26"/>
      <c r="B7" s="156">
        <v>3.0</v>
      </c>
      <c r="C7" s="156" t="s">
        <v>1105</v>
      </c>
      <c r="D7" s="156" t="s">
        <v>851</v>
      </c>
      <c r="E7" s="156" t="s">
        <v>728</v>
      </c>
      <c r="F7" s="151"/>
      <c r="G7" s="156" t="s">
        <v>1096</v>
      </c>
      <c r="H7" s="156" t="s">
        <v>806</v>
      </c>
      <c r="I7" s="151"/>
      <c r="J7" s="134" t="s">
        <v>1106</v>
      </c>
      <c r="K7" s="151"/>
      <c r="L7" s="151"/>
      <c r="M7" s="151"/>
      <c r="N7" s="151"/>
      <c r="O7" s="151"/>
      <c r="AA7" s="264"/>
    </row>
    <row r="8" ht="15.75" customHeight="1">
      <c r="A8" s="26"/>
      <c r="B8" s="156">
        <v>4.0</v>
      </c>
      <c r="C8" s="156" t="s">
        <v>683</v>
      </c>
      <c r="D8" s="156" t="s">
        <v>646</v>
      </c>
      <c r="E8" s="156" t="s">
        <v>728</v>
      </c>
      <c r="F8" s="156" t="s">
        <v>1107</v>
      </c>
      <c r="G8" s="156" t="s">
        <v>1096</v>
      </c>
      <c r="H8" s="151"/>
      <c r="I8" s="151"/>
      <c r="J8" s="134"/>
      <c r="K8" s="151"/>
      <c r="L8" s="151"/>
      <c r="M8" s="151"/>
      <c r="N8" s="151"/>
      <c r="O8" s="151"/>
      <c r="P8" s="273"/>
      <c r="Q8" s="273"/>
      <c r="R8" s="273"/>
      <c r="S8" s="273"/>
      <c r="T8" s="273"/>
      <c r="U8" s="273"/>
      <c r="V8" s="273"/>
      <c r="W8" s="273"/>
      <c r="X8" s="273"/>
      <c r="Y8" s="273"/>
      <c r="Z8" s="273"/>
      <c r="AA8" s="274"/>
    </row>
    <row r="9" ht="45.75" customHeight="1">
      <c r="A9" s="26"/>
      <c r="B9" s="156">
        <v>5.0</v>
      </c>
      <c r="C9" s="194" t="s">
        <v>1108</v>
      </c>
      <c r="D9" s="151" t="s">
        <v>912</v>
      </c>
      <c r="E9" s="151" t="s">
        <v>728</v>
      </c>
      <c r="F9" s="151"/>
      <c r="G9" s="156" t="s">
        <v>1096</v>
      </c>
      <c r="H9" s="151"/>
      <c r="I9" s="151"/>
      <c r="J9" s="156" t="s">
        <v>1109</v>
      </c>
      <c r="K9" s="151"/>
      <c r="L9" s="151"/>
      <c r="M9" s="151"/>
      <c r="N9" s="151"/>
      <c r="O9" s="151"/>
    </row>
    <row r="10" ht="15.75" customHeight="1">
      <c r="A10" s="26"/>
      <c r="B10" s="156">
        <v>6.0</v>
      </c>
      <c r="C10" s="186" t="s">
        <v>1110</v>
      </c>
      <c r="D10" s="151" t="s">
        <v>912</v>
      </c>
      <c r="E10" s="151" t="s">
        <v>728</v>
      </c>
      <c r="F10" s="151"/>
      <c r="G10" s="156" t="s">
        <v>1096</v>
      </c>
      <c r="H10" s="151"/>
      <c r="I10" s="151"/>
      <c r="J10" s="156" t="s">
        <v>1109</v>
      </c>
      <c r="K10" s="151"/>
      <c r="L10" s="151"/>
      <c r="M10" s="151"/>
      <c r="N10" s="151"/>
      <c r="O10" s="151"/>
      <c r="AA10" s="264"/>
    </row>
    <row r="11" ht="25.5" customHeight="1">
      <c r="A11" s="26"/>
      <c r="B11" s="156">
        <v>7.0</v>
      </c>
      <c r="C11" s="134" t="s">
        <v>1111</v>
      </c>
      <c r="D11" s="156" t="s">
        <v>912</v>
      </c>
      <c r="E11" s="156" t="s">
        <v>728</v>
      </c>
      <c r="F11" s="151"/>
      <c r="G11" s="156" t="s">
        <v>1096</v>
      </c>
      <c r="H11" s="151"/>
      <c r="I11" s="151"/>
      <c r="J11" s="200" t="s">
        <v>744</v>
      </c>
      <c r="K11" s="151"/>
      <c r="L11" s="151"/>
      <c r="M11" s="151"/>
      <c r="N11" s="151"/>
      <c r="O11" s="151"/>
    </row>
    <row r="12" ht="15.75" customHeight="1">
      <c r="A12" s="201" t="s">
        <v>1112</v>
      </c>
      <c r="B12" s="156"/>
      <c r="C12" s="275" t="s">
        <v>1113</v>
      </c>
      <c r="D12" s="156" t="s">
        <v>912</v>
      </c>
      <c r="E12" s="156" t="s">
        <v>728</v>
      </c>
      <c r="F12" s="151"/>
      <c r="G12" s="156" t="s">
        <v>1096</v>
      </c>
      <c r="H12" s="151"/>
      <c r="I12" s="151"/>
      <c r="J12" s="200" t="s">
        <v>744</v>
      </c>
      <c r="K12" s="156"/>
      <c r="L12" s="151"/>
      <c r="M12" s="151"/>
    </row>
    <row r="13" ht="15.75" customHeight="1">
      <c r="A13" s="26"/>
      <c r="B13" s="156"/>
      <c r="C13" s="275" t="s">
        <v>1114</v>
      </c>
      <c r="D13" s="156" t="s">
        <v>655</v>
      </c>
      <c r="E13" s="156"/>
      <c r="F13" s="151"/>
      <c r="G13" s="156" t="s">
        <v>1096</v>
      </c>
      <c r="H13" s="151"/>
      <c r="I13" s="151"/>
      <c r="J13" s="194"/>
      <c r="K13" s="156" t="s">
        <v>1115</v>
      </c>
      <c r="L13" s="151"/>
      <c r="M13" s="151"/>
    </row>
    <row r="14" ht="15.75" customHeight="1">
      <c r="A14" s="26"/>
      <c r="B14" s="156">
        <v>1.0</v>
      </c>
      <c r="C14" s="275" t="s">
        <v>729</v>
      </c>
      <c r="D14" s="156" t="s">
        <v>689</v>
      </c>
      <c r="E14" s="156" t="s">
        <v>728</v>
      </c>
      <c r="F14" s="151"/>
      <c r="G14" s="42" t="s">
        <v>1116</v>
      </c>
      <c r="H14" s="151"/>
      <c r="I14" s="151"/>
      <c r="J14" s="194"/>
      <c r="K14" s="156" t="s">
        <v>1117</v>
      </c>
      <c r="L14" s="151"/>
      <c r="M14" s="151"/>
    </row>
    <row r="15" ht="15.75" customHeight="1">
      <c r="A15" s="26"/>
      <c r="B15" s="156">
        <v>2.0</v>
      </c>
      <c r="C15" s="275" t="s">
        <v>1118</v>
      </c>
      <c r="D15" s="151" t="s">
        <v>689</v>
      </c>
      <c r="E15" s="151" t="s">
        <v>728</v>
      </c>
      <c r="F15" s="151"/>
      <c r="G15" s="42" t="s">
        <v>1116</v>
      </c>
      <c r="H15" s="151"/>
      <c r="I15" s="151"/>
      <c r="J15" s="194"/>
      <c r="K15" s="197" t="s">
        <v>756</v>
      </c>
      <c r="L15" s="151"/>
      <c r="M15" s="151"/>
    </row>
    <row r="16" ht="15.75" customHeight="1">
      <c r="A16" s="26"/>
      <c r="B16" s="156">
        <v>3.0</v>
      </c>
      <c r="C16" s="275" t="s">
        <v>757</v>
      </c>
      <c r="D16" s="151" t="s">
        <v>689</v>
      </c>
      <c r="E16" s="151" t="s">
        <v>728</v>
      </c>
      <c r="F16" s="151"/>
      <c r="G16" s="42" t="s">
        <v>1116</v>
      </c>
      <c r="H16" s="151"/>
      <c r="I16" s="151"/>
      <c r="J16" s="194"/>
      <c r="K16" s="197" t="s">
        <v>758</v>
      </c>
      <c r="L16" s="151"/>
      <c r="M16" s="151"/>
    </row>
    <row r="17" ht="15.75" customHeight="1">
      <c r="A17" s="26"/>
      <c r="B17" s="156">
        <v>4.0</v>
      </c>
      <c r="C17" s="275" t="s">
        <v>759</v>
      </c>
      <c r="D17" s="151" t="s">
        <v>689</v>
      </c>
      <c r="E17" s="151" t="s">
        <v>728</v>
      </c>
      <c r="F17" s="151"/>
      <c r="G17" s="42" t="s">
        <v>1116</v>
      </c>
      <c r="H17" s="151"/>
      <c r="I17" s="151"/>
      <c r="J17" s="194"/>
      <c r="K17" s="197" t="s">
        <v>758</v>
      </c>
      <c r="L17" s="151"/>
      <c r="M17" s="151"/>
    </row>
    <row r="18" ht="15.75" customHeight="1">
      <c r="A18" s="26"/>
      <c r="B18" s="156">
        <v>5.0</v>
      </c>
      <c r="C18" s="275" t="s">
        <v>760</v>
      </c>
      <c r="D18" s="156" t="s">
        <v>689</v>
      </c>
      <c r="E18" s="156" t="s">
        <v>728</v>
      </c>
      <c r="F18" s="151"/>
      <c r="G18" s="42" t="s">
        <v>1116</v>
      </c>
      <c r="H18" s="151"/>
      <c r="I18" s="151"/>
      <c r="J18" s="194"/>
      <c r="K18" s="197" t="s">
        <v>758</v>
      </c>
      <c r="L18" s="151"/>
      <c r="M18" s="151"/>
    </row>
    <row r="19" ht="15.75" customHeight="1">
      <c r="A19" s="26"/>
      <c r="B19" s="156">
        <v>6.0</v>
      </c>
      <c r="C19" s="134" t="s">
        <v>735</v>
      </c>
      <c r="D19" s="156" t="s">
        <v>649</v>
      </c>
      <c r="E19" s="156" t="s">
        <v>728</v>
      </c>
      <c r="F19" s="151"/>
      <c r="G19" s="42" t="s">
        <v>1116</v>
      </c>
      <c r="H19" s="151"/>
      <c r="I19" s="151"/>
      <c r="J19" s="194"/>
      <c r="K19" s="133" t="s">
        <v>1119</v>
      </c>
      <c r="L19" s="151"/>
      <c r="M19" s="151"/>
    </row>
    <row r="20" ht="15.75" customHeight="1">
      <c r="A20" s="26"/>
      <c r="B20" s="162">
        <v>7.0</v>
      </c>
      <c r="C20" s="158" t="s">
        <v>1042</v>
      </c>
      <c r="D20" s="162" t="s">
        <v>649</v>
      </c>
      <c r="E20" s="158" t="s">
        <v>728</v>
      </c>
      <c r="F20" s="158"/>
      <c r="G20" s="243" t="s">
        <v>1116</v>
      </c>
      <c r="H20" s="158"/>
      <c r="I20" s="158"/>
      <c r="J20" s="195"/>
      <c r="K20" s="162" t="s">
        <v>1120</v>
      </c>
      <c r="L20" s="158"/>
      <c r="M20" s="158"/>
      <c r="N20" s="163"/>
      <c r="O20" s="163"/>
      <c r="P20" s="163"/>
      <c r="Q20" s="163"/>
      <c r="R20" s="163"/>
      <c r="S20" s="163"/>
      <c r="T20" s="163"/>
      <c r="U20" s="163"/>
      <c r="V20" s="163"/>
      <c r="W20" s="163"/>
      <c r="X20" s="163"/>
      <c r="Y20" s="163"/>
      <c r="Z20" s="163"/>
      <c r="AA20" s="163"/>
    </row>
    <row r="21" ht="15.75" customHeight="1">
      <c r="A21" s="26"/>
      <c r="B21" s="162">
        <v>8.0</v>
      </c>
      <c r="C21" s="193" t="s">
        <v>1121</v>
      </c>
      <c r="D21" s="162" t="s">
        <v>738</v>
      </c>
      <c r="E21" s="158"/>
      <c r="F21" s="158"/>
      <c r="G21" s="243" t="s">
        <v>1116</v>
      </c>
      <c r="H21" s="158"/>
      <c r="I21" s="158"/>
      <c r="J21" s="276"/>
      <c r="K21" s="162" t="s">
        <v>1122</v>
      </c>
      <c r="L21" s="158"/>
      <c r="M21" s="158"/>
      <c r="N21" s="163"/>
      <c r="O21" s="163"/>
      <c r="P21" s="163"/>
      <c r="Q21" s="163"/>
      <c r="R21" s="163"/>
      <c r="S21" s="163"/>
      <c r="T21" s="163"/>
      <c r="U21" s="163"/>
      <c r="V21" s="163"/>
      <c r="W21" s="163"/>
      <c r="X21" s="163"/>
      <c r="Y21" s="163"/>
      <c r="Z21" s="163"/>
      <c r="AA21" s="163"/>
    </row>
    <row r="22" ht="15.75" customHeight="1">
      <c r="A22" s="26"/>
      <c r="B22" s="156">
        <v>9.0</v>
      </c>
      <c r="C22" s="151" t="s">
        <v>1045</v>
      </c>
      <c r="D22" s="151" t="s">
        <v>1046</v>
      </c>
      <c r="E22" s="151" t="s">
        <v>728</v>
      </c>
      <c r="F22" s="151"/>
      <c r="G22" s="42" t="s">
        <v>1116</v>
      </c>
      <c r="H22" s="151"/>
      <c r="I22" s="151"/>
      <c r="J22" s="204" t="s">
        <v>1047</v>
      </c>
      <c r="K22" s="151"/>
      <c r="L22" s="151"/>
      <c r="M22" s="151"/>
    </row>
    <row r="23" ht="15.75" customHeight="1">
      <c r="A23" s="26"/>
      <c r="B23" s="156">
        <v>10.0</v>
      </c>
      <c r="C23" s="151" t="s">
        <v>1049</v>
      </c>
      <c r="D23" s="151" t="s">
        <v>1046</v>
      </c>
      <c r="E23" s="151" t="s">
        <v>728</v>
      </c>
      <c r="F23" s="151"/>
      <c r="G23" s="42" t="s">
        <v>1116</v>
      </c>
      <c r="H23" s="151"/>
      <c r="I23" s="151"/>
      <c r="J23" s="134" t="s">
        <v>1050</v>
      </c>
      <c r="K23" s="151"/>
      <c r="L23" s="151"/>
      <c r="M23" s="151"/>
    </row>
    <row r="24" ht="15.75" customHeight="1">
      <c r="A24" s="26"/>
      <c r="B24" s="156">
        <v>11.0</v>
      </c>
      <c r="C24" s="156" t="s">
        <v>1123</v>
      </c>
      <c r="D24" s="156" t="s">
        <v>646</v>
      </c>
      <c r="E24" s="156" t="s">
        <v>728</v>
      </c>
      <c r="F24" s="151"/>
      <c r="G24" s="156" t="s">
        <v>1052</v>
      </c>
      <c r="H24" s="151"/>
      <c r="I24" s="151"/>
      <c r="J24" s="134"/>
      <c r="K24" s="151"/>
      <c r="L24" s="151"/>
      <c r="M24" s="151"/>
    </row>
    <row r="25" ht="15.75" customHeight="1">
      <c r="A25" s="26"/>
      <c r="B25" s="156">
        <v>12.0</v>
      </c>
      <c r="C25" s="151" t="s">
        <v>1053</v>
      </c>
      <c r="D25" s="151" t="s">
        <v>1046</v>
      </c>
      <c r="E25" s="151" t="s">
        <v>728</v>
      </c>
      <c r="F25" s="151"/>
      <c r="G25" s="42" t="s">
        <v>1116</v>
      </c>
      <c r="H25" s="151"/>
      <c r="I25" s="151"/>
      <c r="J25" s="134" t="s">
        <v>1054</v>
      </c>
      <c r="K25" s="151"/>
      <c r="L25" s="151"/>
      <c r="M25" s="151"/>
    </row>
    <row r="26" ht="15.75" customHeight="1">
      <c r="A26" s="26"/>
      <c r="B26" s="156">
        <v>13.0</v>
      </c>
      <c r="C26" s="156" t="s">
        <v>1055</v>
      </c>
      <c r="D26" s="156" t="s">
        <v>1046</v>
      </c>
      <c r="E26" s="156" t="s">
        <v>728</v>
      </c>
      <c r="F26" s="151"/>
      <c r="G26" s="42" t="s">
        <v>1116</v>
      </c>
      <c r="H26" s="151"/>
      <c r="I26" s="151"/>
      <c r="J26" s="134" t="s">
        <v>1056</v>
      </c>
      <c r="K26" s="151"/>
      <c r="L26" s="151"/>
      <c r="M26" s="151"/>
    </row>
    <row r="27" ht="15.75" customHeight="1">
      <c r="A27" s="26"/>
      <c r="B27" s="156">
        <v>14.0</v>
      </c>
      <c r="C27" s="42" t="s">
        <v>1083</v>
      </c>
      <c r="D27" s="156" t="s">
        <v>1046</v>
      </c>
      <c r="E27" s="156" t="s">
        <v>728</v>
      </c>
      <c r="F27" s="156" t="s">
        <v>1058</v>
      </c>
      <c r="G27" s="42" t="s">
        <v>1116</v>
      </c>
      <c r="H27" s="151"/>
      <c r="I27" s="151"/>
      <c r="J27" s="134" t="s">
        <v>1124</v>
      </c>
      <c r="K27" s="151"/>
      <c r="L27" s="151"/>
      <c r="M27" s="151"/>
    </row>
    <row r="28" ht="15.75" customHeight="1">
      <c r="A28" s="27"/>
      <c r="B28" s="156">
        <v>15.0</v>
      </c>
      <c r="C28" s="156" t="s">
        <v>1062</v>
      </c>
      <c r="D28" s="156" t="s">
        <v>689</v>
      </c>
      <c r="E28" s="156" t="s">
        <v>728</v>
      </c>
      <c r="F28" s="151"/>
      <c r="G28" s="42" t="s">
        <v>1116</v>
      </c>
      <c r="H28" s="151"/>
      <c r="I28" s="151"/>
      <c r="J28" s="134" t="s">
        <v>1063</v>
      </c>
      <c r="K28" s="151"/>
      <c r="L28" s="151"/>
      <c r="M28" s="151"/>
    </row>
    <row r="29" ht="15.75" customHeight="1">
      <c r="A29" s="229"/>
      <c r="B29" s="156"/>
      <c r="C29" s="156" t="s">
        <v>1064</v>
      </c>
      <c r="D29" s="156" t="s">
        <v>646</v>
      </c>
      <c r="E29" s="156" t="s">
        <v>728</v>
      </c>
      <c r="F29" s="156" t="s">
        <v>1125</v>
      </c>
      <c r="G29" s="42" t="s">
        <v>1116</v>
      </c>
      <c r="H29" s="151"/>
      <c r="I29" s="151"/>
      <c r="J29" s="134"/>
      <c r="K29" s="151"/>
      <c r="L29" s="151"/>
      <c r="M29" s="151"/>
    </row>
    <row r="30" ht="15.75" customHeight="1">
      <c r="A30" s="201" t="s">
        <v>1126</v>
      </c>
      <c r="B30" s="156">
        <v>1.0</v>
      </c>
      <c r="C30" s="151" t="s">
        <v>1067</v>
      </c>
      <c r="D30" s="151" t="s">
        <v>1046</v>
      </c>
      <c r="E30" s="151" t="s">
        <v>728</v>
      </c>
      <c r="F30" s="151"/>
      <c r="G30" s="42" t="s">
        <v>1116</v>
      </c>
      <c r="H30" s="151"/>
      <c r="I30" s="151"/>
      <c r="J30" s="194" t="s">
        <v>1068</v>
      </c>
      <c r="K30" s="151"/>
      <c r="L30" s="151"/>
      <c r="M30" s="151"/>
    </row>
    <row r="31" ht="15.75" customHeight="1">
      <c r="A31" s="26"/>
      <c r="B31" s="156">
        <v>2.0</v>
      </c>
      <c r="C31" s="156" t="s">
        <v>1069</v>
      </c>
      <c r="D31" s="156" t="s">
        <v>649</v>
      </c>
      <c r="E31" s="156" t="s">
        <v>728</v>
      </c>
      <c r="F31" s="156" t="s">
        <v>1070</v>
      </c>
      <c r="G31" s="42" t="s">
        <v>1116</v>
      </c>
      <c r="H31" s="151"/>
      <c r="I31" s="151"/>
      <c r="J31" s="267"/>
      <c r="K31" s="151"/>
      <c r="L31" s="151"/>
      <c r="M31" s="151"/>
    </row>
    <row r="32" ht="15.75" customHeight="1">
      <c r="A32" s="26"/>
      <c r="B32" s="156">
        <v>3.0</v>
      </c>
      <c r="C32" s="156" t="s">
        <v>1071</v>
      </c>
      <c r="D32" s="156" t="s">
        <v>646</v>
      </c>
      <c r="E32" s="156" t="s">
        <v>728</v>
      </c>
      <c r="F32" s="156" t="s">
        <v>1070</v>
      </c>
      <c r="G32" s="42" t="s">
        <v>1116</v>
      </c>
      <c r="H32" s="151"/>
      <c r="I32" s="151"/>
      <c r="J32" s="267"/>
      <c r="K32" s="151"/>
      <c r="L32" s="151"/>
      <c r="M32" s="151"/>
    </row>
    <row r="33" ht="15.75" customHeight="1">
      <c r="A33" s="26"/>
      <c r="B33" s="156">
        <v>4.0</v>
      </c>
      <c r="C33" s="156" t="s">
        <v>1075</v>
      </c>
      <c r="D33" s="156" t="s">
        <v>1046</v>
      </c>
      <c r="E33" s="156" t="s">
        <v>728</v>
      </c>
      <c r="F33" s="156" t="s">
        <v>1127</v>
      </c>
      <c r="G33" s="42" t="s">
        <v>1116</v>
      </c>
      <c r="H33" s="151"/>
      <c r="I33" s="151"/>
      <c r="J33" s="134" t="s">
        <v>1056</v>
      </c>
      <c r="K33" s="151"/>
      <c r="L33" s="151"/>
      <c r="M33" s="151"/>
    </row>
    <row r="34" ht="15.75" customHeight="1">
      <c r="A34" s="26"/>
      <c r="B34" s="156">
        <v>5.0</v>
      </c>
      <c r="C34" s="156" t="s">
        <v>1076</v>
      </c>
      <c r="D34" s="156" t="s">
        <v>646</v>
      </c>
      <c r="E34" s="156" t="s">
        <v>728</v>
      </c>
      <c r="F34" s="156" t="s">
        <v>1077</v>
      </c>
      <c r="G34" s="42" t="s">
        <v>1116</v>
      </c>
      <c r="H34" s="151"/>
      <c r="I34" s="151"/>
      <c r="J34" s="134"/>
      <c r="K34" s="151"/>
      <c r="L34" s="151"/>
      <c r="M34" s="151"/>
    </row>
    <row r="35" ht="15.75" customHeight="1">
      <c r="A35" s="26"/>
      <c r="B35" s="156">
        <v>6.0</v>
      </c>
      <c r="C35" s="134" t="s">
        <v>1078</v>
      </c>
      <c r="D35" s="156" t="s">
        <v>1046</v>
      </c>
      <c r="E35" s="156" t="s">
        <v>728</v>
      </c>
      <c r="F35" s="151"/>
      <c r="G35" s="42" t="s">
        <v>1116</v>
      </c>
      <c r="H35" s="151"/>
      <c r="I35" s="151"/>
      <c r="J35" s="134" t="s">
        <v>1056</v>
      </c>
      <c r="K35" s="151"/>
      <c r="L35" s="151"/>
      <c r="M35" s="151"/>
    </row>
    <row r="36" ht="15.75" customHeight="1">
      <c r="A36" s="26"/>
      <c r="B36" s="156">
        <v>7.0</v>
      </c>
      <c r="C36" s="156" t="s">
        <v>1076</v>
      </c>
      <c r="D36" s="156" t="s">
        <v>646</v>
      </c>
      <c r="E36" s="156" t="s">
        <v>728</v>
      </c>
      <c r="F36" s="134" t="s">
        <v>1128</v>
      </c>
      <c r="G36" s="42" t="s">
        <v>1116</v>
      </c>
      <c r="H36" s="151"/>
      <c r="I36" s="151"/>
      <c r="J36" s="134"/>
      <c r="K36" s="151"/>
      <c r="L36" s="151"/>
      <c r="M36" s="151"/>
    </row>
    <row r="37" ht="15.75" customHeight="1">
      <c r="A37" s="26"/>
      <c r="B37" s="156">
        <v>8.0</v>
      </c>
      <c r="C37" s="134" t="s">
        <v>1080</v>
      </c>
      <c r="D37" s="156" t="s">
        <v>1046</v>
      </c>
      <c r="E37" s="156" t="s">
        <v>728</v>
      </c>
      <c r="F37" s="134" t="s">
        <v>1129</v>
      </c>
      <c r="G37" s="42" t="s">
        <v>1116</v>
      </c>
      <c r="H37" s="151"/>
      <c r="I37" s="151"/>
      <c r="J37" s="134" t="s">
        <v>1082</v>
      </c>
      <c r="K37" s="151"/>
      <c r="L37" s="151"/>
      <c r="M37" s="151"/>
    </row>
    <row r="38" ht="15.75" customHeight="1">
      <c r="A38" s="26"/>
      <c r="B38" s="156">
        <v>9.0</v>
      </c>
      <c r="C38" s="156" t="s">
        <v>1083</v>
      </c>
      <c r="D38" s="156" t="s">
        <v>646</v>
      </c>
      <c r="E38" s="156" t="s">
        <v>728</v>
      </c>
      <c r="F38" s="134" t="s">
        <v>1130</v>
      </c>
      <c r="G38" s="42" t="s">
        <v>1116</v>
      </c>
      <c r="H38" s="151"/>
      <c r="I38" s="151"/>
      <c r="J38" s="134"/>
      <c r="K38" s="151"/>
      <c r="L38" s="151"/>
      <c r="M38" s="151"/>
    </row>
    <row r="39" ht="15.75" customHeight="1">
      <c r="A39" s="26"/>
      <c r="B39" s="156">
        <v>10.0</v>
      </c>
      <c r="C39" s="134" t="s">
        <v>1085</v>
      </c>
      <c r="D39" s="156" t="s">
        <v>1046</v>
      </c>
      <c r="E39" s="156" t="s">
        <v>728</v>
      </c>
      <c r="F39" s="134" t="s">
        <v>1128</v>
      </c>
      <c r="G39" s="42" t="s">
        <v>1116</v>
      </c>
      <c r="H39" s="151"/>
      <c r="I39" s="151"/>
      <c r="J39" s="134"/>
      <c r="K39" s="151"/>
      <c r="L39" s="151"/>
      <c r="M39" s="151"/>
    </row>
    <row r="40" ht="15.75" customHeight="1">
      <c r="A40" s="27"/>
      <c r="B40" s="156">
        <v>11.0</v>
      </c>
      <c r="C40" s="156" t="s">
        <v>1083</v>
      </c>
      <c r="D40" s="156" t="s">
        <v>646</v>
      </c>
      <c r="E40" s="156" t="s">
        <v>728</v>
      </c>
      <c r="F40" s="134" t="s">
        <v>1087</v>
      </c>
      <c r="G40" s="42" t="s">
        <v>1116</v>
      </c>
      <c r="H40" s="151"/>
      <c r="I40" s="151"/>
      <c r="J40" s="134"/>
      <c r="K40" s="151"/>
      <c r="L40" s="151"/>
      <c r="M40" s="151"/>
    </row>
    <row r="41" ht="15.75" customHeight="1">
      <c r="A41" s="250"/>
    </row>
    <row r="42" ht="15.75" customHeight="1">
      <c r="A42" s="180"/>
      <c r="C42" s="180"/>
    </row>
    <row r="43" ht="15.75" customHeight="1">
      <c r="A43" s="180"/>
      <c r="C43" s="180"/>
    </row>
    <row r="44" ht="15.75" customHeight="1">
      <c r="A44" s="180"/>
      <c r="C44" s="277"/>
    </row>
    <row r="45" ht="15.75" customHeight="1">
      <c r="A45" s="180"/>
      <c r="C45" s="277"/>
    </row>
    <row r="46" ht="15.75" customHeight="1">
      <c r="A46" s="180"/>
      <c r="C46" s="277"/>
    </row>
    <row r="47" ht="15.75" customHeight="1">
      <c r="A47" s="180"/>
      <c r="C47" s="277"/>
    </row>
    <row r="48" ht="15.75" customHeight="1">
      <c r="A48" s="180"/>
      <c r="C48" s="277"/>
    </row>
    <row r="49" ht="15.75" customHeight="1">
      <c r="A49" s="180"/>
      <c r="C49" s="277"/>
    </row>
    <row r="50" ht="15.75" customHeight="1">
      <c r="A50" s="180"/>
      <c r="C50" s="277"/>
    </row>
    <row r="51" ht="15.75" customHeight="1">
      <c r="A51" s="180"/>
      <c r="C51" s="277"/>
    </row>
    <row r="52" ht="15.75" customHeight="1">
      <c r="A52" s="180"/>
      <c r="C52" s="277"/>
    </row>
    <row r="53" ht="15.75" customHeight="1">
      <c r="A53" s="180"/>
      <c r="C53" s="277"/>
    </row>
    <row r="54" ht="15.75" customHeight="1">
      <c r="A54" s="180"/>
      <c r="C54" s="277"/>
    </row>
    <row r="55" ht="15.75" customHeight="1">
      <c r="A55" s="180"/>
      <c r="C55" s="277"/>
    </row>
    <row r="56" ht="15.75" customHeight="1">
      <c r="A56" s="180"/>
      <c r="C56" s="277"/>
    </row>
    <row r="57" ht="15.75" customHeight="1">
      <c r="A57" s="180"/>
      <c r="C57" s="277"/>
    </row>
    <row r="58" ht="15.75" customHeight="1">
      <c r="A58" s="180"/>
      <c r="C58" s="277"/>
    </row>
    <row r="59" ht="15.75" customHeight="1">
      <c r="A59" s="180"/>
      <c r="C59" s="277"/>
    </row>
    <row r="60" ht="15.75" customHeight="1">
      <c r="A60" s="180"/>
      <c r="C60" s="277"/>
    </row>
    <row r="61" ht="15.75" customHeight="1">
      <c r="A61" s="180"/>
      <c r="C61" s="200" t="s">
        <v>1043</v>
      </c>
    </row>
    <row r="62" ht="15.75" customHeight="1">
      <c r="A62" s="180"/>
      <c r="C62" s="278" t="s">
        <v>729</v>
      </c>
      <c r="D62" s="156" t="s">
        <v>689</v>
      </c>
      <c r="E62" s="156" t="s">
        <v>728</v>
      </c>
    </row>
    <row r="63" ht="15.75" customHeight="1">
      <c r="A63" s="204" t="s">
        <v>1131</v>
      </c>
      <c r="C63" s="279" t="s">
        <v>1118</v>
      </c>
      <c r="D63" s="151" t="s">
        <v>689</v>
      </c>
      <c r="E63" s="151" t="s">
        <v>728</v>
      </c>
    </row>
    <row r="64" ht="15.75" customHeight="1">
      <c r="A64" s="180"/>
      <c r="C64" s="279" t="s">
        <v>757</v>
      </c>
      <c r="D64" s="151" t="s">
        <v>689</v>
      </c>
      <c r="E64" s="151" t="s">
        <v>728</v>
      </c>
    </row>
    <row r="65" ht="15.75" customHeight="1">
      <c r="A65" s="180"/>
      <c r="C65" s="279" t="s">
        <v>759</v>
      </c>
      <c r="D65" s="151" t="s">
        <v>689</v>
      </c>
      <c r="E65" s="151" t="s">
        <v>728</v>
      </c>
    </row>
    <row r="66" ht="15.75" customHeight="1">
      <c r="A66" s="180"/>
      <c r="C66" s="279" t="s">
        <v>760</v>
      </c>
      <c r="D66" s="156" t="s">
        <v>689</v>
      </c>
      <c r="E66" s="156" t="s">
        <v>728</v>
      </c>
    </row>
    <row r="67" ht="15.75" customHeight="1">
      <c r="A67" s="180"/>
      <c r="C67" s="180"/>
    </row>
    <row r="68" ht="15.75" customHeight="1">
      <c r="A68" s="180"/>
      <c r="C68" s="180"/>
    </row>
    <row r="69" ht="15.75" customHeight="1">
      <c r="A69" s="180"/>
      <c r="C69" s="180"/>
    </row>
    <row r="70" ht="15.75" customHeight="1">
      <c r="A70" s="180"/>
      <c r="C70" s="180"/>
    </row>
    <row r="71" ht="15.75" customHeight="1">
      <c r="A71" s="180"/>
      <c r="C71" s="180"/>
    </row>
    <row r="72" ht="15.75" customHeight="1">
      <c r="A72" s="180"/>
      <c r="C72" s="180"/>
    </row>
    <row r="73" ht="15.75" customHeight="1">
      <c r="A73" s="180"/>
      <c r="C73" s="180"/>
    </row>
    <row r="74" ht="15.75" customHeight="1">
      <c r="A74" s="180"/>
      <c r="C74" s="180"/>
    </row>
    <row r="75" ht="15.75" customHeight="1">
      <c r="A75" s="180"/>
      <c r="C75" s="180"/>
    </row>
    <row r="76" ht="15.75" customHeight="1">
      <c r="A76" s="180"/>
      <c r="C76" s="180"/>
    </row>
    <row r="77" ht="15.75" customHeight="1">
      <c r="A77" s="180"/>
      <c r="C77" s="180"/>
    </row>
    <row r="78" ht="15.75" customHeight="1">
      <c r="A78" s="180"/>
      <c r="C78" s="180"/>
    </row>
    <row r="79" ht="15.75" customHeight="1">
      <c r="A79" s="180"/>
      <c r="C79" s="180"/>
    </row>
    <row r="80" ht="15.75" customHeight="1">
      <c r="A80" s="180"/>
      <c r="C80" s="180"/>
    </row>
    <row r="81" ht="15.75" customHeight="1">
      <c r="A81" s="180"/>
      <c r="C81" s="180"/>
    </row>
    <row r="82" ht="15.75" customHeight="1">
      <c r="A82" s="180"/>
      <c r="C82" s="180"/>
    </row>
    <row r="83" ht="15.75" customHeight="1">
      <c r="A83" s="180"/>
      <c r="C83" s="180"/>
    </row>
    <row r="84" ht="15.75" customHeight="1">
      <c r="A84" s="180"/>
      <c r="C84" s="180"/>
    </row>
    <row r="85" ht="15.75" customHeight="1">
      <c r="A85" s="180"/>
      <c r="C85" s="180"/>
    </row>
    <row r="86" ht="15.75" customHeight="1">
      <c r="A86" s="180"/>
      <c r="C86" s="180"/>
    </row>
    <row r="87" ht="15.75" customHeight="1">
      <c r="A87" s="180"/>
      <c r="C87" s="180"/>
    </row>
    <row r="88" ht="15.75" customHeight="1">
      <c r="A88" s="180"/>
      <c r="C88" s="180"/>
    </row>
    <row r="89" ht="15.75" customHeight="1">
      <c r="A89" s="180"/>
      <c r="C89" s="180"/>
    </row>
    <row r="90" ht="15.75" customHeight="1">
      <c r="A90" s="180"/>
      <c r="C90" s="180"/>
    </row>
    <row r="91" ht="15.75" customHeight="1">
      <c r="A91" s="180"/>
      <c r="C91" s="180"/>
    </row>
    <row r="92" ht="15.75" customHeight="1">
      <c r="A92" s="180"/>
      <c r="C92" s="180"/>
    </row>
    <row r="93" ht="15.75" customHeight="1">
      <c r="A93" s="180"/>
      <c r="C93" s="180"/>
    </row>
    <row r="94" ht="15.75" customHeight="1">
      <c r="A94" s="180"/>
      <c r="C94" s="180"/>
    </row>
    <row r="95" ht="15.75" customHeight="1">
      <c r="A95" s="180"/>
      <c r="C95" s="180"/>
    </row>
    <row r="96" ht="15.75" customHeight="1">
      <c r="A96" s="180"/>
      <c r="C96" s="180"/>
    </row>
    <row r="97" ht="15.75" customHeight="1">
      <c r="A97" s="180"/>
      <c r="C97" s="180"/>
    </row>
    <row r="98" ht="15.75" customHeight="1">
      <c r="A98" s="180"/>
      <c r="C98" s="180"/>
    </row>
    <row r="99" ht="15.75" customHeight="1">
      <c r="A99" s="180"/>
      <c r="C99" s="180"/>
    </row>
    <row r="100" ht="15.75" customHeight="1">
      <c r="A100" s="180"/>
      <c r="C100" s="180"/>
    </row>
    <row r="101" ht="15.75" customHeight="1">
      <c r="A101" s="180"/>
      <c r="C101" s="180"/>
    </row>
    <row r="102" ht="15.75" customHeight="1">
      <c r="A102" s="180"/>
      <c r="C102" s="180"/>
    </row>
    <row r="103" ht="15.75" customHeight="1">
      <c r="A103" s="180"/>
      <c r="C103" s="180"/>
    </row>
    <row r="104" ht="15.75" customHeight="1">
      <c r="A104" s="180"/>
      <c r="C104" s="180"/>
    </row>
    <row r="105" ht="15.75" customHeight="1">
      <c r="A105" s="180"/>
      <c r="C105" s="180"/>
    </row>
    <row r="106" ht="15.75" customHeight="1">
      <c r="A106" s="180"/>
      <c r="C106" s="180"/>
    </row>
    <row r="107" ht="15.75" customHeight="1">
      <c r="A107" s="180"/>
      <c r="C107" s="180"/>
    </row>
    <row r="108" ht="15.75" customHeight="1">
      <c r="A108" s="180"/>
      <c r="C108" s="180"/>
    </row>
    <row r="109" ht="15.75" customHeight="1">
      <c r="A109" s="180"/>
      <c r="C109" s="180"/>
    </row>
    <row r="110" ht="15.75" customHeight="1">
      <c r="A110" s="180"/>
      <c r="C110" s="180"/>
    </row>
    <row r="111" ht="15.75" customHeight="1">
      <c r="A111" s="180"/>
      <c r="C111" s="180"/>
    </row>
    <row r="112" ht="15.75" customHeight="1">
      <c r="A112" s="180"/>
      <c r="C112" s="180"/>
    </row>
    <row r="113" ht="15.75" customHeight="1">
      <c r="A113" s="180"/>
      <c r="C113" s="180"/>
    </row>
    <row r="114" ht="15.75" customHeight="1">
      <c r="A114" s="180"/>
      <c r="C114" s="180"/>
    </row>
    <row r="115" ht="15.75" customHeight="1">
      <c r="A115" s="180"/>
      <c r="C115" s="180"/>
    </row>
    <row r="116" ht="15.75" customHeight="1">
      <c r="A116" s="180"/>
      <c r="C116" s="180"/>
    </row>
    <row r="117" ht="15.75" customHeight="1">
      <c r="A117" s="180"/>
      <c r="C117" s="180"/>
    </row>
    <row r="118" ht="15.75" customHeight="1">
      <c r="A118" s="180"/>
      <c r="C118" s="180"/>
    </row>
    <row r="119" ht="15.75" customHeight="1">
      <c r="A119" s="180"/>
      <c r="C119" s="180"/>
    </row>
    <row r="120" ht="15.75" customHeight="1">
      <c r="A120" s="180"/>
      <c r="C120" s="180"/>
    </row>
    <row r="121" ht="15.75" customHeight="1">
      <c r="A121" s="180"/>
      <c r="C121" s="180"/>
    </row>
    <row r="122" ht="15.75" customHeight="1">
      <c r="A122" s="180"/>
      <c r="C122" s="180"/>
    </row>
    <row r="123" ht="15.75" customHeight="1">
      <c r="A123" s="180"/>
      <c r="C123" s="180"/>
    </row>
    <row r="124" ht="15.75" customHeight="1">
      <c r="A124" s="180"/>
      <c r="C124" s="180"/>
    </row>
    <row r="125" ht="15.75" customHeight="1">
      <c r="A125" s="180"/>
      <c r="C125" s="180"/>
    </row>
    <row r="126" ht="15.75" customHeight="1">
      <c r="A126" s="180"/>
      <c r="C126" s="180"/>
    </row>
    <row r="127" ht="15.75" customHeight="1">
      <c r="A127" s="180"/>
      <c r="C127" s="180"/>
    </row>
    <row r="128" ht="15.75" customHeight="1">
      <c r="A128" s="180"/>
      <c r="C128" s="180"/>
    </row>
    <row r="129" ht="15.75" customHeight="1">
      <c r="A129" s="180"/>
      <c r="C129" s="180"/>
    </row>
    <row r="130" ht="15.75" customHeight="1">
      <c r="A130" s="180"/>
      <c r="C130" s="180"/>
    </row>
    <row r="131" ht="15.75" customHeight="1">
      <c r="A131" s="180"/>
      <c r="C131" s="180"/>
    </row>
    <row r="132" ht="15.75" customHeight="1">
      <c r="A132" s="180"/>
      <c r="C132" s="180"/>
    </row>
    <row r="133" ht="15.75" customHeight="1">
      <c r="A133" s="180"/>
      <c r="C133" s="180"/>
    </row>
    <row r="134" ht="15.75" customHeight="1">
      <c r="A134" s="180"/>
      <c r="C134" s="180"/>
    </row>
    <row r="135" ht="15.75" customHeight="1">
      <c r="A135" s="180"/>
      <c r="C135" s="180"/>
    </row>
    <row r="136" ht="15.75" customHeight="1">
      <c r="A136" s="180"/>
      <c r="C136" s="180"/>
    </row>
    <row r="137" ht="15.75" customHeight="1">
      <c r="A137" s="180"/>
      <c r="C137" s="180"/>
    </row>
    <row r="138" ht="15.75" customHeight="1">
      <c r="A138" s="180"/>
      <c r="C138" s="180"/>
    </row>
    <row r="139" ht="15.75" customHeight="1">
      <c r="A139" s="180"/>
      <c r="C139" s="180"/>
    </row>
    <row r="140" ht="15.75" customHeight="1">
      <c r="A140" s="180"/>
      <c r="C140" s="180"/>
    </row>
    <row r="141" ht="15.75" customHeight="1">
      <c r="A141" s="180"/>
      <c r="C141" s="180"/>
    </row>
    <row r="142" ht="15.75" customHeight="1">
      <c r="A142" s="180"/>
      <c r="C142" s="180"/>
    </row>
    <row r="143" ht="15.75" customHeight="1">
      <c r="A143" s="180"/>
      <c r="C143" s="180"/>
    </row>
    <row r="144" ht="15.75" customHeight="1">
      <c r="A144" s="180"/>
      <c r="C144" s="180"/>
    </row>
    <row r="145" ht="15.75" customHeight="1">
      <c r="A145" s="180"/>
      <c r="C145" s="180"/>
    </row>
    <row r="146" ht="15.75" customHeight="1">
      <c r="A146" s="180"/>
      <c r="C146" s="180"/>
    </row>
    <row r="147" ht="15.75" customHeight="1">
      <c r="A147" s="180"/>
      <c r="C147" s="180"/>
    </row>
    <row r="148" ht="15.75" customHeight="1">
      <c r="A148" s="180"/>
      <c r="C148" s="180"/>
    </row>
    <row r="149" ht="15.75" customHeight="1">
      <c r="A149" s="180"/>
      <c r="C149" s="180"/>
    </row>
    <row r="150" ht="15.75" customHeight="1">
      <c r="A150" s="180"/>
      <c r="C150" s="180"/>
    </row>
    <row r="151" ht="15.75" customHeight="1">
      <c r="A151" s="180"/>
      <c r="C151" s="180"/>
    </row>
    <row r="152" ht="15.75" customHeight="1">
      <c r="A152" s="180"/>
      <c r="C152" s="180"/>
    </row>
    <row r="153" ht="15.75" customHeight="1">
      <c r="A153" s="180"/>
      <c r="C153" s="180"/>
    </row>
    <row r="154" ht="15.75" customHeight="1">
      <c r="A154" s="180"/>
      <c r="C154" s="180"/>
    </row>
    <row r="155" ht="15.75" customHeight="1">
      <c r="A155" s="180"/>
      <c r="C155" s="180"/>
    </row>
    <row r="156" ht="15.75" customHeight="1">
      <c r="A156" s="180"/>
      <c r="C156" s="180"/>
    </row>
    <row r="157" ht="15.75" customHeight="1">
      <c r="A157" s="180"/>
      <c r="C157" s="180"/>
    </row>
    <row r="158" ht="15.75" customHeight="1">
      <c r="A158" s="180"/>
      <c r="C158" s="180"/>
    </row>
    <row r="159" ht="15.75" customHeight="1">
      <c r="A159" s="180"/>
      <c r="C159" s="180"/>
    </row>
    <row r="160" ht="15.75" customHeight="1">
      <c r="A160" s="180"/>
      <c r="C160" s="180"/>
    </row>
    <row r="161" ht="15.75" customHeight="1">
      <c r="A161" s="180"/>
      <c r="C161" s="180"/>
    </row>
    <row r="162" ht="15.75" customHeight="1">
      <c r="A162" s="180"/>
      <c r="C162" s="180"/>
    </row>
    <row r="163" ht="15.75" customHeight="1">
      <c r="A163" s="180"/>
      <c r="C163" s="180"/>
    </row>
    <row r="164" ht="15.75" customHeight="1">
      <c r="A164" s="180"/>
      <c r="C164" s="180"/>
    </row>
    <row r="165" ht="15.75" customHeight="1">
      <c r="A165" s="180"/>
      <c r="C165" s="180"/>
    </row>
    <row r="166" ht="15.75" customHeight="1">
      <c r="A166" s="180"/>
      <c r="C166" s="180"/>
    </row>
    <row r="167" ht="15.75" customHeight="1">
      <c r="A167" s="180"/>
      <c r="C167" s="180"/>
    </row>
    <row r="168" ht="15.75" customHeight="1">
      <c r="A168" s="180"/>
      <c r="C168" s="180"/>
    </row>
    <row r="169" ht="15.75" customHeight="1">
      <c r="A169" s="180"/>
      <c r="C169" s="180"/>
    </row>
    <row r="170" ht="15.75" customHeight="1">
      <c r="A170" s="180"/>
      <c r="C170" s="180"/>
    </row>
    <row r="171" ht="15.75" customHeight="1">
      <c r="A171" s="180"/>
      <c r="C171" s="180"/>
    </row>
    <row r="172" ht="15.75" customHeight="1">
      <c r="A172" s="180"/>
      <c r="C172" s="180"/>
    </row>
    <row r="173" ht="15.75" customHeight="1">
      <c r="A173" s="180"/>
      <c r="C173" s="180"/>
    </row>
    <row r="174" ht="15.75" customHeight="1">
      <c r="A174" s="180"/>
      <c r="C174" s="180"/>
    </row>
    <row r="175" ht="15.75" customHeight="1">
      <c r="A175" s="180"/>
      <c r="C175" s="180"/>
    </row>
    <row r="176" ht="15.75" customHeight="1">
      <c r="A176" s="180"/>
      <c r="C176" s="180"/>
    </row>
    <row r="177" ht="15.75" customHeight="1">
      <c r="A177" s="180"/>
      <c r="C177" s="180"/>
    </row>
    <row r="178" ht="15.75" customHeight="1">
      <c r="A178" s="180"/>
      <c r="C178" s="180"/>
    </row>
    <row r="179" ht="15.75" customHeight="1">
      <c r="A179" s="180"/>
      <c r="C179" s="180"/>
    </row>
    <row r="180" ht="15.75" customHeight="1">
      <c r="A180" s="180"/>
      <c r="C180" s="180"/>
    </row>
    <row r="181" ht="15.75" customHeight="1">
      <c r="A181" s="180"/>
      <c r="C181" s="180"/>
    </row>
    <row r="182" ht="15.75" customHeight="1">
      <c r="A182" s="180"/>
      <c r="C182" s="180"/>
    </row>
    <row r="183" ht="15.75" customHeight="1">
      <c r="A183" s="180"/>
      <c r="C183" s="180"/>
    </row>
    <row r="184" ht="15.75" customHeight="1">
      <c r="A184" s="180"/>
      <c r="C184" s="180"/>
    </row>
    <row r="185" ht="15.75" customHeight="1">
      <c r="A185" s="180"/>
      <c r="C185" s="180"/>
    </row>
    <row r="186" ht="15.75" customHeight="1">
      <c r="A186" s="180"/>
      <c r="C186" s="180"/>
    </row>
    <row r="187" ht="15.75" customHeight="1">
      <c r="A187" s="180"/>
      <c r="C187" s="180"/>
    </row>
    <row r="188" ht="15.75" customHeight="1">
      <c r="A188" s="180"/>
      <c r="C188" s="180"/>
    </row>
    <row r="189" ht="15.75" customHeight="1">
      <c r="A189" s="180"/>
      <c r="C189" s="180"/>
    </row>
    <row r="190" ht="15.75" customHeight="1">
      <c r="A190" s="180"/>
      <c r="C190" s="180"/>
    </row>
    <row r="191" ht="15.75" customHeight="1">
      <c r="A191" s="180"/>
      <c r="C191" s="180"/>
    </row>
    <row r="192" ht="15.75" customHeight="1">
      <c r="A192" s="180"/>
      <c r="C192" s="180"/>
    </row>
    <row r="193" ht="15.75" customHeight="1">
      <c r="A193" s="180"/>
      <c r="C193" s="180"/>
    </row>
    <row r="194" ht="15.75" customHeight="1">
      <c r="A194" s="180"/>
      <c r="C194" s="180"/>
    </row>
    <row r="195" ht="15.75" customHeight="1">
      <c r="A195" s="180"/>
      <c r="C195" s="180"/>
    </row>
    <row r="196" ht="15.75" customHeight="1">
      <c r="A196" s="180"/>
      <c r="C196" s="180"/>
    </row>
    <row r="197" ht="15.75" customHeight="1">
      <c r="A197" s="180"/>
      <c r="C197" s="180"/>
    </row>
    <row r="198" ht="15.75" customHeight="1">
      <c r="A198" s="180"/>
      <c r="C198" s="180"/>
    </row>
    <row r="199" ht="15.75" customHeight="1">
      <c r="A199" s="180"/>
      <c r="C199" s="180"/>
    </row>
    <row r="200" ht="15.75" customHeight="1">
      <c r="A200" s="180"/>
      <c r="C200" s="180"/>
    </row>
    <row r="201" ht="15.75" customHeight="1">
      <c r="A201" s="180"/>
      <c r="C201" s="180"/>
    </row>
    <row r="202" ht="15.75" customHeight="1">
      <c r="A202" s="180"/>
      <c r="C202" s="180"/>
    </row>
    <row r="203" ht="15.75" customHeight="1">
      <c r="A203" s="180"/>
      <c r="C203" s="180"/>
    </row>
    <row r="204" ht="15.75" customHeight="1">
      <c r="A204" s="180"/>
      <c r="C204" s="180"/>
    </row>
    <row r="205" ht="15.75" customHeight="1">
      <c r="A205" s="180"/>
      <c r="C205" s="180"/>
    </row>
    <row r="206" ht="15.75" customHeight="1">
      <c r="A206" s="180"/>
      <c r="C206" s="180"/>
    </row>
    <row r="207" ht="15.75" customHeight="1">
      <c r="A207" s="180"/>
      <c r="C207" s="180"/>
    </row>
    <row r="208" ht="15.75" customHeight="1">
      <c r="A208" s="180"/>
      <c r="C208" s="180"/>
    </row>
    <row r="209" ht="15.75" customHeight="1">
      <c r="A209" s="180"/>
      <c r="C209" s="180"/>
    </row>
    <row r="210" ht="15.75" customHeight="1">
      <c r="A210" s="180"/>
      <c r="C210" s="180"/>
    </row>
    <row r="211" ht="15.75" customHeight="1">
      <c r="A211" s="180"/>
      <c r="C211" s="180"/>
    </row>
    <row r="212" ht="15.75" customHeight="1">
      <c r="A212" s="180"/>
      <c r="C212" s="180"/>
    </row>
    <row r="213" ht="15.75" customHeight="1">
      <c r="A213" s="180"/>
      <c r="C213" s="180"/>
    </row>
    <row r="214" ht="15.75" customHeight="1">
      <c r="A214" s="180"/>
      <c r="C214" s="180"/>
    </row>
    <row r="215" ht="15.75" customHeight="1">
      <c r="A215" s="180"/>
      <c r="C215" s="180"/>
    </row>
    <row r="216" ht="15.75" customHeight="1">
      <c r="A216" s="180"/>
      <c r="C216" s="180"/>
    </row>
    <row r="217" ht="15.75" customHeight="1">
      <c r="A217" s="180"/>
      <c r="C217" s="180"/>
    </row>
    <row r="218" ht="15.75" customHeight="1">
      <c r="A218" s="180"/>
      <c r="C218" s="180"/>
    </row>
    <row r="219" ht="15.75" customHeight="1">
      <c r="A219" s="180"/>
      <c r="C219" s="180"/>
    </row>
    <row r="220" ht="15.75" customHeight="1">
      <c r="A220" s="180"/>
      <c r="C220" s="180"/>
    </row>
    <row r="221" ht="15.75" customHeight="1">
      <c r="A221" s="180"/>
      <c r="C221" s="180"/>
    </row>
    <row r="222" ht="15.75" customHeight="1">
      <c r="A222" s="180"/>
      <c r="C222" s="180"/>
    </row>
    <row r="223" ht="15.75" customHeight="1">
      <c r="A223" s="180"/>
      <c r="C223" s="180"/>
    </row>
    <row r="224" ht="15.75" customHeight="1">
      <c r="A224" s="180"/>
      <c r="C224" s="180"/>
    </row>
    <row r="225" ht="15.75" customHeight="1">
      <c r="A225" s="180"/>
      <c r="C225" s="180"/>
    </row>
    <row r="226" ht="15.75" customHeight="1">
      <c r="A226" s="180"/>
      <c r="C226" s="180"/>
    </row>
    <row r="227" ht="15.75" customHeight="1">
      <c r="A227" s="180"/>
      <c r="C227" s="180"/>
    </row>
    <row r="228" ht="15.75" customHeight="1">
      <c r="A228" s="180"/>
      <c r="C228" s="180"/>
    </row>
    <row r="229" ht="15.75" customHeight="1">
      <c r="A229" s="180"/>
      <c r="C229" s="180"/>
    </row>
    <row r="230" ht="15.75" customHeight="1">
      <c r="A230" s="180"/>
      <c r="C230" s="180"/>
    </row>
    <row r="231" ht="15.75" customHeight="1">
      <c r="A231" s="180"/>
      <c r="C231" s="180"/>
    </row>
    <row r="232" ht="15.75" customHeight="1">
      <c r="A232" s="180"/>
      <c r="C232" s="180"/>
    </row>
    <row r="233" ht="15.75" customHeight="1">
      <c r="A233" s="180"/>
      <c r="C233" s="180"/>
    </row>
    <row r="234" ht="15.75" customHeight="1">
      <c r="A234" s="180"/>
      <c r="C234" s="180"/>
    </row>
    <row r="235" ht="15.75" customHeight="1">
      <c r="A235" s="180"/>
      <c r="C235" s="180"/>
    </row>
    <row r="236" ht="15.75" customHeight="1">
      <c r="A236" s="180"/>
      <c r="C236" s="180"/>
    </row>
    <row r="237" ht="15.75" customHeight="1">
      <c r="A237" s="180"/>
      <c r="C237" s="180"/>
    </row>
    <row r="238" ht="15.75" customHeight="1">
      <c r="A238" s="180"/>
      <c r="C238" s="180"/>
    </row>
    <row r="239" ht="15.75" customHeight="1">
      <c r="A239" s="180"/>
      <c r="C239" s="180"/>
    </row>
    <row r="240" ht="15.75" customHeight="1">
      <c r="A240" s="180"/>
      <c r="C240" s="180"/>
    </row>
    <row r="241" ht="15.75" customHeight="1">
      <c r="A241" s="180"/>
      <c r="C241" s="180"/>
    </row>
    <row r="242" ht="15.75" customHeight="1">
      <c r="A242" s="180"/>
      <c r="C242" s="180"/>
    </row>
    <row r="243" ht="15.75" customHeight="1">
      <c r="A243" s="180"/>
      <c r="C243" s="180"/>
    </row>
    <row r="244" ht="15.75" customHeight="1">
      <c r="A244" s="180"/>
      <c r="C244" s="180"/>
    </row>
    <row r="245" ht="15.75" customHeight="1">
      <c r="A245" s="180"/>
      <c r="C245" s="180"/>
    </row>
    <row r="246" ht="15.75" customHeight="1">
      <c r="A246" s="180"/>
      <c r="C246" s="180"/>
    </row>
    <row r="247" ht="15.75" customHeight="1">
      <c r="A247" s="180"/>
      <c r="C247" s="180"/>
    </row>
    <row r="248" ht="15.75" customHeight="1">
      <c r="A248" s="180"/>
      <c r="C248" s="180"/>
    </row>
    <row r="249" ht="15.75" customHeight="1">
      <c r="A249" s="180"/>
      <c r="C249" s="180"/>
    </row>
    <row r="250" ht="15.75" customHeight="1">
      <c r="A250" s="180"/>
      <c r="C250" s="180"/>
    </row>
    <row r="251" ht="15.75" customHeight="1">
      <c r="A251" s="180"/>
      <c r="C251" s="180"/>
    </row>
    <row r="252" ht="15.75" customHeight="1">
      <c r="A252" s="180"/>
      <c r="C252" s="180"/>
    </row>
    <row r="253" ht="15.75" customHeight="1">
      <c r="A253" s="180"/>
      <c r="C253" s="180"/>
    </row>
    <row r="254" ht="15.75" customHeight="1">
      <c r="A254" s="180"/>
      <c r="C254" s="180"/>
    </row>
    <row r="255" ht="15.75" customHeight="1">
      <c r="A255" s="180"/>
      <c r="C255" s="180"/>
    </row>
    <row r="256" ht="15.75" customHeight="1">
      <c r="A256" s="180"/>
      <c r="C256" s="180"/>
    </row>
    <row r="257" ht="15.75" customHeight="1">
      <c r="A257" s="180"/>
      <c r="C257" s="180"/>
    </row>
    <row r="258" ht="15.75" customHeight="1">
      <c r="A258" s="180"/>
      <c r="C258" s="180"/>
    </row>
    <row r="259" ht="15.75" customHeight="1">
      <c r="A259" s="180"/>
      <c r="C259" s="180"/>
    </row>
    <row r="260" ht="15.75" customHeight="1">
      <c r="A260" s="180"/>
      <c r="C260" s="180"/>
    </row>
    <row r="261" ht="15.75" customHeight="1">
      <c r="A261" s="180"/>
      <c r="C261" s="180"/>
    </row>
    <row r="262" ht="15.75" customHeight="1">
      <c r="A262" s="180"/>
      <c r="C262" s="180"/>
    </row>
    <row r="263" ht="15.75" customHeight="1">
      <c r="A263" s="180"/>
      <c r="C263" s="180"/>
    </row>
    <row r="264" ht="15.75" customHeight="1">
      <c r="A264" s="180"/>
      <c r="C264" s="180"/>
    </row>
    <row r="265" ht="15.75" customHeight="1">
      <c r="A265" s="180"/>
      <c r="C265" s="180"/>
    </row>
    <row r="266" ht="15.75" customHeight="1">
      <c r="A266" s="180"/>
      <c r="C266" s="180"/>
    </row>
    <row r="267" ht="15.75" customHeight="1">
      <c r="A267" s="180"/>
      <c r="C267" s="180"/>
    </row>
    <row r="268" ht="15.75" customHeight="1">
      <c r="A268" s="180"/>
      <c r="C268" s="180"/>
    </row>
    <row r="269" ht="15.75" customHeight="1">
      <c r="A269" s="180"/>
      <c r="C269" s="180"/>
    </row>
    <row r="270" ht="15.75" customHeight="1">
      <c r="A270" s="180"/>
      <c r="C270" s="180"/>
    </row>
    <row r="271" ht="15.75" customHeight="1">
      <c r="A271" s="180"/>
      <c r="C271" s="180"/>
    </row>
    <row r="272" ht="15.75" customHeight="1">
      <c r="A272" s="180"/>
      <c r="C272" s="180"/>
    </row>
    <row r="273" ht="15.75" customHeight="1">
      <c r="A273" s="180"/>
      <c r="C273" s="180"/>
    </row>
    <row r="274" ht="15.75" customHeight="1">
      <c r="A274" s="180"/>
      <c r="C274" s="180"/>
    </row>
    <row r="275" ht="15.75" customHeight="1">
      <c r="A275" s="180"/>
      <c r="C275" s="180"/>
    </row>
    <row r="276" ht="15.75" customHeight="1">
      <c r="A276" s="180"/>
      <c r="C276" s="180"/>
    </row>
    <row r="277" ht="15.75" customHeight="1">
      <c r="A277" s="180"/>
      <c r="C277" s="180"/>
    </row>
    <row r="278" ht="15.75" customHeight="1">
      <c r="A278" s="180"/>
      <c r="C278" s="180"/>
    </row>
    <row r="279" ht="15.75" customHeight="1">
      <c r="A279" s="180"/>
      <c r="C279" s="180"/>
    </row>
    <row r="280" ht="15.75" customHeight="1">
      <c r="A280" s="180"/>
      <c r="C280" s="180"/>
    </row>
    <row r="281" ht="15.75" customHeight="1">
      <c r="A281" s="180"/>
      <c r="C281" s="180"/>
    </row>
    <row r="282" ht="15.75" customHeight="1">
      <c r="A282" s="180"/>
      <c r="C282" s="180"/>
    </row>
    <row r="283" ht="15.75" customHeight="1">
      <c r="A283" s="180"/>
      <c r="C283" s="180"/>
    </row>
    <row r="284" ht="15.75" customHeight="1">
      <c r="A284" s="180"/>
      <c r="C284" s="180"/>
    </row>
    <row r="285" ht="15.75" customHeight="1">
      <c r="A285" s="180"/>
      <c r="C285" s="180"/>
    </row>
    <row r="286" ht="15.75" customHeight="1">
      <c r="A286" s="180"/>
      <c r="C286" s="180"/>
    </row>
    <row r="287" ht="15.75" customHeight="1">
      <c r="A287" s="180"/>
      <c r="C287" s="180"/>
    </row>
    <row r="288" ht="15.75" customHeight="1">
      <c r="A288" s="180"/>
      <c r="C288" s="180"/>
    </row>
    <row r="289" ht="15.75" customHeight="1">
      <c r="A289" s="180"/>
      <c r="C289" s="180"/>
    </row>
    <row r="290" ht="15.75" customHeight="1">
      <c r="A290" s="180"/>
      <c r="C290" s="180"/>
    </row>
    <row r="291" ht="15.75" customHeight="1">
      <c r="A291" s="180"/>
      <c r="C291" s="180"/>
    </row>
    <row r="292" ht="15.75" customHeight="1">
      <c r="A292" s="180"/>
      <c r="C292" s="180"/>
    </row>
    <row r="293" ht="15.75" customHeight="1">
      <c r="A293" s="180"/>
      <c r="C293" s="180"/>
    </row>
    <row r="294" ht="15.75" customHeight="1">
      <c r="A294" s="180"/>
      <c r="C294" s="180"/>
    </row>
    <row r="295" ht="15.75" customHeight="1">
      <c r="A295" s="180"/>
      <c r="C295" s="180"/>
    </row>
    <row r="296" ht="15.75" customHeight="1">
      <c r="A296" s="180"/>
      <c r="C296" s="180"/>
    </row>
    <row r="297" ht="15.75" customHeight="1">
      <c r="A297" s="180"/>
      <c r="C297" s="180"/>
    </row>
    <row r="298" ht="15.75" customHeight="1">
      <c r="A298" s="180"/>
      <c r="C298" s="180"/>
    </row>
    <row r="299" ht="15.75" customHeight="1">
      <c r="A299" s="180"/>
      <c r="C299" s="180"/>
    </row>
    <row r="300" ht="15.75" customHeight="1">
      <c r="A300" s="180"/>
      <c r="C300" s="180"/>
    </row>
    <row r="301" ht="15.75" customHeight="1">
      <c r="A301" s="180"/>
      <c r="C301" s="180"/>
    </row>
    <row r="302" ht="15.75" customHeight="1">
      <c r="A302" s="180"/>
      <c r="C302" s="180"/>
    </row>
    <row r="303" ht="15.75" customHeight="1">
      <c r="A303" s="180"/>
      <c r="C303" s="180"/>
    </row>
    <row r="304" ht="15.75" customHeight="1">
      <c r="A304" s="180"/>
      <c r="C304" s="180"/>
    </row>
    <row r="305" ht="15.75" customHeight="1">
      <c r="A305" s="180"/>
      <c r="C305" s="180"/>
    </row>
    <row r="306" ht="15.75" customHeight="1">
      <c r="A306" s="180"/>
      <c r="C306" s="180"/>
    </row>
    <row r="307" ht="15.75" customHeight="1">
      <c r="A307" s="180"/>
      <c r="C307" s="180"/>
    </row>
    <row r="308" ht="15.75" customHeight="1">
      <c r="A308" s="180"/>
      <c r="C308" s="180"/>
    </row>
    <row r="309" ht="15.75" customHeight="1">
      <c r="A309" s="180"/>
      <c r="C309" s="180"/>
    </row>
    <row r="310" ht="15.75" customHeight="1">
      <c r="A310" s="180"/>
      <c r="C310" s="180"/>
    </row>
    <row r="311" ht="15.75" customHeight="1">
      <c r="A311" s="180"/>
      <c r="C311" s="180"/>
    </row>
    <row r="312" ht="15.75" customHeight="1">
      <c r="A312" s="180"/>
      <c r="C312" s="180"/>
    </row>
    <row r="313" ht="15.75" customHeight="1">
      <c r="A313" s="180"/>
      <c r="C313" s="180"/>
    </row>
    <row r="314" ht="15.75" customHeight="1">
      <c r="A314" s="180"/>
      <c r="C314" s="180"/>
    </row>
    <row r="315" ht="15.75" customHeight="1">
      <c r="A315" s="180"/>
      <c r="C315" s="180"/>
    </row>
    <row r="316" ht="15.75" customHeight="1">
      <c r="A316" s="180"/>
      <c r="C316" s="180"/>
    </row>
    <row r="317" ht="15.75" customHeight="1">
      <c r="A317" s="180"/>
      <c r="C317" s="180"/>
    </row>
    <row r="318" ht="15.75" customHeight="1">
      <c r="A318" s="180"/>
      <c r="C318" s="180"/>
    </row>
    <row r="319" ht="15.75" customHeight="1">
      <c r="A319" s="180"/>
      <c r="C319" s="180"/>
    </row>
    <row r="320" ht="15.75" customHeight="1">
      <c r="A320" s="180"/>
      <c r="C320" s="180"/>
    </row>
    <row r="321" ht="15.75" customHeight="1">
      <c r="A321" s="180"/>
      <c r="C321" s="180"/>
    </row>
    <row r="322" ht="15.75" customHeight="1">
      <c r="A322" s="180"/>
      <c r="C322" s="180"/>
    </row>
    <row r="323" ht="15.75" customHeight="1">
      <c r="A323" s="180"/>
      <c r="C323" s="180"/>
    </row>
    <row r="324" ht="15.75" customHeight="1">
      <c r="A324" s="180"/>
      <c r="C324" s="180"/>
    </row>
    <row r="325" ht="15.75" customHeight="1">
      <c r="A325" s="180"/>
      <c r="C325" s="180"/>
    </row>
    <row r="326" ht="15.75" customHeight="1">
      <c r="A326" s="180"/>
      <c r="C326" s="180"/>
    </row>
    <row r="327" ht="15.75" customHeight="1">
      <c r="A327" s="180"/>
      <c r="C327" s="180"/>
    </row>
    <row r="328" ht="15.75" customHeight="1">
      <c r="A328" s="180"/>
      <c r="C328" s="180"/>
    </row>
    <row r="329" ht="15.75" customHeight="1">
      <c r="A329" s="180"/>
      <c r="C329" s="180"/>
    </row>
    <row r="330" ht="15.75" customHeight="1">
      <c r="A330" s="180"/>
      <c r="C330" s="180"/>
    </row>
    <row r="331" ht="15.75" customHeight="1">
      <c r="A331" s="180"/>
      <c r="C331" s="180"/>
    </row>
    <row r="332" ht="15.75" customHeight="1">
      <c r="A332" s="180"/>
      <c r="C332" s="180"/>
    </row>
    <row r="333" ht="15.75" customHeight="1">
      <c r="A333" s="180"/>
      <c r="C333" s="180"/>
    </row>
    <row r="334" ht="15.75" customHeight="1">
      <c r="A334" s="180"/>
      <c r="C334" s="180"/>
    </row>
    <row r="335" ht="15.75" customHeight="1">
      <c r="A335" s="180"/>
      <c r="C335" s="180"/>
    </row>
    <row r="336" ht="15.75" customHeight="1">
      <c r="A336" s="180"/>
      <c r="C336" s="180"/>
    </row>
    <row r="337" ht="15.75" customHeight="1">
      <c r="A337" s="180"/>
      <c r="C337" s="180"/>
    </row>
    <row r="338" ht="15.75" customHeight="1">
      <c r="A338" s="180"/>
      <c r="C338" s="180"/>
    </row>
    <row r="339" ht="15.75" customHeight="1">
      <c r="A339" s="180"/>
      <c r="C339" s="180"/>
    </row>
    <row r="340" ht="15.75" customHeight="1">
      <c r="A340" s="180"/>
      <c r="C340" s="180"/>
    </row>
    <row r="341" ht="15.75" customHeight="1">
      <c r="A341" s="180"/>
      <c r="C341" s="180"/>
    </row>
    <row r="342" ht="15.75" customHeight="1">
      <c r="A342" s="180"/>
      <c r="C342" s="180"/>
    </row>
    <row r="343" ht="15.75" customHeight="1">
      <c r="A343" s="180"/>
      <c r="C343" s="180"/>
    </row>
    <row r="344" ht="15.75" customHeight="1">
      <c r="A344" s="180"/>
      <c r="C344" s="180"/>
    </row>
    <row r="345" ht="15.75" customHeight="1">
      <c r="A345" s="180"/>
      <c r="C345" s="180"/>
    </row>
    <row r="346" ht="15.75" customHeight="1">
      <c r="A346" s="180"/>
      <c r="C346" s="180"/>
    </row>
    <row r="347" ht="15.75" customHeight="1">
      <c r="A347" s="180"/>
      <c r="C347" s="180"/>
    </row>
    <row r="348" ht="15.75" customHeight="1">
      <c r="A348" s="180"/>
      <c r="C348" s="180"/>
    </row>
    <row r="349" ht="15.75" customHeight="1">
      <c r="A349" s="180"/>
      <c r="C349" s="180"/>
    </row>
    <row r="350" ht="15.75" customHeight="1">
      <c r="A350" s="180"/>
      <c r="C350" s="180"/>
    </row>
    <row r="351" ht="15.75" customHeight="1">
      <c r="A351" s="180"/>
      <c r="C351" s="180"/>
    </row>
    <row r="352" ht="15.75" customHeight="1">
      <c r="A352" s="180"/>
      <c r="C352" s="180"/>
    </row>
    <row r="353" ht="15.75" customHeight="1">
      <c r="A353" s="180"/>
      <c r="C353" s="180"/>
    </row>
    <row r="354" ht="15.75" customHeight="1">
      <c r="A354" s="180"/>
      <c r="C354" s="180"/>
    </row>
    <row r="355" ht="15.75" customHeight="1">
      <c r="A355" s="180"/>
      <c r="C355" s="180"/>
    </row>
    <row r="356" ht="15.75" customHeight="1">
      <c r="A356" s="180"/>
      <c r="C356" s="180"/>
    </row>
    <row r="357" ht="15.75" customHeight="1">
      <c r="A357" s="180"/>
      <c r="C357" s="180"/>
    </row>
    <row r="358" ht="15.75" customHeight="1">
      <c r="A358" s="180"/>
      <c r="C358" s="180"/>
    </row>
    <row r="359" ht="15.75" customHeight="1">
      <c r="A359" s="180"/>
      <c r="C359" s="180"/>
    </row>
    <row r="360" ht="15.75" customHeight="1">
      <c r="A360" s="180"/>
      <c r="C360" s="180"/>
    </row>
    <row r="361" ht="15.75" customHeight="1">
      <c r="A361" s="180"/>
      <c r="C361" s="180"/>
    </row>
    <row r="362" ht="15.75" customHeight="1">
      <c r="A362" s="180"/>
      <c r="C362" s="180"/>
    </row>
    <row r="363" ht="15.75" customHeight="1">
      <c r="A363" s="180"/>
      <c r="C363" s="180"/>
    </row>
    <row r="364" ht="15.75" customHeight="1">
      <c r="A364" s="180"/>
      <c r="C364" s="180"/>
    </row>
    <row r="365" ht="15.75" customHeight="1">
      <c r="A365" s="180"/>
      <c r="C365" s="180"/>
    </row>
    <row r="366" ht="15.75" customHeight="1">
      <c r="A366" s="180"/>
      <c r="C366" s="180"/>
    </row>
    <row r="367" ht="15.75" customHeight="1">
      <c r="A367" s="180"/>
      <c r="C367" s="180"/>
    </row>
    <row r="368" ht="15.75" customHeight="1">
      <c r="A368" s="180"/>
      <c r="C368" s="180"/>
    </row>
    <row r="369" ht="15.75" customHeight="1">
      <c r="A369" s="180"/>
      <c r="C369" s="180"/>
    </row>
    <row r="370" ht="15.75" customHeight="1">
      <c r="A370" s="180"/>
      <c r="C370" s="180"/>
    </row>
    <row r="371" ht="15.75" customHeight="1">
      <c r="A371" s="180"/>
      <c r="C371" s="180"/>
    </row>
    <row r="372" ht="15.75" customHeight="1">
      <c r="A372" s="180"/>
      <c r="C372" s="180"/>
    </row>
    <row r="373" ht="15.75" customHeight="1">
      <c r="A373" s="180"/>
      <c r="C373" s="180"/>
    </row>
    <row r="374" ht="15.75" customHeight="1">
      <c r="A374" s="180"/>
      <c r="C374" s="180"/>
    </row>
    <row r="375" ht="15.75" customHeight="1">
      <c r="A375" s="180"/>
      <c r="C375" s="180"/>
    </row>
    <row r="376" ht="15.75" customHeight="1">
      <c r="A376" s="180"/>
      <c r="C376" s="180"/>
    </row>
    <row r="377" ht="15.75" customHeight="1">
      <c r="A377" s="180"/>
      <c r="C377" s="180"/>
    </row>
    <row r="378" ht="15.75" customHeight="1">
      <c r="A378" s="180"/>
      <c r="C378" s="180"/>
    </row>
    <row r="379" ht="15.75" customHeight="1">
      <c r="A379" s="180"/>
      <c r="C379" s="180"/>
    </row>
    <row r="380" ht="15.75" customHeight="1">
      <c r="A380" s="180"/>
      <c r="C380" s="180"/>
    </row>
    <row r="381" ht="15.75" customHeight="1">
      <c r="A381" s="180"/>
      <c r="C381" s="180"/>
    </row>
    <row r="382" ht="15.75" customHeight="1">
      <c r="A382" s="180"/>
      <c r="C382" s="180"/>
    </row>
    <row r="383" ht="15.75" customHeight="1">
      <c r="A383" s="180"/>
      <c r="C383" s="180"/>
    </row>
    <row r="384" ht="15.75" customHeight="1">
      <c r="A384" s="180"/>
      <c r="C384" s="180"/>
    </row>
    <row r="385" ht="15.75" customHeight="1">
      <c r="A385" s="180"/>
      <c r="C385" s="180"/>
    </row>
    <row r="386" ht="15.75" customHeight="1">
      <c r="A386" s="180"/>
      <c r="C386" s="180"/>
    </row>
    <row r="387" ht="15.75" customHeight="1">
      <c r="A387" s="180"/>
      <c r="C387" s="180"/>
    </row>
    <row r="388" ht="15.75" customHeight="1">
      <c r="A388" s="180"/>
      <c r="C388" s="180"/>
    </row>
    <row r="389" ht="15.75" customHeight="1">
      <c r="A389" s="180"/>
      <c r="C389" s="180"/>
    </row>
    <row r="390" ht="15.75" customHeight="1">
      <c r="A390" s="180"/>
      <c r="C390" s="180"/>
    </row>
    <row r="391" ht="15.75" customHeight="1">
      <c r="A391" s="180"/>
      <c r="C391" s="180"/>
    </row>
    <row r="392" ht="15.75" customHeight="1">
      <c r="A392" s="180"/>
      <c r="C392" s="180"/>
    </row>
    <row r="393" ht="15.75" customHeight="1">
      <c r="A393" s="180"/>
      <c r="C393" s="180"/>
    </row>
    <row r="394" ht="15.75" customHeight="1">
      <c r="A394" s="180"/>
      <c r="C394" s="180"/>
    </row>
    <row r="395" ht="15.75" customHeight="1">
      <c r="A395" s="180"/>
      <c r="C395" s="180"/>
    </row>
    <row r="396" ht="15.75" customHeight="1">
      <c r="A396" s="180"/>
      <c r="C396" s="180"/>
    </row>
    <row r="397" ht="15.75" customHeight="1">
      <c r="A397" s="180"/>
      <c r="C397" s="180"/>
    </row>
    <row r="398" ht="15.75" customHeight="1">
      <c r="A398" s="180"/>
      <c r="C398" s="180"/>
    </row>
    <row r="399" ht="15.75" customHeight="1">
      <c r="A399" s="180"/>
      <c r="C399" s="180"/>
    </row>
    <row r="400" ht="15.75" customHeight="1">
      <c r="A400" s="180"/>
      <c r="C400" s="180"/>
    </row>
    <row r="401" ht="15.75" customHeight="1">
      <c r="A401" s="180"/>
      <c r="C401" s="180"/>
    </row>
    <row r="402" ht="15.75" customHeight="1">
      <c r="A402" s="180"/>
      <c r="C402" s="180"/>
    </row>
    <row r="403" ht="15.75" customHeight="1">
      <c r="A403" s="180"/>
      <c r="C403" s="180"/>
    </row>
    <row r="404" ht="15.75" customHeight="1">
      <c r="A404" s="180"/>
      <c r="C404" s="180"/>
    </row>
    <row r="405" ht="15.75" customHeight="1">
      <c r="A405" s="180"/>
      <c r="C405" s="180"/>
    </row>
    <row r="406" ht="15.75" customHeight="1">
      <c r="A406" s="180"/>
      <c r="C406" s="180"/>
    </row>
    <row r="407" ht="15.75" customHeight="1">
      <c r="A407" s="180"/>
      <c r="C407" s="180"/>
    </row>
    <row r="408" ht="15.75" customHeight="1">
      <c r="A408" s="180"/>
      <c r="C408" s="180"/>
    </row>
    <row r="409" ht="15.75" customHeight="1">
      <c r="A409" s="180"/>
      <c r="C409" s="180"/>
    </row>
    <row r="410" ht="15.75" customHeight="1">
      <c r="A410" s="180"/>
      <c r="C410" s="180"/>
    </row>
    <row r="411" ht="15.75" customHeight="1">
      <c r="A411" s="180"/>
      <c r="C411" s="180"/>
    </row>
    <row r="412" ht="15.75" customHeight="1">
      <c r="A412" s="180"/>
      <c r="C412" s="180"/>
    </row>
    <row r="413" ht="15.75" customHeight="1">
      <c r="A413" s="180"/>
      <c r="C413" s="180"/>
    </row>
    <row r="414" ht="15.75" customHeight="1">
      <c r="A414" s="180"/>
      <c r="C414" s="180"/>
    </row>
    <row r="415" ht="15.75" customHeight="1">
      <c r="A415" s="180"/>
      <c r="C415" s="180"/>
    </row>
    <row r="416" ht="15.75" customHeight="1">
      <c r="A416" s="180"/>
      <c r="C416" s="180"/>
    </row>
    <row r="417" ht="15.75" customHeight="1">
      <c r="A417" s="180"/>
      <c r="C417" s="180"/>
    </row>
    <row r="418" ht="15.75" customHeight="1">
      <c r="A418" s="180"/>
      <c r="C418" s="180"/>
    </row>
    <row r="419" ht="15.75" customHeight="1">
      <c r="A419" s="180"/>
      <c r="C419" s="180"/>
    </row>
    <row r="420" ht="15.75" customHeight="1">
      <c r="A420" s="180"/>
      <c r="C420" s="180"/>
    </row>
    <row r="421" ht="15.75" customHeight="1">
      <c r="A421" s="180"/>
      <c r="C421" s="180"/>
    </row>
    <row r="422" ht="15.75" customHeight="1">
      <c r="A422" s="180"/>
      <c r="C422" s="180"/>
    </row>
    <row r="423" ht="15.75" customHeight="1">
      <c r="A423" s="180"/>
      <c r="C423" s="180"/>
    </row>
    <row r="424" ht="15.75" customHeight="1">
      <c r="A424" s="180"/>
      <c r="C424" s="180"/>
    </row>
    <row r="425" ht="15.75" customHeight="1">
      <c r="A425" s="180"/>
      <c r="C425" s="180"/>
    </row>
    <row r="426" ht="15.75" customHeight="1">
      <c r="A426" s="180"/>
      <c r="C426" s="180"/>
    </row>
    <row r="427" ht="15.75" customHeight="1">
      <c r="A427" s="180"/>
      <c r="C427" s="180"/>
    </row>
    <row r="428" ht="15.75" customHeight="1">
      <c r="A428" s="180"/>
      <c r="C428" s="180"/>
    </row>
    <row r="429" ht="15.75" customHeight="1">
      <c r="A429" s="180"/>
      <c r="C429" s="180"/>
    </row>
    <row r="430" ht="15.75" customHeight="1">
      <c r="A430" s="180"/>
      <c r="C430" s="180"/>
    </row>
    <row r="431" ht="15.75" customHeight="1">
      <c r="A431" s="180"/>
      <c r="C431" s="180"/>
    </row>
    <row r="432" ht="15.75" customHeight="1">
      <c r="A432" s="180"/>
      <c r="C432" s="180"/>
    </row>
    <row r="433" ht="15.75" customHeight="1">
      <c r="A433" s="180"/>
      <c r="C433" s="180"/>
    </row>
    <row r="434" ht="15.75" customHeight="1">
      <c r="A434" s="180"/>
      <c r="C434" s="180"/>
    </row>
    <row r="435" ht="15.75" customHeight="1">
      <c r="A435" s="180"/>
      <c r="C435" s="180"/>
    </row>
    <row r="436" ht="15.75" customHeight="1">
      <c r="A436" s="180"/>
      <c r="C436" s="180"/>
    </row>
    <row r="437" ht="15.75" customHeight="1">
      <c r="A437" s="180"/>
      <c r="C437" s="180"/>
    </row>
    <row r="438" ht="15.75" customHeight="1">
      <c r="A438" s="180"/>
      <c r="C438" s="180"/>
    </row>
    <row r="439" ht="15.75" customHeight="1">
      <c r="A439" s="180"/>
      <c r="C439" s="180"/>
    </row>
    <row r="440" ht="15.75" customHeight="1">
      <c r="A440" s="180"/>
      <c r="C440" s="180"/>
    </row>
    <row r="441" ht="15.75" customHeight="1">
      <c r="A441" s="180"/>
      <c r="C441" s="180"/>
    </row>
    <row r="442" ht="15.75" customHeight="1">
      <c r="A442" s="180"/>
      <c r="C442" s="180"/>
    </row>
    <row r="443" ht="15.75" customHeight="1">
      <c r="A443" s="180"/>
      <c r="C443" s="180"/>
    </row>
    <row r="444" ht="15.75" customHeight="1">
      <c r="A444" s="180"/>
      <c r="C444" s="180"/>
    </row>
    <row r="445" ht="15.75" customHeight="1">
      <c r="A445" s="180"/>
      <c r="C445" s="180"/>
    </row>
    <row r="446" ht="15.75" customHeight="1">
      <c r="A446" s="180"/>
      <c r="C446" s="180"/>
    </row>
    <row r="447" ht="15.75" customHeight="1">
      <c r="A447" s="180"/>
      <c r="C447" s="180"/>
    </row>
    <row r="448" ht="15.75" customHeight="1">
      <c r="A448" s="180"/>
      <c r="C448" s="180"/>
    </row>
    <row r="449" ht="15.75" customHeight="1">
      <c r="A449" s="180"/>
      <c r="C449" s="180"/>
    </row>
    <row r="450" ht="15.75" customHeight="1">
      <c r="A450" s="180"/>
      <c r="C450" s="180"/>
    </row>
    <row r="451" ht="15.75" customHeight="1">
      <c r="A451" s="180"/>
      <c r="C451" s="180"/>
    </row>
    <row r="452" ht="15.75" customHeight="1">
      <c r="A452" s="180"/>
      <c r="C452" s="180"/>
    </row>
    <row r="453" ht="15.75" customHeight="1">
      <c r="A453" s="180"/>
      <c r="C453" s="180"/>
    </row>
    <row r="454" ht="15.75" customHeight="1">
      <c r="A454" s="180"/>
      <c r="C454" s="180"/>
    </row>
    <row r="455" ht="15.75" customHeight="1">
      <c r="A455" s="180"/>
      <c r="C455" s="180"/>
    </row>
    <row r="456" ht="15.75" customHeight="1">
      <c r="A456" s="180"/>
      <c r="C456" s="180"/>
    </row>
    <row r="457" ht="15.75" customHeight="1">
      <c r="A457" s="180"/>
      <c r="C457" s="180"/>
    </row>
    <row r="458" ht="15.75" customHeight="1">
      <c r="A458" s="180"/>
      <c r="C458" s="180"/>
    </row>
    <row r="459" ht="15.75" customHeight="1">
      <c r="A459" s="180"/>
      <c r="C459" s="180"/>
    </row>
    <row r="460" ht="15.75" customHeight="1">
      <c r="A460" s="180"/>
      <c r="C460" s="180"/>
    </row>
    <row r="461" ht="15.75" customHeight="1">
      <c r="A461" s="180"/>
      <c r="C461" s="180"/>
    </row>
    <row r="462" ht="15.75" customHeight="1">
      <c r="A462" s="180"/>
      <c r="C462" s="180"/>
    </row>
    <row r="463" ht="15.75" customHeight="1">
      <c r="A463" s="180"/>
      <c r="C463" s="180"/>
    </row>
    <row r="464" ht="15.75" customHeight="1">
      <c r="A464" s="180"/>
      <c r="C464" s="180"/>
    </row>
    <row r="465" ht="15.75" customHeight="1">
      <c r="A465" s="180"/>
      <c r="C465" s="180"/>
    </row>
    <row r="466" ht="15.75" customHeight="1">
      <c r="A466" s="180"/>
      <c r="C466" s="180"/>
    </row>
    <row r="467" ht="15.75" customHeight="1">
      <c r="A467" s="180"/>
      <c r="C467" s="180"/>
    </row>
    <row r="468" ht="15.75" customHeight="1">
      <c r="A468" s="180"/>
      <c r="C468" s="180"/>
    </row>
    <row r="469" ht="15.75" customHeight="1">
      <c r="A469" s="180"/>
      <c r="C469" s="180"/>
    </row>
    <row r="470" ht="15.75" customHeight="1">
      <c r="A470" s="180"/>
      <c r="C470" s="180"/>
    </row>
    <row r="471" ht="15.75" customHeight="1">
      <c r="A471" s="180"/>
      <c r="C471" s="180"/>
    </row>
    <row r="472" ht="15.75" customHeight="1">
      <c r="A472" s="180"/>
      <c r="C472" s="180"/>
    </row>
    <row r="473" ht="15.75" customHeight="1">
      <c r="A473" s="180"/>
      <c r="C473" s="180"/>
    </row>
    <row r="474" ht="15.75" customHeight="1">
      <c r="A474" s="180"/>
      <c r="C474" s="180"/>
    </row>
    <row r="475" ht="15.75" customHeight="1">
      <c r="A475" s="180"/>
      <c r="C475" s="180"/>
    </row>
    <row r="476" ht="15.75" customHeight="1">
      <c r="A476" s="180"/>
      <c r="C476" s="180"/>
    </row>
    <row r="477" ht="15.75" customHeight="1">
      <c r="A477" s="180"/>
      <c r="C477" s="180"/>
    </row>
    <row r="478" ht="15.75" customHeight="1">
      <c r="A478" s="180"/>
      <c r="C478" s="180"/>
    </row>
    <row r="479" ht="15.75" customHeight="1">
      <c r="A479" s="180"/>
      <c r="C479" s="180"/>
    </row>
    <row r="480" ht="15.75" customHeight="1">
      <c r="A480" s="180"/>
      <c r="C480" s="180"/>
    </row>
    <row r="481" ht="15.75" customHeight="1">
      <c r="A481" s="180"/>
      <c r="C481" s="180"/>
    </row>
    <row r="482" ht="15.75" customHeight="1">
      <c r="A482" s="180"/>
      <c r="C482" s="180"/>
    </row>
    <row r="483" ht="15.75" customHeight="1">
      <c r="A483" s="180"/>
      <c r="C483" s="180"/>
    </row>
    <row r="484" ht="15.75" customHeight="1">
      <c r="A484" s="180"/>
      <c r="C484" s="180"/>
    </row>
    <row r="485" ht="15.75" customHeight="1">
      <c r="A485" s="180"/>
      <c r="C485" s="180"/>
    </row>
    <row r="486" ht="15.75" customHeight="1">
      <c r="A486" s="180"/>
      <c r="C486" s="180"/>
    </row>
    <row r="487" ht="15.75" customHeight="1">
      <c r="A487" s="180"/>
      <c r="C487" s="180"/>
    </row>
    <row r="488" ht="15.75" customHeight="1">
      <c r="A488" s="180"/>
      <c r="C488" s="180"/>
    </row>
    <row r="489" ht="15.75" customHeight="1">
      <c r="A489" s="180"/>
      <c r="C489" s="180"/>
    </row>
    <row r="490" ht="15.75" customHeight="1">
      <c r="A490" s="180"/>
      <c r="C490" s="180"/>
    </row>
    <row r="491" ht="15.75" customHeight="1">
      <c r="A491" s="180"/>
      <c r="C491" s="180"/>
    </row>
    <row r="492" ht="15.75" customHeight="1">
      <c r="A492" s="180"/>
      <c r="C492" s="180"/>
    </row>
    <row r="493" ht="15.75" customHeight="1">
      <c r="A493" s="180"/>
      <c r="C493" s="180"/>
    </row>
    <row r="494" ht="15.75" customHeight="1">
      <c r="A494" s="180"/>
      <c r="C494" s="180"/>
    </row>
    <row r="495" ht="15.75" customHeight="1">
      <c r="A495" s="180"/>
      <c r="C495" s="180"/>
    </row>
    <row r="496" ht="15.75" customHeight="1">
      <c r="A496" s="180"/>
      <c r="C496" s="180"/>
    </row>
    <row r="497" ht="15.75" customHeight="1">
      <c r="A497" s="180"/>
      <c r="C497" s="180"/>
    </row>
    <row r="498" ht="15.75" customHeight="1">
      <c r="A498" s="180"/>
      <c r="C498" s="180"/>
    </row>
    <row r="499" ht="15.75" customHeight="1">
      <c r="A499" s="180"/>
      <c r="C499" s="180"/>
    </row>
    <row r="500" ht="15.75" customHeight="1">
      <c r="A500" s="180"/>
      <c r="C500" s="180"/>
    </row>
    <row r="501" ht="15.75" customHeight="1">
      <c r="A501" s="180"/>
      <c r="C501" s="180"/>
    </row>
    <row r="502" ht="15.75" customHeight="1">
      <c r="A502" s="180"/>
      <c r="C502" s="180"/>
    </row>
    <row r="503" ht="15.75" customHeight="1">
      <c r="A503" s="180"/>
      <c r="C503" s="180"/>
    </row>
    <row r="504" ht="15.75" customHeight="1">
      <c r="A504" s="180"/>
      <c r="C504" s="180"/>
    </row>
    <row r="505" ht="15.75" customHeight="1">
      <c r="A505" s="180"/>
      <c r="C505" s="180"/>
    </row>
    <row r="506" ht="15.75" customHeight="1">
      <c r="A506" s="180"/>
      <c r="C506" s="180"/>
    </row>
    <row r="507" ht="15.75" customHeight="1">
      <c r="A507" s="180"/>
      <c r="C507" s="180"/>
    </row>
    <row r="508" ht="15.75" customHeight="1">
      <c r="A508" s="180"/>
      <c r="C508" s="180"/>
    </row>
    <row r="509" ht="15.75" customHeight="1">
      <c r="A509" s="180"/>
      <c r="C509" s="180"/>
    </row>
    <row r="510" ht="15.75" customHeight="1">
      <c r="A510" s="180"/>
      <c r="C510" s="180"/>
    </row>
    <row r="511" ht="15.75" customHeight="1">
      <c r="A511" s="180"/>
      <c r="C511" s="180"/>
    </row>
    <row r="512" ht="15.75" customHeight="1">
      <c r="A512" s="180"/>
      <c r="C512" s="180"/>
    </row>
    <row r="513" ht="15.75" customHeight="1">
      <c r="A513" s="180"/>
      <c r="C513" s="180"/>
    </row>
    <row r="514" ht="15.75" customHeight="1">
      <c r="A514" s="180"/>
      <c r="C514" s="180"/>
    </row>
    <row r="515" ht="15.75" customHeight="1">
      <c r="A515" s="180"/>
      <c r="C515" s="180"/>
    </row>
    <row r="516" ht="15.75" customHeight="1">
      <c r="A516" s="180"/>
      <c r="C516" s="180"/>
    </row>
    <row r="517" ht="15.75" customHeight="1">
      <c r="A517" s="180"/>
      <c r="C517" s="180"/>
    </row>
    <row r="518" ht="15.75" customHeight="1">
      <c r="A518" s="180"/>
      <c r="C518" s="180"/>
    </row>
    <row r="519" ht="15.75" customHeight="1">
      <c r="A519" s="180"/>
      <c r="C519" s="180"/>
    </row>
    <row r="520" ht="15.75" customHeight="1">
      <c r="A520" s="180"/>
      <c r="C520" s="180"/>
    </row>
    <row r="521" ht="15.75" customHeight="1">
      <c r="A521" s="180"/>
      <c r="C521" s="180"/>
    </row>
    <row r="522" ht="15.75" customHeight="1">
      <c r="A522" s="180"/>
      <c r="C522" s="180"/>
    </row>
    <row r="523" ht="15.75" customHeight="1">
      <c r="A523" s="180"/>
      <c r="C523" s="180"/>
    </row>
    <row r="524" ht="15.75" customHeight="1">
      <c r="A524" s="180"/>
      <c r="C524" s="180"/>
    </row>
    <row r="525" ht="15.75" customHeight="1">
      <c r="A525" s="180"/>
      <c r="C525" s="180"/>
    </row>
    <row r="526" ht="15.75" customHeight="1">
      <c r="A526" s="180"/>
      <c r="C526" s="180"/>
    </row>
    <row r="527" ht="15.75" customHeight="1">
      <c r="A527" s="180"/>
      <c r="C527" s="180"/>
    </row>
    <row r="528" ht="15.75" customHeight="1">
      <c r="A528" s="180"/>
      <c r="C528" s="180"/>
    </row>
    <row r="529" ht="15.75" customHeight="1">
      <c r="A529" s="180"/>
      <c r="C529" s="180"/>
    </row>
    <row r="530" ht="15.75" customHeight="1">
      <c r="A530" s="180"/>
      <c r="C530" s="180"/>
    </row>
    <row r="531" ht="15.75" customHeight="1">
      <c r="A531" s="180"/>
      <c r="C531" s="180"/>
    </row>
    <row r="532" ht="15.75" customHeight="1">
      <c r="A532" s="180"/>
      <c r="C532" s="180"/>
    </row>
    <row r="533" ht="15.75" customHeight="1">
      <c r="A533" s="180"/>
      <c r="C533" s="180"/>
    </row>
    <row r="534" ht="15.75" customHeight="1">
      <c r="A534" s="180"/>
      <c r="C534" s="180"/>
    </row>
    <row r="535" ht="15.75" customHeight="1">
      <c r="A535" s="180"/>
      <c r="C535" s="180"/>
    </row>
    <row r="536" ht="15.75" customHeight="1">
      <c r="A536" s="180"/>
      <c r="C536" s="180"/>
    </row>
    <row r="537" ht="15.75" customHeight="1">
      <c r="A537" s="180"/>
      <c r="C537" s="180"/>
    </row>
    <row r="538" ht="15.75" customHeight="1">
      <c r="A538" s="180"/>
      <c r="C538" s="180"/>
    </row>
    <row r="539" ht="15.75" customHeight="1">
      <c r="A539" s="180"/>
      <c r="C539" s="180"/>
    </row>
    <row r="540" ht="15.75" customHeight="1">
      <c r="A540" s="180"/>
      <c r="C540" s="180"/>
    </row>
    <row r="541" ht="15.75" customHeight="1">
      <c r="A541" s="180"/>
      <c r="C541" s="180"/>
    </row>
    <row r="542" ht="15.75" customHeight="1">
      <c r="A542" s="180"/>
      <c r="C542" s="180"/>
    </row>
    <row r="543" ht="15.75" customHeight="1">
      <c r="A543" s="180"/>
      <c r="C543" s="180"/>
    </row>
    <row r="544" ht="15.75" customHeight="1">
      <c r="A544" s="180"/>
      <c r="C544" s="180"/>
    </row>
    <row r="545" ht="15.75" customHeight="1">
      <c r="A545" s="180"/>
      <c r="C545" s="180"/>
    </row>
    <row r="546" ht="15.75" customHeight="1">
      <c r="A546" s="180"/>
      <c r="C546" s="180"/>
    </row>
    <row r="547" ht="15.75" customHeight="1">
      <c r="A547" s="180"/>
      <c r="C547" s="180"/>
    </row>
    <row r="548" ht="15.75" customHeight="1">
      <c r="A548" s="180"/>
      <c r="C548" s="180"/>
    </row>
    <row r="549" ht="15.75" customHeight="1">
      <c r="A549" s="180"/>
      <c r="C549" s="180"/>
    </row>
    <row r="550" ht="15.75" customHeight="1">
      <c r="A550" s="180"/>
      <c r="C550" s="180"/>
    </row>
    <row r="551" ht="15.75" customHeight="1">
      <c r="A551" s="180"/>
      <c r="C551" s="180"/>
    </row>
    <row r="552" ht="15.75" customHeight="1">
      <c r="A552" s="180"/>
      <c r="C552" s="180"/>
    </row>
    <row r="553" ht="15.75" customHeight="1">
      <c r="A553" s="180"/>
      <c r="C553" s="180"/>
    </row>
    <row r="554" ht="15.75" customHeight="1">
      <c r="A554" s="180"/>
      <c r="C554" s="180"/>
    </row>
    <row r="555" ht="15.75" customHeight="1">
      <c r="A555" s="180"/>
      <c r="C555" s="180"/>
    </row>
    <row r="556" ht="15.75" customHeight="1">
      <c r="A556" s="180"/>
      <c r="C556" s="180"/>
    </row>
    <row r="557" ht="15.75" customHeight="1">
      <c r="A557" s="180"/>
      <c r="C557" s="180"/>
    </row>
    <row r="558" ht="15.75" customHeight="1">
      <c r="A558" s="180"/>
      <c r="C558" s="180"/>
    </row>
    <row r="559" ht="15.75" customHeight="1">
      <c r="A559" s="180"/>
      <c r="C559" s="180"/>
    </row>
    <row r="560" ht="15.75" customHeight="1">
      <c r="A560" s="180"/>
      <c r="C560" s="180"/>
    </row>
    <row r="561" ht="15.75" customHeight="1">
      <c r="A561" s="180"/>
      <c r="C561" s="180"/>
    </row>
    <row r="562" ht="15.75" customHeight="1">
      <c r="A562" s="180"/>
      <c r="C562" s="180"/>
    </row>
    <row r="563" ht="15.75" customHeight="1">
      <c r="A563" s="180"/>
      <c r="C563" s="180"/>
    </row>
    <row r="564" ht="15.75" customHeight="1">
      <c r="A564" s="180"/>
      <c r="C564" s="180"/>
    </row>
    <row r="565" ht="15.75" customHeight="1">
      <c r="A565" s="180"/>
      <c r="C565" s="180"/>
    </row>
    <row r="566" ht="15.75" customHeight="1">
      <c r="A566" s="180"/>
      <c r="C566" s="180"/>
    </row>
    <row r="567" ht="15.75" customHeight="1">
      <c r="A567" s="180"/>
      <c r="C567" s="180"/>
    </row>
    <row r="568" ht="15.75" customHeight="1">
      <c r="A568" s="180"/>
      <c r="C568" s="180"/>
    </row>
    <row r="569" ht="15.75" customHeight="1">
      <c r="A569" s="180"/>
      <c r="C569" s="180"/>
    </row>
    <row r="570" ht="15.75" customHeight="1">
      <c r="A570" s="180"/>
      <c r="C570" s="180"/>
    </row>
    <row r="571" ht="15.75" customHeight="1">
      <c r="A571" s="180"/>
      <c r="C571" s="180"/>
    </row>
    <row r="572" ht="15.75" customHeight="1">
      <c r="A572" s="180"/>
      <c r="C572" s="180"/>
    </row>
    <row r="573" ht="15.75" customHeight="1">
      <c r="A573" s="180"/>
      <c r="C573" s="180"/>
    </row>
    <row r="574" ht="15.75" customHeight="1">
      <c r="A574" s="180"/>
      <c r="C574" s="180"/>
    </row>
    <row r="575" ht="15.75" customHeight="1">
      <c r="A575" s="180"/>
      <c r="C575" s="180"/>
    </row>
    <row r="576" ht="15.75" customHeight="1">
      <c r="A576" s="180"/>
      <c r="C576" s="180"/>
    </row>
    <row r="577" ht="15.75" customHeight="1">
      <c r="A577" s="180"/>
      <c r="C577" s="180"/>
    </row>
    <row r="578" ht="15.75" customHeight="1">
      <c r="A578" s="180"/>
      <c r="C578" s="180"/>
    </row>
    <row r="579" ht="15.75" customHeight="1">
      <c r="A579" s="180"/>
      <c r="C579" s="180"/>
    </row>
    <row r="580" ht="15.75" customHeight="1">
      <c r="A580" s="180"/>
      <c r="C580" s="180"/>
    </row>
    <row r="581" ht="15.75" customHeight="1">
      <c r="A581" s="180"/>
      <c r="C581" s="180"/>
    </row>
    <row r="582" ht="15.75" customHeight="1">
      <c r="A582" s="180"/>
      <c r="C582" s="180"/>
    </row>
    <row r="583" ht="15.75" customHeight="1">
      <c r="A583" s="180"/>
      <c r="C583" s="180"/>
    </row>
    <row r="584" ht="15.75" customHeight="1">
      <c r="A584" s="180"/>
      <c r="C584" s="180"/>
    </row>
    <row r="585" ht="15.75" customHeight="1">
      <c r="A585" s="180"/>
      <c r="C585" s="180"/>
    </row>
    <row r="586" ht="15.75" customHeight="1">
      <c r="A586" s="180"/>
      <c r="C586" s="180"/>
    </row>
    <row r="587" ht="15.75" customHeight="1">
      <c r="A587" s="180"/>
      <c r="C587" s="180"/>
    </row>
    <row r="588" ht="15.75" customHeight="1">
      <c r="A588" s="180"/>
      <c r="C588" s="180"/>
    </row>
    <row r="589" ht="15.75" customHeight="1">
      <c r="A589" s="180"/>
      <c r="C589" s="180"/>
    </row>
    <row r="590" ht="15.75" customHeight="1">
      <c r="A590" s="180"/>
      <c r="C590" s="180"/>
    </row>
    <row r="591" ht="15.75" customHeight="1">
      <c r="A591" s="180"/>
      <c r="C591" s="180"/>
    </row>
    <row r="592" ht="15.75" customHeight="1">
      <c r="A592" s="180"/>
      <c r="C592" s="180"/>
    </row>
    <row r="593" ht="15.75" customHeight="1">
      <c r="A593" s="180"/>
      <c r="C593" s="180"/>
    </row>
    <row r="594" ht="15.75" customHeight="1">
      <c r="A594" s="180"/>
      <c r="C594" s="180"/>
    </row>
    <row r="595" ht="15.75" customHeight="1">
      <c r="A595" s="180"/>
      <c r="C595" s="180"/>
    </row>
    <row r="596" ht="15.75" customHeight="1">
      <c r="A596" s="180"/>
      <c r="C596" s="180"/>
    </row>
    <row r="597" ht="15.75" customHeight="1">
      <c r="A597" s="180"/>
      <c r="C597" s="180"/>
    </row>
    <row r="598" ht="15.75" customHeight="1">
      <c r="A598" s="180"/>
      <c r="C598" s="180"/>
    </row>
    <row r="599" ht="15.75" customHeight="1">
      <c r="A599" s="180"/>
      <c r="C599" s="180"/>
    </row>
    <row r="600" ht="15.75" customHeight="1">
      <c r="A600" s="180"/>
      <c r="C600" s="180"/>
    </row>
    <row r="601" ht="15.75" customHeight="1">
      <c r="A601" s="180"/>
      <c r="C601" s="180"/>
    </row>
    <row r="602" ht="15.75" customHeight="1">
      <c r="A602" s="180"/>
      <c r="C602" s="180"/>
    </row>
    <row r="603" ht="15.75" customHeight="1">
      <c r="A603" s="180"/>
      <c r="C603" s="180"/>
    </row>
    <row r="604" ht="15.75" customHeight="1">
      <c r="A604" s="180"/>
      <c r="C604" s="180"/>
    </row>
    <row r="605" ht="15.75" customHeight="1">
      <c r="A605" s="180"/>
      <c r="C605" s="180"/>
    </row>
    <row r="606" ht="15.75" customHeight="1">
      <c r="A606" s="180"/>
      <c r="C606" s="180"/>
    </row>
    <row r="607" ht="15.75" customHeight="1">
      <c r="A607" s="180"/>
      <c r="C607" s="180"/>
    </row>
    <row r="608" ht="15.75" customHeight="1">
      <c r="A608" s="180"/>
      <c r="C608" s="180"/>
    </row>
    <row r="609" ht="15.75" customHeight="1">
      <c r="A609" s="180"/>
      <c r="C609" s="180"/>
    </row>
    <row r="610" ht="15.75" customHeight="1">
      <c r="A610" s="180"/>
      <c r="C610" s="180"/>
    </row>
    <row r="611" ht="15.75" customHeight="1">
      <c r="A611" s="180"/>
      <c r="C611" s="180"/>
    </row>
    <row r="612" ht="15.75" customHeight="1">
      <c r="A612" s="180"/>
      <c r="C612" s="180"/>
    </row>
    <row r="613" ht="15.75" customHeight="1">
      <c r="A613" s="180"/>
      <c r="C613" s="180"/>
    </row>
    <row r="614" ht="15.75" customHeight="1">
      <c r="A614" s="180"/>
      <c r="C614" s="180"/>
    </row>
    <row r="615" ht="15.75" customHeight="1">
      <c r="A615" s="180"/>
      <c r="C615" s="180"/>
    </row>
    <row r="616" ht="15.75" customHeight="1">
      <c r="A616" s="180"/>
      <c r="C616" s="180"/>
    </row>
    <row r="617" ht="15.75" customHeight="1">
      <c r="A617" s="180"/>
      <c r="C617" s="180"/>
    </row>
    <row r="618" ht="15.75" customHeight="1">
      <c r="A618" s="180"/>
      <c r="C618" s="180"/>
    </row>
    <row r="619" ht="15.75" customHeight="1">
      <c r="A619" s="180"/>
      <c r="C619" s="180"/>
    </row>
    <row r="620" ht="15.75" customHeight="1">
      <c r="A620" s="180"/>
      <c r="C620" s="180"/>
    </row>
    <row r="621" ht="15.75" customHeight="1">
      <c r="A621" s="180"/>
      <c r="C621" s="180"/>
    </row>
    <row r="622" ht="15.75" customHeight="1">
      <c r="A622" s="180"/>
      <c r="C622" s="180"/>
    </row>
    <row r="623" ht="15.75" customHeight="1">
      <c r="A623" s="180"/>
      <c r="C623" s="180"/>
    </row>
    <row r="624" ht="15.75" customHeight="1">
      <c r="A624" s="180"/>
      <c r="C624" s="180"/>
    </row>
    <row r="625" ht="15.75" customHeight="1">
      <c r="A625" s="180"/>
      <c r="C625" s="180"/>
    </row>
    <row r="626" ht="15.75" customHeight="1">
      <c r="A626" s="180"/>
      <c r="C626" s="180"/>
    </row>
    <row r="627" ht="15.75" customHeight="1">
      <c r="A627" s="180"/>
      <c r="C627" s="180"/>
    </row>
    <row r="628" ht="15.75" customHeight="1">
      <c r="A628" s="180"/>
      <c r="C628" s="180"/>
    </row>
    <row r="629" ht="15.75" customHeight="1">
      <c r="A629" s="180"/>
      <c r="C629" s="180"/>
    </row>
    <row r="630" ht="15.75" customHeight="1">
      <c r="A630" s="180"/>
      <c r="C630" s="180"/>
    </row>
    <row r="631" ht="15.75" customHeight="1">
      <c r="A631" s="180"/>
      <c r="C631" s="180"/>
    </row>
    <row r="632" ht="15.75" customHeight="1">
      <c r="A632" s="180"/>
      <c r="C632" s="180"/>
    </row>
    <row r="633" ht="15.75" customHeight="1">
      <c r="A633" s="180"/>
      <c r="C633" s="180"/>
    </row>
    <row r="634" ht="15.75" customHeight="1">
      <c r="A634" s="180"/>
      <c r="C634" s="180"/>
    </row>
    <row r="635" ht="15.75" customHeight="1">
      <c r="A635" s="180"/>
      <c r="C635" s="180"/>
    </row>
    <row r="636" ht="15.75" customHeight="1">
      <c r="A636" s="180"/>
      <c r="C636" s="180"/>
    </row>
    <row r="637" ht="15.75" customHeight="1">
      <c r="A637" s="180"/>
      <c r="C637" s="180"/>
    </row>
    <row r="638" ht="15.75" customHeight="1">
      <c r="A638" s="180"/>
      <c r="C638" s="180"/>
    </row>
    <row r="639" ht="15.75" customHeight="1">
      <c r="A639" s="180"/>
      <c r="C639" s="180"/>
    </row>
    <row r="640" ht="15.75" customHeight="1">
      <c r="A640" s="180"/>
      <c r="C640" s="180"/>
    </row>
    <row r="641" ht="15.75" customHeight="1">
      <c r="A641" s="180"/>
      <c r="C641" s="180"/>
    </row>
    <row r="642" ht="15.75" customHeight="1">
      <c r="A642" s="180"/>
      <c r="C642" s="180"/>
    </row>
    <row r="643" ht="15.75" customHeight="1">
      <c r="A643" s="180"/>
      <c r="C643" s="180"/>
    </row>
    <row r="644" ht="15.75" customHeight="1">
      <c r="A644" s="180"/>
      <c r="C644" s="180"/>
    </row>
    <row r="645" ht="15.75" customHeight="1">
      <c r="A645" s="180"/>
      <c r="C645" s="180"/>
    </row>
    <row r="646" ht="15.75" customHeight="1">
      <c r="A646" s="180"/>
      <c r="C646" s="180"/>
    </row>
    <row r="647" ht="15.75" customHeight="1">
      <c r="A647" s="180"/>
      <c r="C647" s="180"/>
    </row>
    <row r="648" ht="15.75" customHeight="1">
      <c r="A648" s="180"/>
      <c r="C648" s="180"/>
    </row>
    <row r="649" ht="15.75" customHeight="1">
      <c r="A649" s="180"/>
      <c r="C649" s="180"/>
    </row>
    <row r="650" ht="15.75" customHeight="1">
      <c r="A650" s="180"/>
      <c r="C650" s="180"/>
    </row>
    <row r="651" ht="15.75" customHeight="1">
      <c r="A651" s="180"/>
      <c r="C651" s="180"/>
    </row>
    <row r="652" ht="15.75" customHeight="1">
      <c r="A652" s="180"/>
      <c r="C652" s="180"/>
    </row>
    <row r="653" ht="15.75" customHeight="1">
      <c r="A653" s="180"/>
      <c r="C653" s="180"/>
    </row>
    <row r="654" ht="15.75" customHeight="1">
      <c r="A654" s="180"/>
      <c r="C654" s="180"/>
    </row>
    <row r="655" ht="15.75" customHeight="1">
      <c r="A655" s="180"/>
      <c r="C655" s="180"/>
    </row>
    <row r="656" ht="15.75" customHeight="1">
      <c r="A656" s="180"/>
      <c r="C656" s="180"/>
    </row>
    <row r="657" ht="15.75" customHeight="1">
      <c r="A657" s="180"/>
      <c r="C657" s="180"/>
    </row>
    <row r="658" ht="15.75" customHeight="1">
      <c r="A658" s="180"/>
      <c r="C658" s="180"/>
    </row>
    <row r="659" ht="15.75" customHeight="1">
      <c r="A659" s="180"/>
      <c r="C659" s="180"/>
    </row>
    <row r="660" ht="15.75" customHeight="1">
      <c r="A660" s="180"/>
      <c r="C660" s="180"/>
    </row>
    <row r="661" ht="15.75" customHeight="1">
      <c r="A661" s="180"/>
      <c r="C661" s="180"/>
    </row>
    <row r="662" ht="15.75" customHeight="1">
      <c r="A662" s="180"/>
      <c r="C662" s="180"/>
    </row>
    <row r="663" ht="15.75" customHeight="1">
      <c r="A663" s="180"/>
      <c r="C663" s="180"/>
    </row>
    <row r="664" ht="15.75" customHeight="1">
      <c r="A664" s="180"/>
      <c r="C664" s="180"/>
    </row>
    <row r="665" ht="15.75" customHeight="1">
      <c r="A665" s="180"/>
      <c r="C665" s="180"/>
    </row>
    <row r="666" ht="15.75" customHeight="1">
      <c r="A666" s="180"/>
      <c r="C666" s="180"/>
    </row>
    <row r="667" ht="15.75" customHeight="1">
      <c r="A667" s="180"/>
      <c r="C667" s="180"/>
    </row>
    <row r="668" ht="15.75" customHeight="1">
      <c r="A668" s="180"/>
      <c r="C668" s="180"/>
    </row>
    <row r="669" ht="15.75" customHeight="1">
      <c r="A669" s="180"/>
      <c r="C669" s="180"/>
    </row>
    <row r="670" ht="15.75" customHeight="1">
      <c r="A670" s="180"/>
      <c r="C670" s="180"/>
    </row>
    <row r="671" ht="15.75" customHeight="1">
      <c r="A671" s="180"/>
      <c r="C671" s="180"/>
    </row>
    <row r="672" ht="15.75" customHeight="1">
      <c r="A672" s="180"/>
      <c r="C672" s="180"/>
    </row>
    <row r="673" ht="15.75" customHeight="1">
      <c r="A673" s="180"/>
      <c r="C673" s="180"/>
    </row>
    <row r="674" ht="15.75" customHeight="1">
      <c r="A674" s="180"/>
      <c r="C674" s="180"/>
    </row>
    <row r="675" ht="15.75" customHeight="1">
      <c r="A675" s="180"/>
      <c r="C675" s="180"/>
    </row>
    <row r="676" ht="15.75" customHeight="1">
      <c r="A676" s="180"/>
      <c r="C676" s="180"/>
    </row>
    <row r="677" ht="15.75" customHeight="1">
      <c r="A677" s="180"/>
      <c r="C677" s="180"/>
    </row>
    <row r="678" ht="15.75" customHeight="1">
      <c r="A678" s="180"/>
      <c r="C678" s="180"/>
    </row>
    <row r="679" ht="15.75" customHeight="1">
      <c r="A679" s="180"/>
      <c r="C679" s="180"/>
    </row>
    <row r="680" ht="15.75" customHeight="1">
      <c r="A680" s="180"/>
      <c r="C680" s="180"/>
    </row>
    <row r="681" ht="15.75" customHeight="1">
      <c r="A681" s="180"/>
      <c r="C681" s="180"/>
    </row>
    <row r="682" ht="15.75" customHeight="1">
      <c r="A682" s="180"/>
      <c r="C682" s="180"/>
    </row>
    <row r="683" ht="15.75" customHeight="1">
      <c r="A683" s="180"/>
      <c r="C683" s="180"/>
    </row>
    <row r="684" ht="15.75" customHeight="1">
      <c r="A684" s="180"/>
      <c r="C684" s="180"/>
    </row>
    <row r="685" ht="15.75" customHeight="1">
      <c r="A685" s="180"/>
      <c r="C685" s="180"/>
    </row>
    <row r="686" ht="15.75" customHeight="1">
      <c r="A686" s="180"/>
      <c r="C686" s="180"/>
    </row>
    <row r="687" ht="15.75" customHeight="1">
      <c r="A687" s="180"/>
      <c r="C687" s="180"/>
    </row>
    <row r="688" ht="15.75" customHeight="1">
      <c r="A688" s="180"/>
      <c r="C688" s="180"/>
    </row>
    <row r="689" ht="15.75" customHeight="1">
      <c r="A689" s="180"/>
      <c r="C689" s="180"/>
    </row>
    <row r="690" ht="15.75" customHeight="1">
      <c r="A690" s="180"/>
      <c r="C690" s="180"/>
    </row>
    <row r="691" ht="15.75" customHeight="1">
      <c r="A691" s="180"/>
      <c r="C691" s="180"/>
    </row>
    <row r="692" ht="15.75" customHeight="1">
      <c r="A692" s="180"/>
      <c r="C692" s="180"/>
    </row>
    <row r="693" ht="15.75" customHeight="1">
      <c r="A693" s="180"/>
      <c r="C693" s="180"/>
    </row>
    <row r="694" ht="15.75" customHeight="1">
      <c r="A694" s="180"/>
      <c r="C694" s="180"/>
    </row>
    <row r="695" ht="15.75" customHeight="1">
      <c r="A695" s="180"/>
      <c r="C695" s="180"/>
    </row>
    <row r="696" ht="15.75" customHeight="1">
      <c r="A696" s="180"/>
      <c r="C696" s="180"/>
    </row>
    <row r="697" ht="15.75" customHeight="1">
      <c r="A697" s="180"/>
      <c r="C697" s="180"/>
    </row>
    <row r="698" ht="15.75" customHeight="1">
      <c r="A698" s="180"/>
      <c r="C698" s="180"/>
    </row>
    <row r="699" ht="15.75" customHeight="1">
      <c r="A699" s="180"/>
      <c r="C699" s="180"/>
    </row>
    <row r="700" ht="15.75" customHeight="1">
      <c r="A700" s="180"/>
      <c r="C700" s="180"/>
    </row>
    <row r="701" ht="15.75" customHeight="1">
      <c r="A701" s="180"/>
      <c r="C701" s="180"/>
    </row>
    <row r="702" ht="15.75" customHeight="1">
      <c r="A702" s="180"/>
      <c r="C702" s="180"/>
    </row>
    <row r="703" ht="15.75" customHeight="1">
      <c r="A703" s="180"/>
      <c r="C703" s="180"/>
    </row>
    <row r="704" ht="15.75" customHeight="1">
      <c r="A704" s="180"/>
      <c r="C704" s="180"/>
    </row>
    <row r="705" ht="15.75" customHeight="1">
      <c r="A705" s="180"/>
      <c r="C705" s="180"/>
    </row>
    <row r="706" ht="15.75" customHeight="1">
      <c r="A706" s="180"/>
      <c r="C706" s="180"/>
    </row>
    <row r="707" ht="15.75" customHeight="1">
      <c r="A707" s="180"/>
      <c r="C707" s="180"/>
    </row>
    <row r="708" ht="15.75" customHeight="1">
      <c r="A708" s="180"/>
      <c r="C708" s="180"/>
    </row>
    <row r="709" ht="15.75" customHeight="1">
      <c r="A709" s="180"/>
      <c r="C709" s="180"/>
    </row>
    <row r="710" ht="15.75" customHeight="1">
      <c r="A710" s="180"/>
      <c r="C710" s="180"/>
    </row>
    <row r="711" ht="15.75" customHeight="1">
      <c r="A711" s="180"/>
      <c r="C711" s="180"/>
    </row>
    <row r="712" ht="15.75" customHeight="1">
      <c r="A712" s="180"/>
      <c r="C712" s="180"/>
    </row>
    <row r="713" ht="15.75" customHeight="1">
      <c r="A713" s="180"/>
      <c r="C713" s="180"/>
    </row>
    <row r="714" ht="15.75" customHeight="1">
      <c r="A714" s="180"/>
      <c r="C714" s="180"/>
    </row>
    <row r="715" ht="15.75" customHeight="1">
      <c r="A715" s="180"/>
      <c r="C715" s="180"/>
    </row>
    <row r="716" ht="15.75" customHeight="1">
      <c r="A716" s="180"/>
      <c r="C716" s="180"/>
    </row>
    <row r="717" ht="15.75" customHeight="1">
      <c r="A717" s="180"/>
      <c r="C717" s="180"/>
    </row>
    <row r="718" ht="15.75" customHeight="1">
      <c r="A718" s="180"/>
      <c r="C718" s="180"/>
    </row>
    <row r="719" ht="15.75" customHeight="1">
      <c r="A719" s="180"/>
      <c r="C719" s="180"/>
    </row>
    <row r="720" ht="15.75" customHeight="1">
      <c r="A720" s="180"/>
      <c r="C720" s="180"/>
    </row>
    <row r="721" ht="15.75" customHeight="1">
      <c r="A721" s="180"/>
      <c r="C721" s="180"/>
    </row>
    <row r="722" ht="15.75" customHeight="1">
      <c r="A722" s="180"/>
      <c r="C722" s="180"/>
    </row>
    <row r="723" ht="15.75" customHeight="1">
      <c r="A723" s="180"/>
      <c r="C723" s="180"/>
    </row>
    <row r="724" ht="15.75" customHeight="1">
      <c r="A724" s="180"/>
      <c r="C724" s="180"/>
    </row>
    <row r="725" ht="15.75" customHeight="1">
      <c r="A725" s="180"/>
      <c r="C725" s="180"/>
    </row>
    <row r="726" ht="15.75" customHeight="1">
      <c r="A726" s="180"/>
      <c r="C726" s="180"/>
    </row>
    <row r="727" ht="15.75" customHeight="1">
      <c r="A727" s="180"/>
      <c r="C727" s="180"/>
    </row>
    <row r="728" ht="15.75" customHeight="1">
      <c r="A728" s="180"/>
      <c r="C728" s="180"/>
    </row>
    <row r="729" ht="15.75" customHeight="1">
      <c r="A729" s="180"/>
      <c r="C729" s="180"/>
    </row>
    <row r="730" ht="15.75" customHeight="1">
      <c r="A730" s="180"/>
      <c r="C730" s="180"/>
    </row>
    <row r="731" ht="15.75" customHeight="1">
      <c r="A731" s="180"/>
      <c r="C731" s="180"/>
    </row>
    <row r="732" ht="15.75" customHeight="1">
      <c r="A732" s="180"/>
      <c r="C732" s="180"/>
    </row>
    <row r="733" ht="15.75" customHeight="1">
      <c r="A733" s="180"/>
      <c r="C733" s="180"/>
    </row>
    <row r="734" ht="15.75" customHeight="1">
      <c r="A734" s="180"/>
      <c r="C734" s="180"/>
    </row>
    <row r="735" ht="15.75" customHeight="1">
      <c r="A735" s="180"/>
      <c r="C735" s="180"/>
    </row>
    <row r="736" ht="15.75" customHeight="1">
      <c r="A736" s="180"/>
      <c r="C736" s="180"/>
    </row>
    <row r="737" ht="15.75" customHeight="1">
      <c r="A737" s="180"/>
      <c r="C737" s="180"/>
    </row>
    <row r="738" ht="15.75" customHeight="1">
      <c r="A738" s="180"/>
      <c r="C738" s="180"/>
    </row>
    <row r="739" ht="15.75" customHeight="1">
      <c r="A739" s="180"/>
      <c r="C739" s="180"/>
    </row>
    <row r="740" ht="15.75" customHeight="1">
      <c r="A740" s="180"/>
      <c r="C740" s="180"/>
    </row>
    <row r="741" ht="15.75" customHeight="1">
      <c r="A741" s="180"/>
      <c r="C741" s="180"/>
    </row>
    <row r="742" ht="15.75" customHeight="1">
      <c r="A742" s="180"/>
      <c r="C742" s="180"/>
    </row>
    <row r="743" ht="15.75" customHeight="1">
      <c r="A743" s="180"/>
      <c r="C743" s="180"/>
    </row>
    <row r="744" ht="15.75" customHeight="1">
      <c r="A744" s="180"/>
      <c r="C744" s="180"/>
    </row>
    <row r="745" ht="15.75" customHeight="1">
      <c r="A745" s="180"/>
      <c r="C745" s="180"/>
    </row>
    <row r="746" ht="15.75" customHeight="1">
      <c r="A746" s="180"/>
      <c r="C746" s="180"/>
    </row>
    <row r="747" ht="15.75" customHeight="1">
      <c r="A747" s="180"/>
      <c r="C747" s="180"/>
    </row>
    <row r="748" ht="15.75" customHeight="1">
      <c r="A748" s="180"/>
      <c r="C748" s="180"/>
    </row>
    <row r="749" ht="15.75" customHeight="1">
      <c r="A749" s="180"/>
      <c r="C749" s="180"/>
    </row>
    <row r="750" ht="15.75" customHeight="1">
      <c r="A750" s="180"/>
      <c r="C750" s="180"/>
    </row>
    <row r="751" ht="15.75" customHeight="1">
      <c r="A751" s="180"/>
      <c r="C751" s="180"/>
    </row>
    <row r="752" ht="15.75" customHeight="1">
      <c r="A752" s="180"/>
      <c r="C752" s="180"/>
    </row>
    <row r="753" ht="15.75" customHeight="1">
      <c r="A753" s="180"/>
      <c r="C753" s="180"/>
    </row>
    <row r="754" ht="15.75" customHeight="1">
      <c r="A754" s="180"/>
      <c r="C754" s="180"/>
    </row>
    <row r="755" ht="15.75" customHeight="1">
      <c r="A755" s="180"/>
      <c r="C755" s="180"/>
    </row>
    <row r="756" ht="15.75" customHeight="1">
      <c r="A756" s="180"/>
      <c r="C756" s="180"/>
    </row>
    <row r="757" ht="15.75" customHeight="1">
      <c r="A757" s="180"/>
      <c r="C757" s="180"/>
    </row>
    <row r="758" ht="15.75" customHeight="1">
      <c r="A758" s="180"/>
      <c r="C758" s="180"/>
    </row>
    <row r="759" ht="15.75" customHeight="1">
      <c r="A759" s="180"/>
      <c r="C759" s="180"/>
    </row>
    <row r="760" ht="15.75" customHeight="1">
      <c r="A760" s="180"/>
      <c r="C760" s="180"/>
    </row>
    <row r="761" ht="15.75" customHeight="1">
      <c r="A761" s="180"/>
      <c r="C761" s="180"/>
    </row>
    <row r="762" ht="15.75" customHeight="1">
      <c r="A762" s="180"/>
      <c r="C762" s="180"/>
    </row>
    <row r="763" ht="15.75" customHeight="1">
      <c r="A763" s="180"/>
      <c r="C763" s="180"/>
    </row>
    <row r="764" ht="15.75" customHeight="1">
      <c r="A764" s="180"/>
      <c r="C764" s="180"/>
    </row>
    <row r="765" ht="15.75" customHeight="1">
      <c r="A765" s="180"/>
      <c r="C765" s="180"/>
    </row>
    <row r="766" ht="15.75" customHeight="1">
      <c r="A766" s="180"/>
      <c r="C766" s="180"/>
    </row>
    <row r="767" ht="15.75" customHeight="1">
      <c r="A767" s="180"/>
      <c r="C767" s="180"/>
    </row>
    <row r="768" ht="15.75" customHeight="1">
      <c r="A768" s="180"/>
      <c r="C768" s="180"/>
    </row>
    <row r="769" ht="15.75" customHeight="1">
      <c r="A769" s="180"/>
      <c r="C769" s="180"/>
    </row>
    <row r="770" ht="15.75" customHeight="1">
      <c r="A770" s="180"/>
      <c r="C770" s="180"/>
    </row>
    <row r="771" ht="15.75" customHeight="1">
      <c r="A771" s="180"/>
      <c r="C771" s="180"/>
    </row>
    <row r="772" ht="15.75" customHeight="1">
      <c r="A772" s="180"/>
      <c r="C772" s="180"/>
    </row>
    <row r="773" ht="15.75" customHeight="1">
      <c r="A773" s="180"/>
      <c r="C773" s="180"/>
    </row>
    <row r="774" ht="15.75" customHeight="1">
      <c r="A774" s="180"/>
      <c r="C774" s="180"/>
    </row>
    <row r="775" ht="15.75" customHeight="1">
      <c r="A775" s="180"/>
      <c r="C775" s="180"/>
    </row>
    <row r="776" ht="15.75" customHeight="1">
      <c r="A776" s="180"/>
      <c r="C776" s="180"/>
    </row>
    <row r="777" ht="15.75" customHeight="1">
      <c r="A777" s="180"/>
      <c r="C777" s="180"/>
    </row>
    <row r="778" ht="15.75" customHeight="1">
      <c r="A778" s="180"/>
      <c r="C778" s="180"/>
    </row>
    <row r="779" ht="15.75" customHeight="1">
      <c r="A779" s="180"/>
      <c r="C779" s="180"/>
    </row>
    <row r="780" ht="15.75" customHeight="1">
      <c r="A780" s="180"/>
      <c r="C780" s="180"/>
    </row>
    <row r="781" ht="15.75" customHeight="1">
      <c r="A781" s="180"/>
      <c r="C781" s="180"/>
    </row>
    <row r="782" ht="15.75" customHeight="1">
      <c r="A782" s="180"/>
      <c r="C782" s="180"/>
    </row>
    <row r="783" ht="15.75" customHeight="1">
      <c r="A783" s="180"/>
      <c r="C783" s="180"/>
    </row>
    <row r="784" ht="15.75" customHeight="1">
      <c r="A784" s="180"/>
      <c r="C784" s="180"/>
    </row>
    <row r="785" ht="15.75" customHeight="1">
      <c r="A785" s="180"/>
      <c r="C785" s="180"/>
    </row>
    <row r="786" ht="15.75" customHeight="1">
      <c r="A786" s="180"/>
      <c r="C786" s="180"/>
    </row>
    <row r="787" ht="15.75" customHeight="1">
      <c r="A787" s="180"/>
      <c r="C787" s="180"/>
    </row>
    <row r="788" ht="15.75" customHeight="1">
      <c r="A788" s="180"/>
      <c r="C788" s="180"/>
    </row>
    <row r="789" ht="15.75" customHeight="1">
      <c r="A789" s="180"/>
      <c r="C789" s="180"/>
    </row>
    <row r="790" ht="15.75" customHeight="1">
      <c r="A790" s="180"/>
      <c r="C790" s="180"/>
    </row>
    <row r="791" ht="15.75" customHeight="1">
      <c r="A791" s="180"/>
      <c r="C791" s="180"/>
    </row>
    <row r="792" ht="15.75" customHeight="1">
      <c r="A792" s="180"/>
      <c r="C792" s="180"/>
    </row>
    <row r="793" ht="15.75" customHeight="1">
      <c r="A793" s="180"/>
      <c r="C793" s="180"/>
    </row>
    <row r="794" ht="15.75" customHeight="1">
      <c r="A794" s="180"/>
      <c r="C794" s="180"/>
    </row>
    <row r="795" ht="15.75" customHeight="1">
      <c r="A795" s="180"/>
      <c r="C795" s="180"/>
    </row>
    <row r="796" ht="15.75" customHeight="1">
      <c r="A796" s="180"/>
      <c r="C796" s="180"/>
    </row>
    <row r="797" ht="15.75" customHeight="1">
      <c r="A797" s="180"/>
      <c r="C797" s="180"/>
    </row>
    <row r="798" ht="15.75" customHeight="1">
      <c r="A798" s="180"/>
      <c r="C798" s="180"/>
    </row>
    <row r="799" ht="15.75" customHeight="1">
      <c r="A799" s="180"/>
      <c r="C799" s="180"/>
    </row>
    <row r="800" ht="15.75" customHeight="1">
      <c r="A800" s="180"/>
      <c r="C800" s="180"/>
    </row>
    <row r="801" ht="15.75" customHeight="1">
      <c r="A801" s="180"/>
      <c r="C801" s="180"/>
    </row>
    <row r="802" ht="15.75" customHeight="1">
      <c r="A802" s="180"/>
      <c r="C802" s="180"/>
    </row>
    <row r="803" ht="15.75" customHeight="1">
      <c r="A803" s="180"/>
      <c r="C803" s="180"/>
    </row>
    <row r="804" ht="15.75" customHeight="1">
      <c r="A804" s="180"/>
      <c r="C804" s="180"/>
    </row>
    <row r="805" ht="15.75" customHeight="1">
      <c r="A805" s="180"/>
      <c r="C805" s="180"/>
    </row>
    <row r="806" ht="15.75" customHeight="1">
      <c r="A806" s="180"/>
      <c r="C806" s="180"/>
    </row>
    <row r="807" ht="15.75" customHeight="1">
      <c r="A807" s="180"/>
      <c r="C807" s="180"/>
    </row>
    <row r="808" ht="15.75" customHeight="1">
      <c r="A808" s="180"/>
      <c r="C808" s="180"/>
    </row>
    <row r="809" ht="15.75" customHeight="1">
      <c r="A809" s="180"/>
      <c r="C809" s="180"/>
    </row>
    <row r="810" ht="15.75" customHeight="1">
      <c r="A810" s="180"/>
      <c r="C810" s="180"/>
    </row>
    <row r="811" ht="15.75" customHeight="1">
      <c r="A811" s="180"/>
      <c r="C811" s="180"/>
    </row>
    <row r="812" ht="15.75" customHeight="1">
      <c r="A812" s="180"/>
      <c r="C812" s="180"/>
    </row>
    <row r="813" ht="15.75" customHeight="1">
      <c r="A813" s="180"/>
      <c r="C813" s="180"/>
    </row>
    <row r="814" ht="15.75" customHeight="1">
      <c r="A814" s="180"/>
      <c r="C814" s="180"/>
    </row>
    <row r="815" ht="15.75" customHeight="1">
      <c r="A815" s="180"/>
      <c r="C815" s="180"/>
    </row>
    <row r="816" ht="15.75" customHeight="1">
      <c r="A816" s="180"/>
      <c r="C816" s="180"/>
    </row>
    <row r="817" ht="15.75" customHeight="1">
      <c r="A817" s="180"/>
      <c r="C817" s="180"/>
    </row>
    <row r="818" ht="15.75" customHeight="1">
      <c r="A818" s="180"/>
      <c r="C818" s="180"/>
    </row>
    <row r="819" ht="15.75" customHeight="1">
      <c r="A819" s="180"/>
      <c r="C819" s="180"/>
    </row>
    <row r="820" ht="15.75" customHeight="1">
      <c r="A820" s="180"/>
      <c r="C820" s="180"/>
    </row>
    <row r="821" ht="15.75" customHeight="1">
      <c r="A821" s="180"/>
      <c r="C821" s="180"/>
    </row>
    <row r="822" ht="15.75" customHeight="1">
      <c r="A822" s="180"/>
      <c r="C822" s="180"/>
    </row>
    <row r="823" ht="15.75" customHeight="1">
      <c r="A823" s="180"/>
      <c r="C823" s="180"/>
    </row>
    <row r="824" ht="15.75" customHeight="1">
      <c r="A824" s="180"/>
      <c r="C824" s="180"/>
    </row>
    <row r="825" ht="15.75" customHeight="1">
      <c r="A825" s="180"/>
      <c r="C825" s="180"/>
    </row>
    <row r="826" ht="15.75" customHeight="1">
      <c r="A826" s="180"/>
      <c r="C826" s="180"/>
    </row>
    <row r="827" ht="15.75" customHeight="1">
      <c r="A827" s="180"/>
      <c r="C827" s="180"/>
    </row>
    <row r="828" ht="15.75" customHeight="1">
      <c r="A828" s="180"/>
      <c r="C828" s="180"/>
    </row>
    <row r="829" ht="15.75" customHeight="1">
      <c r="A829" s="180"/>
      <c r="C829" s="180"/>
    </row>
    <row r="830" ht="15.75" customHeight="1">
      <c r="A830" s="180"/>
      <c r="C830" s="180"/>
    </row>
    <row r="831" ht="15.75" customHeight="1">
      <c r="A831" s="180"/>
      <c r="C831" s="180"/>
    </row>
    <row r="832" ht="15.75" customHeight="1">
      <c r="A832" s="180"/>
      <c r="C832" s="180"/>
    </row>
    <row r="833" ht="15.75" customHeight="1">
      <c r="A833" s="180"/>
      <c r="C833" s="180"/>
    </row>
    <row r="834" ht="15.75" customHeight="1">
      <c r="A834" s="180"/>
      <c r="C834" s="180"/>
    </row>
    <row r="835" ht="15.75" customHeight="1">
      <c r="A835" s="180"/>
      <c r="C835" s="180"/>
    </row>
    <row r="836" ht="15.75" customHeight="1">
      <c r="A836" s="180"/>
      <c r="C836" s="180"/>
    </row>
    <row r="837" ht="15.75" customHeight="1">
      <c r="A837" s="180"/>
      <c r="C837" s="180"/>
    </row>
    <row r="838" ht="15.75" customHeight="1">
      <c r="A838" s="180"/>
      <c r="C838" s="180"/>
    </row>
    <row r="839" ht="15.75" customHeight="1">
      <c r="A839" s="180"/>
      <c r="C839" s="180"/>
    </row>
    <row r="840" ht="15.75" customHeight="1">
      <c r="A840" s="180"/>
      <c r="C840" s="180"/>
    </row>
    <row r="841" ht="15.75" customHeight="1">
      <c r="A841" s="180"/>
      <c r="C841" s="180"/>
    </row>
    <row r="842" ht="15.75" customHeight="1">
      <c r="A842" s="180"/>
      <c r="C842" s="180"/>
    </row>
    <row r="843" ht="15.75" customHeight="1">
      <c r="A843" s="180"/>
      <c r="C843" s="180"/>
    </row>
    <row r="844" ht="15.75" customHeight="1">
      <c r="A844" s="180"/>
      <c r="C844" s="180"/>
    </row>
    <row r="845" ht="15.75" customHeight="1">
      <c r="A845" s="180"/>
      <c r="C845" s="180"/>
    </row>
    <row r="846" ht="15.75" customHeight="1">
      <c r="A846" s="180"/>
      <c r="C846" s="180"/>
    </row>
    <row r="847" ht="15.75" customHeight="1">
      <c r="A847" s="180"/>
      <c r="C847" s="180"/>
    </row>
    <row r="848" ht="15.75" customHeight="1">
      <c r="A848" s="180"/>
      <c r="C848" s="180"/>
    </row>
    <row r="849" ht="15.75" customHeight="1">
      <c r="A849" s="180"/>
      <c r="C849" s="180"/>
    </row>
    <row r="850" ht="15.75" customHeight="1">
      <c r="A850" s="180"/>
      <c r="C850" s="180"/>
    </row>
    <row r="851" ht="15.75" customHeight="1">
      <c r="A851" s="180"/>
      <c r="C851" s="180"/>
    </row>
    <row r="852" ht="15.75" customHeight="1">
      <c r="A852" s="180"/>
      <c r="C852" s="180"/>
    </row>
    <row r="853" ht="15.75" customHeight="1">
      <c r="A853" s="180"/>
      <c r="C853" s="180"/>
    </row>
    <row r="854" ht="15.75" customHeight="1">
      <c r="A854" s="180"/>
      <c r="C854" s="180"/>
    </row>
    <row r="855" ht="15.75" customHeight="1">
      <c r="A855" s="180"/>
      <c r="C855" s="180"/>
    </row>
    <row r="856" ht="15.75" customHeight="1">
      <c r="A856" s="180"/>
      <c r="C856" s="180"/>
    </row>
    <row r="857" ht="15.75" customHeight="1">
      <c r="A857" s="180"/>
      <c r="C857" s="180"/>
    </row>
    <row r="858" ht="15.75" customHeight="1">
      <c r="A858" s="180"/>
      <c r="C858" s="180"/>
    </row>
    <row r="859" ht="15.75" customHeight="1">
      <c r="A859" s="180"/>
      <c r="C859" s="180"/>
    </row>
    <row r="860" ht="15.75" customHeight="1">
      <c r="A860" s="180"/>
      <c r="C860" s="180"/>
    </row>
    <row r="861" ht="15.75" customHeight="1">
      <c r="A861" s="180"/>
      <c r="C861" s="180"/>
    </row>
    <row r="862" ht="15.75" customHeight="1">
      <c r="A862" s="180"/>
      <c r="C862" s="180"/>
    </row>
    <row r="863" ht="15.75" customHeight="1">
      <c r="A863" s="180"/>
      <c r="C863" s="180"/>
    </row>
    <row r="864" ht="15.75" customHeight="1">
      <c r="A864" s="180"/>
      <c r="C864" s="180"/>
    </row>
    <row r="865" ht="15.75" customHeight="1">
      <c r="A865" s="180"/>
      <c r="C865" s="180"/>
    </row>
    <row r="866" ht="15.75" customHeight="1">
      <c r="A866" s="180"/>
      <c r="C866" s="180"/>
    </row>
    <row r="867" ht="15.75" customHeight="1">
      <c r="A867" s="180"/>
      <c r="C867" s="180"/>
    </row>
    <row r="868" ht="15.75" customHeight="1">
      <c r="A868" s="180"/>
      <c r="C868" s="180"/>
    </row>
    <row r="869" ht="15.75" customHeight="1">
      <c r="A869" s="180"/>
      <c r="C869" s="180"/>
    </row>
    <row r="870" ht="15.75" customHeight="1">
      <c r="A870" s="180"/>
      <c r="C870" s="180"/>
    </row>
    <row r="871" ht="15.75" customHeight="1">
      <c r="A871" s="180"/>
      <c r="C871" s="180"/>
    </row>
    <row r="872" ht="15.75" customHeight="1">
      <c r="A872" s="180"/>
      <c r="C872" s="180"/>
    </row>
    <row r="873" ht="15.75" customHeight="1">
      <c r="A873" s="180"/>
      <c r="C873" s="180"/>
    </row>
    <row r="874" ht="15.75" customHeight="1">
      <c r="A874" s="180"/>
      <c r="C874" s="180"/>
    </row>
    <row r="875" ht="15.75" customHeight="1">
      <c r="A875" s="180"/>
      <c r="C875" s="180"/>
    </row>
    <row r="876" ht="15.75" customHeight="1">
      <c r="A876" s="180"/>
      <c r="C876" s="180"/>
    </row>
    <row r="877" ht="15.75" customHeight="1">
      <c r="A877" s="180"/>
      <c r="C877" s="180"/>
    </row>
    <row r="878" ht="15.75" customHeight="1">
      <c r="A878" s="180"/>
      <c r="C878" s="180"/>
    </row>
    <row r="879" ht="15.75" customHeight="1">
      <c r="A879" s="180"/>
      <c r="C879" s="180"/>
    </row>
    <row r="880" ht="15.75" customHeight="1">
      <c r="A880" s="180"/>
      <c r="C880" s="180"/>
    </row>
    <row r="881" ht="15.75" customHeight="1">
      <c r="A881" s="180"/>
      <c r="C881" s="180"/>
    </row>
    <row r="882" ht="15.75" customHeight="1">
      <c r="A882" s="180"/>
      <c r="C882" s="180"/>
    </row>
    <row r="883" ht="15.75" customHeight="1">
      <c r="A883" s="180"/>
      <c r="C883" s="180"/>
    </row>
    <row r="884" ht="15.75" customHeight="1">
      <c r="A884" s="180"/>
      <c r="C884" s="180"/>
    </row>
    <row r="885" ht="15.75" customHeight="1">
      <c r="A885" s="180"/>
      <c r="C885" s="180"/>
    </row>
    <row r="886" ht="15.75" customHeight="1">
      <c r="A886" s="180"/>
      <c r="C886" s="180"/>
    </row>
    <row r="887" ht="15.75" customHeight="1">
      <c r="A887" s="180"/>
      <c r="C887" s="180"/>
    </row>
    <row r="888" ht="15.75" customHeight="1">
      <c r="A888" s="180"/>
      <c r="C888" s="180"/>
    </row>
    <row r="889" ht="15.75" customHeight="1">
      <c r="A889" s="180"/>
      <c r="C889" s="180"/>
    </row>
    <row r="890" ht="15.75" customHeight="1">
      <c r="A890" s="180"/>
      <c r="C890" s="180"/>
    </row>
    <row r="891" ht="15.75" customHeight="1">
      <c r="A891" s="180"/>
      <c r="C891" s="180"/>
    </row>
    <row r="892" ht="15.75" customHeight="1">
      <c r="A892" s="180"/>
      <c r="C892" s="180"/>
    </row>
    <row r="893" ht="15.75" customHeight="1">
      <c r="A893" s="180"/>
      <c r="C893" s="180"/>
    </row>
    <row r="894" ht="15.75" customHeight="1">
      <c r="A894" s="180"/>
      <c r="C894" s="180"/>
    </row>
    <row r="895" ht="15.75" customHeight="1">
      <c r="A895" s="180"/>
      <c r="C895" s="180"/>
    </row>
    <row r="896" ht="15.75" customHeight="1">
      <c r="A896" s="180"/>
      <c r="C896" s="180"/>
    </row>
    <row r="897" ht="15.75" customHeight="1">
      <c r="A897" s="180"/>
      <c r="C897" s="180"/>
    </row>
    <row r="898" ht="15.75" customHeight="1">
      <c r="A898" s="180"/>
      <c r="C898" s="180"/>
    </row>
    <row r="899" ht="15.75" customHeight="1">
      <c r="A899" s="180"/>
      <c r="C899" s="180"/>
    </row>
    <row r="900" ht="15.75" customHeight="1">
      <c r="A900" s="180"/>
      <c r="C900" s="180"/>
    </row>
    <row r="901" ht="15.75" customHeight="1">
      <c r="A901" s="180"/>
      <c r="C901" s="180"/>
    </row>
    <row r="902" ht="15.75" customHeight="1">
      <c r="A902" s="180"/>
      <c r="C902" s="180"/>
    </row>
    <row r="903" ht="15.75" customHeight="1">
      <c r="A903" s="180"/>
      <c r="C903" s="180"/>
    </row>
    <row r="904" ht="15.75" customHeight="1">
      <c r="A904" s="180"/>
      <c r="C904" s="180"/>
    </row>
    <row r="905" ht="15.75" customHeight="1">
      <c r="A905" s="180"/>
      <c r="C905" s="180"/>
    </row>
    <row r="906" ht="15.75" customHeight="1">
      <c r="A906" s="180"/>
      <c r="C906" s="180"/>
    </row>
    <row r="907" ht="15.75" customHeight="1">
      <c r="A907" s="180"/>
      <c r="C907" s="180"/>
    </row>
    <row r="908" ht="15.75" customHeight="1">
      <c r="A908" s="180"/>
      <c r="C908" s="180"/>
    </row>
    <row r="909" ht="15.75" customHeight="1">
      <c r="A909" s="180"/>
      <c r="C909" s="180"/>
    </row>
    <row r="910" ht="15.75" customHeight="1">
      <c r="A910" s="180"/>
      <c r="C910" s="180"/>
    </row>
    <row r="911" ht="15.75" customHeight="1">
      <c r="A911" s="180"/>
      <c r="C911" s="180"/>
    </row>
    <row r="912" ht="15.75" customHeight="1">
      <c r="A912" s="180"/>
      <c r="C912" s="180"/>
    </row>
    <row r="913" ht="15.75" customHeight="1">
      <c r="A913" s="180"/>
      <c r="C913" s="180"/>
    </row>
    <row r="914" ht="15.75" customHeight="1">
      <c r="A914" s="180"/>
      <c r="C914" s="180"/>
    </row>
    <row r="915" ht="15.75" customHeight="1">
      <c r="A915" s="180"/>
      <c r="C915" s="180"/>
    </row>
    <row r="916" ht="15.75" customHeight="1">
      <c r="A916" s="180"/>
      <c r="C916" s="180"/>
    </row>
    <row r="917" ht="15.75" customHeight="1">
      <c r="A917" s="180"/>
      <c r="C917" s="180"/>
    </row>
    <row r="918" ht="15.75" customHeight="1">
      <c r="A918" s="180"/>
      <c r="C918" s="180"/>
    </row>
    <row r="919" ht="15.75" customHeight="1">
      <c r="A919" s="180"/>
      <c r="C919" s="180"/>
    </row>
    <row r="920" ht="15.75" customHeight="1">
      <c r="A920" s="180"/>
      <c r="C920" s="180"/>
    </row>
    <row r="921" ht="15.75" customHeight="1">
      <c r="A921" s="180"/>
      <c r="C921" s="180"/>
    </row>
    <row r="922" ht="15.75" customHeight="1">
      <c r="A922" s="180"/>
      <c r="C922" s="180"/>
    </row>
    <row r="923" ht="15.75" customHeight="1">
      <c r="A923" s="180"/>
      <c r="C923" s="180"/>
    </row>
    <row r="924" ht="15.75" customHeight="1">
      <c r="A924" s="180"/>
      <c r="C924" s="180"/>
    </row>
    <row r="925" ht="15.75" customHeight="1">
      <c r="A925" s="180"/>
      <c r="C925" s="180"/>
    </row>
    <row r="926" ht="15.75" customHeight="1">
      <c r="A926" s="180"/>
      <c r="C926" s="180"/>
    </row>
    <row r="927" ht="15.75" customHeight="1">
      <c r="A927" s="180"/>
      <c r="C927" s="180"/>
    </row>
    <row r="928" ht="15.75" customHeight="1">
      <c r="A928" s="180"/>
      <c r="C928" s="180"/>
    </row>
    <row r="929" ht="15.75" customHeight="1">
      <c r="A929" s="180"/>
      <c r="C929" s="180"/>
    </row>
    <row r="930" ht="15.75" customHeight="1">
      <c r="A930" s="180"/>
      <c r="C930" s="180"/>
    </row>
    <row r="931" ht="15.75" customHeight="1">
      <c r="A931" s="180"/>
      <c r="C931" s="180"/>
    </row>
    <row r="932" ht="15.75" customHeight="1">
      <c r="A932" s="180"/>
      <c r="C932" s="180"/>
    </row>
    <row r="933" ht="15.75" customHeight="1">
      <c r="A933" s="180"/>
      <c r="C933" s="180"/>
    </row>
    <row r="934" ht="15.75" customHeight="1">
      <c r="A934" s="180"/>
      <c r="C934" s="180"/>
    </row>
    <row r="935" ht="15.75" customHeight="1">
      <c r="A935" s="180"/>
      <c r="C935" s="180"/>
    </row>
    <row r="936" ht="15.75" customHeight="1">
      <c r="A936" s="180"/>
      <c r="C936" s="180"/>
    </row>
    <row r="937" ht="15.75" customHeight="1">
      <c r="A937" s="180"/>
      <c r="C937" s="180"/>
    </row>
    <row r="938" ht="15.75" customHeight="1">
      <c r="A938" s="180"/>
      <c r="C938" s="180"/>
    </row>
    <row r="939" ht="15.75" customHeight="1">
      <c r="A939" s="180"/>
      <c r="C939" s="180"/>
    </row>
    <row r="940" ht="15.75" customHeight="1">
      <c r="A940" s="180"/>
      <c r="C940" s="180"/>
    </row>
    <row r="941" ht="15.75" customHeight="1">
      <c r="A941" s="180"/>
      <c r="C941" s="180"/>
    </row>
    <row r="942" ht="15.75" customHeight="1">
      <c r="A942" s="180"/>
      <c r="C942" s="180"/>
    </row>
    <row r="943" ht="15.75" customHeight="1">
      <c r="A943" s="180"/>
      <c r="C943" s="180"/>
    </row>
    <row r="944" ht="15.75" customHeight="1">
      <c r="A944" s="180"/>
      <c r="C944" s="180"/>
    </row>
    <row r="945" ht="15.75" customHeight="1">
      <c r="A945" s="180"/>
      <c r="C945" s="180"/>
    </row>
    <row r="946" ht="15.75" customHeight="1">
      <c r="A946" s="180"/>
      <c r="C946" s="180"/>
    </row>
    <row r="947" ht="15.75" customHeight="1">
      <c r="A947" s="180"/>
      <c r="C947" s="180"/>
    </row>
    <row r="948" ht="15.75" customHeight="1">
      <c r="A948" s="180"/>
      <c r="C948" s="180"/>
    </row>
    <row r="949" ht="15.75" customHeight="1">
      <c r="A949" s="180"/>
      <c r="C949" s="180"/>
    </row>
    <row r="950" ht="15.75" customHeight="1">
      <c r="A950" s="180"/>
      <c r="C950" s="180"/>
    </row>
    <row r="951" ht="15.75" customHeight="1">
      <c r="A951" s="180"/>
      <c r="C951" s="180"/>
    </row>
    <row r="952" ht="15.75" customHeight="1">
      <c r="A952" s="180"/>
      <c r="C952" s="180"/>
    </row>
    <row r="953" ht="15.75" customHeight="1">
      <c r="A953" s="180"/>
      <c r="C953" s="180"/>
    </row>
    <row r="954" ht="15.75" customHeight="1">
      <c r="A954" s="180"/>
      <c r="C954" s="180"/>
    </row>
    <row r="955" ht="15.75" customHeight="1">
      <c r="A955" s="180"/>
      <c r="C955" s="180"/>
    </row>
    <row r="956" ht="15.75" customHeight="1">
      <c r="A956" s="180"/>
      <c r="C956" s="180"/>
    </row>
    <row r="957" ht="15.75" customHeight="1">
      <c r="A957" s="180"/>
      <c r="C957" s="180"/>
    </row>
    <row r="958" ht="15.75" customHeight="1">
      <c r="A958" s="180"/>
      <c r="C958" s="180"/>
    </row>
    <row r="959" ht="15.75" customHeight="1">
      <c r="A959" s="180"/>
      <c r="C959" s="180"/>
    </row>
    <row r="960" ht="15.75" customHeight="1">
      <c r="A960" s="180"/>
      <c r="C960" s="180"/>
    </row>
    <row r="961" ht="15.75" customHeight="1">
      <c r="A961" s="180"/>
      <c r="C961" s="180"/>
    </row>
    <row r="962" ht="15.75" customHeight="1">
      <c r="A962" s="180"/>
      <c r="C962" s="180"/>
    </row>
    <row r="963" ht="15.75" customHeight="1">
      <c r="A963" s="180"/>
      <c r="C963" s="180"/>
    </row>
    <row r="964" ht="15.75" customHeight="1">
      <c r="A964" s="180"/>
      <c r="C964" s="180"/>
    </row>
    <row r="965" ht="15.75" customHeight="1">
      <c r="A965" s="180"/>
      <c r="C965" s="180"/>
    </row>
    <row r="966" ht="15.75" customHeight="1">
      <c r="A966" s="180"/>
      <c r="C966" s="180"/>
    </row>
    <row r="967" ht="15.75" customHeight="1">
      <c r="A967" s="180"/>
      <c r="C967" s="180"/>
    </row>
    <row r="968" ht="15.75" customHeight="1">
      <c r="A968" s="180"/>
      <c r="C968" s="180"/>
    </row>
    <row r="969" ht="15.75" customHeight="1">
      <c r="A969" s="180"/>
      <c r="C969" s="180"/>
    </row>
    <row r="970" ht="15.75" customHeight="1">
      <c r="A970" s="180"/>
      <c r="C970" s="180"/>
    </row>
    <row r="971" ht="15.75" customHeight="1">
      <c r="A971" s="180"/>
      <c r="C971" s="180"/>
    </row>
    <row r="972" ht="15.75" customHeight="1">
      <c r="A972" s="180"/>
      <c r="C972" s="180"/>
    </row>
    <row r="973" ht="15.75" customHeight="1">
      <c r="A973" s="180"/>
      <c r="C973" s="180"/>
    </row>
    <row r="974" ht="15.75" customHeight="1">
      <c r="A974" s="180"/>
      <c r="C974" s="180"/>
    </row>
    <row r="975" ht="15.75" customHeight="1">
      <c r="A975" s="180"/>
      <c r="C975" s="180"/>
    </row>
    <row r="976" ht="15.75" customHeight="1">
      <c r="A976" s="180"/>
      <c r="C976" s="180"/>
    </row>
    <row r="977" ht="15.75" customHeight="1">
      <c r="A977" s="180"/>
      <c r="C977" s="180"/>
    </row>
    <row r="978" ht="15.75" customHeight="1">
      <c r="A978" s="180"/>
      <c r="C978" s="180"/>
    </row>
    <row r="979" ht="15.75" customHeight="1">
      <c r="A979" s="180"/>
      <c r="C979" s="180"/>
    </row>
    <row r="980" ht="15.75" customHeight="1">
      <c r="A980" s="180"/>
      <c r="C980" s="180"/>
    </row>
    <row r="981" ht="15.75" customHeight="1">
      <c r="A981" s="180"/>
      <c r="C981" s="180"/>
    </row>
    <row r="982" ht="15.75" customHeight="1">
      <c r="A982" s="180"/>
      <c r="C982" s="180"/>
    </row>
    <row r="983" ht="15.75" customHeight="1">
      <c r="A983" s="180"/>
      <c r="C983" s="180"/>
    </row>
    <row r="984" ht="15.75" customHeight="1">
      <c r="A984" s="180"/>
      <c r="C984" s="180"/>
    </row>
    <row r="985" ht="15.75" customHeight="1">
      <c r="A985" s="180"/>
      <c r="C985" s="180"/>
    </row>
    <row r="986" ht="15.75" customHeight="1">
      <c r="A986" s="180"/>
      <c r="C986" s="180"/>
    </row>
    <row r="987" ht="15.75" customHeight="1">
      <c r="A987" s="180"/>
      <c r="C987" s="180"/>
    </row>
    <row r="988" ht="15.75" customHeight="1">
      <c r="A988" s="180"/>
      <c r="C988" s="180"/>
    </row>
    <row r="989" ht="15.75" customHeight="1">
      <c r="A989" s="180"/>
      <c r="C989" s="180"/>
    </row>
    <row r="990" ht="15.75" customHeight="1">
      <c r="A990" s="180"/>
      <c r="C990" s="180"/>
    </row>
    <row r="991" ht="15.75" customHeight="1">
      <c r="A991" s="180"/>
      <c r="C991" s="180"/>
    </row>
    <row r="992" ht="15.75" customHeight="1">
      <c r="A992" s="180"/>
      <c r="C992" s="180"/>
    </row>
    <row r="993" ht="15.75" customHeight="1">
      <c r="A993" s="180"/>
      <c r="C993" s="180"/>
    </row>
    <row r="994" ht="15.75" customHeight="1">
      <c r="A994" s="180"/>
      <c r="C994" s="180"/>
    </row>
    <row r="995" ht="15.75" customHeight="1">
      <c r="A995" s="180"/>
      <c r="C995" s="180"/>
    </row>
    <row r="996" ht="15.75" customHeight="1">
      <c r="A996" s="180"/>
      <c r="C996" s="180"/>
    </row>
    <row r="997" ht="15.75" customHeight="1">
      <c r="A997" s="180"/>
      <c r="C997" s="180"/>
    </row>
    <row r="998" ht="15.75" customHeight="1">
      <c r="A998" s="180"/>
      <c r="C998" s="180"/>
    </row>
    <row r="999" ht="15.75" customHeight="1">
      <c r="A999" s="180"/>
      <c r="C999" s="180"/>
    </row>
    <row r="1000" ht="15.75" customHeight="1">
      <c r="A1000" s="180"/>
      <c r="C1000" s="180"/>
    </row>
    <row r="1001" ht="15.75" customHeight="1">
      <c r="A1001" s="180"/>
      <c r="C1001" s="180"/>
    </row>
    <row r="1002" ht="15.75" customHeight="1">
      <c r="A1002" s="180"/>
      <c r="C1002" s="180"/>
    </row>
    <row r="1003" ht="15.75" customHeight="1">
      <c r="A1003" s="180"/>
      <c r="C1003" s="180"/>
    </row>
    <row r="1004" ht="15.75" customHeight="1">
      <c r="A1004" s="180"/>
      <c r="C1004" s="180"/>
    </row>
    <row r="1005" ht="15.75" customHeight="1">
      <c r="A1005" s="180"/>
      <c r="C1005" s="180"/>
    </row>
    <row r="1006" ht="15.75" customHeight="1">
      <c r="A1006" s="180"/>
      <c r="C1006" s="180"/>
    </row>
    <row r="1007" ht="15.75" customHeight="1">
      <c r="A1007" s="180"/>
      <c r="C1007" s="180"/>
    </row>
    <row r="1008" ht="15.75" customHeight="1">
      <c r="A1008" s="180"/>
      <c r="C1008" s="180"/>
    </row>
    <row r="1009" ht="15.75" customHeight="1">
      <c r="A1009" s="180"/>
      <c r="C1009" s="180"/>
    </row>
    <row r="1010" ht="15.75" customHeight="1">
      <c r="A1010" s="180"/>
      <c r="C1010" s="180"/>
    </row>
    <row r="1011" ht="15.75" customHeight="1">
      <c r="A1011" s="180"/>
      <c r="C1011" s="180"/>
    </row>
    <row r="1012" ht="15.75" customHeight="1">
      <c r="A1012" s="180"/>
      <c r="C1012" s="180"/>
    </row>
    <row r="1013" ht="15.75" customHeight="1">
      <c r="A1013" s="180"/>
      <c r="C1013" s="180"/>
    </row>
    <row r="1014" ht="15.75" customHeight="1">
      <c r="A1014" s="180"/>
      <c r="C1014" s="180"/>
    </row>
    <row r="1015" ht="15.75" customHeight="1">
      <c r="A1015" s="180"/>
      <c r="C1015" s="180"/>
    </row>
    <row r="1016" ht="15.75" customHeight="1">
      <c r="A1016" s="180"/>
      <c r="C1016" s="180"/>
    </row>
  </sheetData>
  <mergeCells count="3">
    <mergeCell ref="A5:A11"/>
    <mergeCell ref="A12:A28"/>
    <mergeCell ref="A30:A40"/>
  </mergeCells>
  <dataValidations>
    <dataValidation type="list" allowBlank="1" showErrorMessage="1" sqref="D13:D18 D62:D66">
      <formula1>"Text,Numeric,Image,Single select,Multiple select,Date,Autocalculate,Autocapture"</formula1>
    </dataValidation>
    <dataValidation type="list" allowBlank="1" showErrorMessage="1" sqref="E2:E40 E62:E66">
      <formula1>"yes,no"</formula1>
    </dataValidation>
    <dataValidation type="list" allowBlank="1" showErrorMessage="1" sqref="D9:D12">
      <formula1>"Text,Numeric,Image,Single Select,Multi select"</formula1>
    </dataValidation>
    <dataValidation type="list" allowBlank="1" showErrorMessage="1" sqref="D2:D8 D19:D40">
      <formula1>"Text,Numeric,Image,single Select,Multi select,Date,Autocalculate"</formula1>
    </dataValidation>
  </dataValidations>
  <printOptions/>
  <pageMargins bottom="0.75" footer="0.0" header="0.0" left="0.7" right="0.7" top="0.75"/>
  <pageSetup orientation="landscape"/>
  <drawing r:id="rId4"/>
  <legacy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19.0"/>
    <col customWidth="1" min="2" max="2" width="8.5"/>
    <col customWidth="1" min="3" max="3" width="29.0"/>
    <col customWidth="1" min="4" max="4" width="31.13"/>
    <col customWidth="1" min="5" max="5" width="19.25"/>
    <col customWidth="1" min="6" max="6" width="76.0"/>
    <col customWidth="1" min="10" max="10" width="40.88"/>
    <col customWidth="1" min="11" max="11" width="61.25"/>
  </cols>
  <sheetData>
    <row r="1" ht="15.75" customHeight="1">
      <c r="A1" s="280"/>
      <c r="B1" s="281"/>
      <c r="C1" s="281"/>
      <c r="D1" s="281"/>
      <c r="E1" s="281"/>
      <c r="F1" s="281"/>
      <c r="G1" s="281"/>
      <c r="H1" s="281"/>
      <c r="I1" s="281"/>
      <c r="J1" s="281"/>
      <c r="K1" s="281"/>
      <c r="L1" s="281"/>
      <c r="M1" s="282"/>
      <c r="N1" s="282"/>
      <c r="O1" s="282"/>
      <c r="P1" s="149"/>
      <c r="Q1" s="149"/>
      <c r="R1" s="149"/>
      <c r="S1" s="149"/>
      <c r="T1" s="149"/>
      <c r="U1" s="149"/>
      <c r="V1" s="149"/>
      <c r="W1" s="149"/>
      <c r="X1" s="149"/>
      <c r="Y1" s="149"/>
      <c r="Z1" s="149"/>
      <c r="AA1" s="149"/>
      <c r="AB1" s="149"/>
    </row>
    <row r="2" ht="15.75" customHeight="1">
      <c r="A2" s="183" t="s">
        <v>631</v>
      </c>
      <c r="B2" s="147" t="s">
        <v>632</v>
      </c>
      <c r="C2" s="147" t="s">
        <v>633</v>
      </c>
      <c r="D2" s="147" t="s">
        <v>634</v>
      </c>
      <c r="E2" s="147" t="s">
        <v>824</v>
      </c>
      <c r="F2" s="147" t="s">
        <v>637</v>
      </c>
      <c r="G2" s="147" t="s">
        <v>638</v>
      </c>
      <c r="H2" s="147" t="s">
        <v>639</v>
      </c>
      <c r="I2" s="147" t="s">
        <v>640</v>
      </c>
      <c r="J2" s="147" t="s">
        <v>641</v>
      </c>
      <c r="K2" s="147" t="s">
        <v>642</v>
      </c>
      <c r="L2" s="147" t="s">
        <v>722</v>
      </c>
      <c r="M2" s="184" t="s">
        <v>723</v>
      </c>
      <c r="N2" s="184" t="s">
        <v>724</v>
      </c>
      <c r="O2" s="184" t="s">
        <v>725</v>
      </c>
      <c r="P2" s="149"/>
      <c r="Q2" s="149"/>
      <c r="R2" s="149"/>
      <c r="S2" s="149"/>
      <c r="T2" s="149"/>
      <c r="U2" s="149"/>
      <c r="V2" s="149"/>
      <c r="W2" s="149"/>
      <c r="X2" s="149"/>
      <c r="Y2" s="149"/>
      <c r="Z2" s="149"/>
      <c r="AA2" s="149"/>
      <c r="AB2" s="149"/>
    </row>
    <row r="3" ht="15.75" customHeight="1">
      <c r="A3" s="283" t="s">
        <v>1132</v>
      </c>
      <c r="B3" s="166"/>
      <c r="C3" s="284" t="s">
        <v>1133</v>
      </c>
      <c r="D3" s="171" t="s">
        <v>649</v>
      </c>
      <c r="E3" s="166" t="s">
        <v>728</v>
      </c>
      <c r="F3" s="166"/>
      <c r="G3" s="166"/>
      <c r="H3" s="166"/>
      <c r="I3" s="166"/>
      <c r="J3" s="166"/>
      <c r="K3" s="166"/>
      <c r="L3" s="166"/>
      <c r="M3" s="166"/>
      <c r="N3" s="166"/>
      <c r="O3" s="166"/>
      <c r="P3" s="170"/>
      <c r="Q3" s="170"/>
      <c r="R3" s="170"/>
      <c r="S3" s="170"/>
      <c r="T3" s="170"/>
      <c r="U3" s="170"/>
      <c r="V3" s="170"/>
      <c r="W3" s="170"/>
      <c r="X3" s="170"/>
      <c r="Y3" s="170"/>
      <c r="Z3" s="170"/>
      <c r="AA3" s="170"/>
      <c r="AB3" s="170"/>
    </row>
    <row r="4" ht="35.25" customHeight="1">
      <c r="A4" s="26"/>
      <c r="B4" s="156"/>
      <c r="C4" s="137" t="s">
        <v>919</v>
      </c>
      <c r="D4" s="151" t="s">
        <v>912</v>
      </c>
      <c r="E4" s="151" t="s">
        <v>728</v>
      </c>
      <c r="F4" s="151"/>
      <c r="G4" s="151"/>
      <c r="H4" s="151"/>
      <c r="I4" s="151"/>
      <c r="J4" s="156" t="s">
        <v>1134</v>
      </c>
      <c r="K4" s="156"/>
      <c r="L4" s="151"/>
      <c r="M4" s="151"/>
      <c r="N4" s="151"/>
      <c r="O4" s="151"/>
    </row>
    <row r="5" ht="15.75" customHeight="1">
      <c r="A5" s="26"/>
      <c r="B5" s="151"/>
      <c r="C5" s="137" t="s">
        <v>1135</v>
      </c>
      <c r="D5" s="156" t="s">
        <v>1136</v>
      </c>
      <c r="E5" s="151"/>
      <c r="F5" s="151"/>
      <c r="G5" s="151"/>
      <c r="H5" s="151"/>
      <c r="I5" s="151"/>
      <c r="J5" s="151"/>
      <c r="K5" s="42" t="s">
        <v>1137</v>
      </c>
      <c r="L5" s="151"/>
      <c r="M5" s="151"/>
      <c r="N5" s="151"/>
      <c r="O5" s="151"/>
    </row>
    <row r="6" ht="26.25" customHeight="1">
      <c r="A6" s="26"/>
      <c r="B6" s="151"/>
      <c r="C6" s="137" t="s">
        <v>1138</v>
      </c>
      <c r="D6" s="151" t="s">
        <v>912</v>
      </c>
      <c r="E6" s="151" t="s">
        <v>728</v>
      </c>
      <c r="F6" s="151"/>
      <c r="G6" s="151"/>
      <c r="H6" s="151"/>
      <c r="I6" s="151"/>
      <c r="J6" s="156" t="s">
        <v>1082</v>
      </c>
      <c r="K6" s="151"/>
      <c r="L6" s="151"/>
      <c r="M6" s="151"/>
      <c r="N6" s="151"/>
      <c r="O6" s="151"/>
    </row>
    <row r="7" ht="15.75" customHeight="1">
      <c r="A7" s="26"/>
      <c r="B7" s="151"/>
      <c r="C7" s="137" t="s">
        <v>1139</v>
      </c>
      <c r="D7" s="156" t="s">
        <v>646</v>
      </c>
      <c r="E7" s="151" t="s">
        <v>728</v>
      </c>
      <c r="F7" s="134" t="s">
        <v>1140</v>
      </c>
      <c r="G7" s="151"/>
      <c r="H7" s="151"/>
      <c r="I7" s="151"/>
      <c r="J7" s="151"/>
      <c r="K7" s="156"/>
      <c r="L7" s="151"/>
      <c r="M7" s="151"/>
      <c r="N7" s="151"/>
      <c r="O7" s="151"/>
    </row>
    <row r="8" ht="15.75" customHeight="1">
      <c r="A8" s="26"/>
      <c r="B8" s="151"/>
      <c r="C8" s="137" t="s">
        <v>1141</v>
      </c>
      <c r="D8" s="151" t="s">
        <v>912</v>
      </c>
      <c r="E8" s="151" t="s">
        <v>728</v>
      </c>
      <c r="F8" s="151"/>
      <c r="G8" s="151"/>
      <c r="H8" s="151"/>
      <c r="I8" s="151"/>
      <c r="J8" s="156" t="s">
        <v>673</v>
      </c>
      <c r="L8" s="151"/>
      <c r="M8" s="151"/>
      <c r="N8" s="151"/>
      <c r="O8" s="151"/>
    </row>
    <row r="9" ht="15.75" customHeight="1">
      <c r="A9" s="26"/>
      <c r="B9" s="151"/>
      <c r="C9" s="137" t="s">
        <v>1142</v>
      </c>
      <c r="D9" s="151" t="s">
        <v>912</v>
      </c>
      <c r="E9" s="151" t="s">
        <v>728</v>
      </c>
      <c r="F9" s="151"/>
      <c r="G9" s="151"/>
      <c r="H9" s="151"/>
      <c r="I9" s="151"/>
      <c r="J9" s="156" t="s">
        <v>673</v>
      </c>
      <c r="K9" s="151"/>
      <c r="L9" s="151"/>
      <c r="M9" s="151"/>
      <c r="N9" s="151"/>
      <c r="O9" s="151"/>
    </row>
    <row r="10" ht="15.75" customHeight="1">
      <c r="A10" s="26"/>
      <c r="B10" s="137"/>
      <c r="C10" s="137" t="s">
        <v>1143</v>
      </c>
      <c r="D10" s="151" t="s">
        <v>912</v>
      </c>
      <c r="E10" s="151" t="s">
        <v>728</v>
      </c>
      <c r="F10" s="138"/>
      <c r="G10" s="138"/>
      <c r="H10" s="138"/>
      <c r="I10" s="138"/>
      <c r="J10" s="141" t="s">
        <v>673</v>
      </c>
      <c r="K10" s="138"/>
      <c r="L10" s="138"/>
      <c r="M10" s="138"/>
      <c r="N10" s="138"/>
      <c r="O10" s="138"/>
    </row>
    <row r="11" ht="15.75" customHeight="1">
      <c r="A11" s="26"/>
      <c r="B11" s="137"/>
      <c r="C11" s="137" t="s">
        <v>1144</v>
      </c>
      <c r="D11" s="151" t="s">
        <v>912</v>
      </c>
      <c r="E11" s="151" t="s">
        <v>728</v>
      </c>
      <c r="F11" s="138"/>
      <c r="G11" s="138"/>
      <c r="H11" s="138"/>
      <c r="I11" s="138"/>
      <c r="J11" s="141" t="s">
        <v>673</v>
      </c>
      <c r="K11" s="138"/>
      <c r="L11" s="138"/>
      <c r="M11" s="138"/>
      <c r="N11" s="138"/>
      <c r="O11" s="138"/>
    </row>
    <row r="12" ht="15.75" customHeight="1">
      <c r="A12" s="26"/>
      <c r="B12" s="137"/>
      <c r="C12" s="137" t="s">
        <v>1145</v>
      </c>
      <c r="D12" s="156" t="s">
        <v>912</v>
      </c>
      <c r="E12" s="156" t="s">
        <v>728</v>
      </c>
      <c r="F12" s="151"/>
      <c r="G12" s="151"/>
      <c r="H12" s="151"/>
      <c r="I12" s="151"/>
      <c r="J12" s="141" t="s">
        <v>673</v>
      </c>
      <c r="K12" s="151"/>
      <c r="L12" s="151"/>
      <c r="M12" s="151"/>
      <c r="N12" s="151"/>
      <c r="O12" s="151"/>
    </row>
    <row r="13" ht="15.75" customHeight="1">
      <c r="A13" s="26"/>
      <c r="B13" s="137"/>
      <c r="C13" s="207" t="s">
        <v>1146</v>
      </c>
      <c r="D13" s="156" t="s">
        <v>851</v>
      </c>
      <c r="E13" s="156" t="s">
        <v>728</v>
      </c>
      <c r="F13" s="134" t="s">
        <v>1147</v>
      </c>
      <c r="G13" s="151"/>
      <c r="H13" s="151"/>
      <c r="I13" s="151"/>
      <c r="J13" s="156" t="s">
        <v>1148</v>
      </c>
      <c r="K13" s="151"/>
      <c r="L13" s="151"/>
      <c r="M13" s="151"/>
      <c r="N13" s="151"/>
      <c r="O13" s="151"/>
    </row>
    <row r="14" ht="15.75" customHeight="1">
      <c r="A14" s="26"/>
      <c r="B14" s="137"/>
      <c r="C14" s="151" t="s">
        <v>1149</v>
      </c>
      <c r="D14" s="151" t="s">
        <v>912</v>
      </c>
      <c r="E14" s="151" t="s">
        <v>728</v>
      </c>
      <c r="F14" s="151"/>
      <c r="G14" s="151"/>
      <c r="H14" s="151"/>
      <c r="I14" s="151"/>
      <c r="J14" s="156" t="s">
        <v>1150</v>
      </c>
      <c r="K14" s="151"/>
      <c r="L14" s="151"/>
      <c r="M14" s="151"/>
      <c r="N14" s="151"/>
      <c r="O14" s="151"/>
    </row>
    <row r="15" ht="15.75" customHeight="1">
      <c r="A15" s="27"/>
      <c r="B15" s="137"/>
      <c r="C15" s="151" t="s">
        <v>956</v>
      </c>
      <c r="D15" s="151" t="s">
        <v>646</v>
      </c>
      <c r="E15" s="151" t="s">
        <v>730</v>
      </c>
      <c r="F15" s="151"/>
      <c r="G15" s="151"/>
      <c r="H15" s="151"/>
      <c r="I15" s="151"/>
      <c r="J15" s="156" t="s">
        <v>1082</v>
      </c>
      <c r="K15" s="151"/>
      <c r="L15" s="151"/>
      <c r="M15" s="151"/>
      <c r="N15" s="151"/>
      <c r="O15" s="151"/>
    </row>
    <row r="16" ht="15.75" customHeight="1">
      <c r="A16" s="285" t="s">
        <v>1151</v>
      </c>
      <c r="B16" s="137"/>
      <c r="C16" s="286" t="s">
        <v>1152</v>
      </c>
      <c r="D16" s="162" t="s">
        <v>912</v>
      </c>
      <c r="E16" s="162"/>
      <c r="F16" s="193"/>
      <c r="G16" s="158"/>
      <c r="H16" s="158"/>
      <c r="I16" s="158"/>
      <c r="J16" s="158"/>
      <c r="K16" s="162"/>
      <c r="L16" s="158"/>
      <c r="M16" s="158"/>
      <c r="N16" s="158"/>
      <c r="O16" s="158"/>
      <c r="P16" s="163"/>
      <c r="Q16" s="163"/>
      <c r="R16" s="163"/>
      <c r="S16" s="163"/>
      <c r="T16" s="163"/>
      <c r="U16" s="163"/>
      <c r="V16" s="163"/>
      <c r="W16" s="163"/>
      <c r="X16" s="163"/>
      <c r="Y16" s="163"/>
      <c r="Z16" s="163"/>
      <c r="AA16" s="163"/>
      <c r="AB16" s="163"/>
    </row>
    <row r="17" ht="15.75" customHeight="1">
      <c r="A17" s="26"/>
      <c r="B17" s="137"/>
      <c r="C17" s="137" t="s">
        <v>1153</v>
      </c>
      <c r="D17" s="156" t="s">
        <v>649</v>
      </c>
      <c r="E17" s="156" t="s">
        <v>728</v>
      </c>
      <c r="G17" s="193" t="s">
        <v>1154</v>
      </c>
      <c r="H17" s="151"/>
      <c r="I17" s="151"/>
      <c r="J17" s="151"/>
      <c r="K17" s="156" t="s">
        <v>1155</v>
      </c>
      <c r="L17" s="151"/>
      <c r="M17" s="151"/>
      <c r="N17" s="151"/>
      <c r="O17" s="151"/>
    </row>
    <row r="18" ht="360.0" customHeight="1">
      <c r="A18" s="26"/>
      <c r="B18" s="137"/>
      <c r="C18" s="137" t="s">
        <v>1156</v>
      </c>
      <c r="D18" s="156" t="s">
        <v>1157</v>
      </c>
      <c r="E18" s="156" t="s">
        <v>728</v>
      </c>
      <c r="G18" s="193" t="s">
        <v>1154</v>
      </c>
      <c r="H18" s="151"/>
      <c r="I18" s="151"/>
      <c r="J18" s="151"/>
      <c r="K18" s="156" t="s">
        <v>1158</v>
      </c>
      <c r="L18" s="151"/>
      <c r="M18" s="151"/>
      <c r="N18" s="151"/>
      <c r="O18" s="151"/>
    </row>
    <row r="19" ht="113.25" customHeight="1">
      <c r="A19" s="26"/>
      <c r="B19" s="137"/>
      <c r="C19" s="137" t="s">
        <v>1159</v>
      </c>
      <c r="D19" s="156" t="s">
        <v>1136</v>
      </c>
      <c r="E19" s="156" t="s">
        <v>728</v>
      </c>
      <c r="G19" s="193" t="s">
        <v>1154</v>
      </c>
      <c r="H19" s="151"/>
      <c r="I19" s="151"/>
      <c r="J19" s="151"/>
      <c r="K19" s="156" t="s">
        <v>1160</v>
      </c>
      <c r="L19" s="151"/>
      <c r="M19" s="151"/>
      <c r="N19" s="151"/>
      <c r="O19" s="151"/>
    </row>
    <row r="20" ht="15.75" customHeight="1">
      <c r="A20" s="27"/>
      <c r="B20" s="137"/>
      <c r="C20" s="137" t="s">
        <v>1161</v>
      </c>
      <c r="D20" s="156" t="s">
        <v>912</v>
      </c>
      <c r="E20" s="151"/>
      <c r="F20" s="151"/>
      <c r="G20" s="151"/>
      <c r="H20" s="151"/>
      <c r="I20" s="151"/>
      <c r="J20" s="156" t="s">
        <v>1162</v>
      </c>
      <c r="K20" s="151"/>
      <c r="L20" s="151"/>
      <c r="M20" s="151"/>
      <c r="N20" s="151"/>
      <c r="O20" s="151"/>
    </row>
    <row r="21" ht="15.75" customHeight="1">
      <c r="A21" s="201" t="s">
        <v>1163</v>
      </c>
      <c r="B21" s="151"/>
      <c r="C21" s="148" t="s">
        <v>1164</v>
      </c>
      <c r="D21" s="151" t="s">
        <v>912</v>
      </c>
      <c r="E21" s="151" t="s">
        <v>728</v>
      </c>
      <c r="F21" s="151"/>
      <c r="G21" s="151"/>
      <c r="H21" s="151"/>
      <c r="I21" s="151"/>
      <c r="J21" s="151" t="s">
        <v>1082</v>
      </c>
      <c r="K21" s="151"/>
      <c r="L21" s="151"/>
      <c r="M21" s="151"/>
      <c r="N21" s="151"/>
      <c r="O21" s="151"/>
    </row>
    <row r="22" ht="15.75" customHeight="1">
      <c r="A22" s="26"/>
      <c r="B22" s="151"/>
      <c r="C22" s="148" t="s">
        <v>1165</v>
      </c>
      <c r="D22" s="151" t="s">
        <v>689</v>
      </c>
      <c r="E22" s="151" t="s">
        <v>728</v>
      </c>
      <c r="F22" s="151" t="s">
        <v>1166</v>
      </c>
      <c r="G22" s="151"/>
      <c r="H22" s="151"/>
      <c r="I22" s="151"/>
      <c r="J22" s="151"/>
      <c r="K22" s="151" t="s">
        <v>1167</v>
      </c>
      <c r="L22" s="149"/>
      <c r="M22" s="151" t="s">
        <v>763</v>
      </c>
      <c r="N22" s="151"/>
      <c r="O22" s="151"/>
    </row>
    <row r="23" ht="15.75" customHeight="1">
      <c r="A23" s="26"/>
      <c r="B23" s="151"/>
      <c r="C23" s="148" t="s">
        <v>1168</v>
      </c>
      <c r="D23" s="151" t="s">
        <v>689</v>
      </c>
      <c r="E23" s="151" t="s">
        <v>728</v>
      </c>
      <c r="F23" s="151" t="s">
        <v>1166</v>
      </c>
      <c r="G23" s="151"/>
      <c r="H23" s="151"/>
      <c r="I23" s="151"/>
      <c r="J23" s="151"/>
      <c r="K23" s="156" t="s">
        <v>1169</v>
      </c>
      <c r="L23" s="149"/>
      <c r="M23" s="151" t="s">
        <v>767</v>
      </c>
      <c r="N23" s="151"/>
      <c r="O23" s="151"/>
    </row>
    <row r="24" ht="107.25" customHeight="1">
      <c r="A24" s="26"/>
      <c r="B24" s="151"/>
      <c r="C24" s="137" t="s">
        <v>1170</v>
      </c>
      <c r="D24" s="156" t="s">
        <v>912</v>
      </c>
      <c r="E24" s="156" t="s">
        <v>728</v>
      </c>
      <c r="F24" s="156"/>
      <c r="G24" s="151"/>
      <c r="H24" s="151"/>
      <c r="I24" s="151"/>
      <c r="J24" s="151" t="s">
        <v>1082</v>
      </c>
      <c r="K24" s="137"/>
      <c r="L24" s="149"/>
      <c r="M24" s="151"/>
      <c r="N24" s="151"/>
      <c r="O24" s="151"/>
      <c r="Q24" s="287"/>
    </row>
    <row r="25" ht="107.25" customHeight="1">
      <c r="A25" s="26"/>
      <c r="B25" s="151"/>
      <c r="C25" s="137" t="s">
        <v>1171</v>
      </c>
      <c r="D25" s="156" t="s">
        <v>1136</v>
      </c>
      <c r="E25" s="151" t="s">
        <v>728</v>
      </c>
      <c r="F25" s="156" t="s">
        <v>1172</v>
      </c>
      <c r="G25" s="151"/>
      <c r="H25" s="151"/>
      <c r="I25" s="151"/>
      <c r="J25" s="156" t="s">
        <v>1173</v>
      </c>
      <c r="K25" s="137" t="s">
        <v>1174</v>
      </c>
      <c r="L25" s="151"/>
      <c r="M25" s="156" t="s">
        <v>1175</v>
      </c>
      <c r="N25" s="151"/>
      <c r="O25" s="151"/>
      <c r="Q25" s="287" t="s">
        <v>1176</v>
      </c>
    </row>
    <row r="26" ht="153.0" customHeight="1">
      <c r="A26" s="26"/>
      <c r="B26" s="151"/>
      <c r="C26" s="137" t="s">
        <v>1177</v>
      </c>
      <c r="D26" s="156" t="s">
        <v>1136</v>
      </c>
      <c r="E26" s="151" t="s">
        <v>728</v>
      </c>
      <c r="F26" s="156" t="s">
        <v>1172</v>
      </c>
      <c r="G26" s="151"/>
      <c r="H26" s="151"/>
      <c r="I26" s="151"/>
      <c r="J26" s="156" t="s">
        <v>1178</v>
      </c>
      <c r="K26" s="137" t="s">
        <v>1179</v>
      </c>
      <c r="L26" s="151"/>
      <c r="M26" s="151"/>
      <c r="N26" s="151"/>
      <c r="O26" s="151"/>
      <c r="Q26" s="149"/>
    </row>
    <row r="27" ht="15.75" customHeight="1">
      <c r="A27" s="26"/>
      <c r="B27" s="151"/>
      <c r="C27" s="137" t="s">
        <v>1180</v>
      </c>
      <c r="D27" s="156" t="s">
        <v>1136</v>
      </c>
      <c r="E27" s="151" t="s">
        <v>728</v>
      </c>
      <c r="F27" s="171" t="s">
        <v>1181</v>
      </c>
      <c r="G27" s="151"/>
      <c r="H27" s="151"/>
      <c r="I27" s="151"/>
      <c r="J27" s="134" t="s">
        <v>1182</v>
      </c>
      <c r="K27" s="156" t="s">
        <v>1183</v>
      </c>
      <c r="L27" s="151"/>
      <c r="M27" s="151"/>
      <c r="N27" s="151"/>
      <c r="O27" s="151"/>
    </row>
    <row r="28" ht="15.75" customHeight="1">
      <c r="A28" s="288" t="s">
        <v>1184</v>
      </c>
      <c r="B28" s="138"/>
      <c r="C28" s="40" t="s">
        <v>1185</v>
      </c>
      <c r="D28" s="156" t="s">
        <v>912</v>
      </c>
      <c r="E28" s="151" t="s">
        <v>728</v>
      </c>
      <c r="F28" s="138"/>
      <c r="G28" s="138"/>
      <c r="H28" s="138"/>
      <c r="I28" s="138"/>
      <c r="J28" s="141" t="s">
        <v>1186</v>
      </c>
      <c r="K28" s="138"/>
      <c r="L28" s="138"/>
      <c r="M28" s="138"/>
      <c r="N28" s="138"/>
      <c r="O28" s="138"/>
    </row>
    <row r="29" ht="15.75" customHeight="1">
      <c r="A29" s="289"/>
      <c r="B29" s="138"/>
      <c r="C29" s="186" t="s">
        <v>1187</v>
      </c>
      <c r="D29" s="151" t="s">
        <v>912</v>
      </c>
      <c r="E29" s="151" t="s">
        <v>728</v>
      </c>
      <c r="F29" s="138"/>
      <c r="G29" s="40" t="s">
        <v>1188</v>
      </c>
      <c r="H29" s="138"/>
      <c r="I29" s="138"/>
      <c r="J29" s="141" t="s">
        <v>1189</v>
      </c>
      <c r="K29" s="138"/>
      <c r="L29" s="138"/>
      <c r="M29" s="138"/>
      <c r="N29" s="138"/>
      <c r="O29" s="138"/>
    </row>
    <row r="30" ht="15.75" customHeight="1">
      <c r="A30" s="289"/>
      <c r="B30" s="138"/>
      <c r="C30" s="186" t="s">
        <v>1190</v>
      </c>
      <c r="D30" s="156" t="s">
        <v>912</v>
      </c>
      <c r="E30" s="156" t="s">
        <v>730</v>
      </c>
      <c r="F30" s="141" t="s">
        <v>1191</v>
      </c>
      <c r="G30" s="141"/>
      <c r="H30" s="138"/>
      <c r="I30" s="138"/>
      <c r="J30" s="141" t="s">
        <v>1189</v>
      </c>
      <c r="K30" s="138"/>
      <c r="L30" s="138"/>
      <c r="M30" s="138"/>
      <c r="N30" s="138"/>
      <c r="O30" s="138"/>
    </row>
    <row r="31" ht="15.75" customHeight="1">
      <c r="A31" s="289"/>
      <c r="B31" s="138"/>
      <c r="C31" s="238" t="s">
        <v>1192</v>
      </c>
      <c r="D31" s="156" t="s">
        <v>689</v>
      </c>
      <c r="E31" s="151" t="s">
        <v>728</v>
      </c>
      <c r="F31" s="138"/>
      <c r="G31" s="141" t="s">
        <v>1191</v>
      </c>
      <c r="H31" s="138"/>
      <c r="I31" s="138"/>
      <c r="J31" s="138"/>
      <c r="K31" s="138"/>
      <c r="L31" s="138"/>
      <c r="M31" s="138"/>
      <c r="N31" s="138"/>
      <c r="O31" s="138"/>
    </row>
    <row r="32" ht="15.75" customHeight="1">
      <c r="A32" s="290" t="s">
        <v>1193</v>
      </c>
      <c r="B32" s="138"/>
      <c r="C32" s="186" t="s">
        <v>1194</v>
      </c>
      <c r="D32" s="151" t="s">
        <v>912</v>
      </c>
      <c r="E32" s="151" t="s">
        <v>728</v>
      </c>
      <c r="F32" s="138"/>
      <c r="G32" s="138"/>
      <c r="H32" s="138"/>
      <c r="I32" s="138"/>
      <c r="J32" s="141" t="s">
        <v>1195</v>
      </c>
      <c r="K32" s="138"/>
      <c r="L32" s="138"/>
      <c r="M32" s="138"/>
      <c r="N32" s="138"/>
      <c r="O32" s="138"/>
    </row>
    <row r="33" ht="15.75" customHeight="1">
      <c r="A33" s="26"/>
      <c r="B33" s="138"/>
      <c r="C33" s="186" t="s">
        <v>1190</v>
      </c>
      <c r="D33" s="156" t="s">
        <v>912</v>
      </c>
      <c r="E33" s="156" t="s">
        <v>728</v>
      </c>
      <c r="F33" s="141" t="s">
        <v>1196</v>
      </c>
      <c r="G33" s="138"/>
      <c r="H33" s="138"/>
      <c r="I33" s="138"/>
      <c r="J33" s="141" t="s">
        <v>1195</v>
      </c>
      <c r="K33" s="138"/>
      <c r="L33" s="141"/>
      <c r="M33" s="138"/>
      <c r="N33" s="138"/>
      <c r="O33" s="138"/>
    </row>
    <row r="34" ht="15.75" customHeight="1">
      <c r="A34" s="26"/>
      <c r="B34" s="138"/>
      <c r="C34" s="238" t="s">
        <v>1197</v>
      </c>
      <c r="D34" s="151" t="s">
        <v>912</v>
      </c>
      <c r="E34" s="151" t="s">
        <v>728</v>
      </c>
      <c r="F34" s="141" t="s">
        <v>1198</v>
      </c>
      <c r="G34" s="138"/>
      <c r="H34" s="138"/>
      <c r="I34" s="138"/>
      <c r="J34" s="151" t="s">
        <v>1082</v>
      </c>
      <c r="K34" s="138"/>
      <c r="L34" s="141" t="s">
        <v>1199</v>
      </c>
      <c r="M34" s="138"/>
      <c r="N34" s="138"/>
      <c r="O34" s="138"/>
    </row>
    <row r="35" ht="15.75" customHeight="1">
      <c r="A35" s="290" t="s">
        <v>1200</v>
      </c>
      <c r="B35" s="138"/>
      <c r="C35" s="238" t="s">
        <v>1201</v>
      </c>
      <c r="D35" s="151" t="s">
        <v>912</v>
      </c>
      <c r="E35" s="151" t="s">
        <v>728</v>
      </c>
      <c r="F35" s="138"/>
      <c r="G35" s="138"/>
      <c r="H35" s="138"/>
      <c r="I35" s="138"/>
      <c r="J35" s="151" t="s">
        <v>1082</v>
      </c>
      <c r="K35" s="138"/>
      <c r="L35" s="141" t="s">
        <v>1202</v>
      </c>
      <c r="M35" s="138"/>
      <c r="N35" s="138"/>
      <c r="O35" s="138"/>
    </row>
    <row r="36" ht="15.75" customHeight="1">
      <c r="A36" s="27"/>
      <c r="B36" s="138"/>
      <c r="C36" s="238" t="s">
        <v>1203</v>
      </c>
      <c r="D36" s="151" t="s">
        <v>912</v>
      </c>
      <c r="E36" s="151" t="s">
        <v>728</v>
      </c>
      <c r="F36" s="138"/>
      <c r="G36" s="138"/>
      <c r="H36" s="138"/>
      <c r="I36" s="138"/>
      <c r="J36" s="151" t="s">
        <v>1082</v>
      </c>
      <c r="K36" s="138"/>
      <c r="L36" s="141" t="s">
        <v>1202</v>
      </c>
      <c r="M36" s="138"/>
      <c r="N36" s="138"/>
      <c r="O36" s="138"/>
    </row>
    <row r="37" ht="15.75" customHeight="1">
      <c r="A37" s="291" t="s">
        <v>1204</v>
      </c>
      <c r="B37" s="138"/>
      <c r="C37" s="40" t="s">
        <v>1205</v>
      </c>
      <c r="D37" s="151" t="s">
        <v>912</v>
      </c>
      <c r="E37" s="151" t="s">
        <v>728</v>
      </c>
      <c r="F37" s="138"/>
      <c r="G37" s="138"/>
      <c r="H37" s="138"/>
      <c r="I37" s="138"/>
      <c r="J37" s="134" t="s">
        <v>1206</v>
      </c>
      <c r="K37" s="134" t="s">
        <v>1207</v>
      </c>
      <c r="L37" s="138"/>
      <c r="M37" s="138"/>
      <c r="N37" s="138"/>
      <c r="O37" s="138"/>
    </row>
    <row r="38" ht="15.75" customHeight="1">
      <c r="A38" s="231" t="s">
        <v>864</v>
      </c>
      <c r="B38" s="156"/>
      <c r="C38" s="186" t="s">
        <v>863</v>
      </c>
      <c r="D38" s="194" t="s">
        <v>655</v>
      </c>
      <c r="E38" s="151" t="s">
        <v>647</v>
      </c>
      <c r="F38" s="151"/>
      <c r="G38" s="151"/>
      <c r="H38" s="151"/>
      <c r="I38" s="151"/>
      <c r="J38" s="225" t="s">
        <v>673</v>
      </c>
      <c r="L38" s="151"/>
      <c r="M38" s="151"/>
      <c r="N38" s="151"/>
      <c r="O38" s="151"/>
      <c r="P38" s="151"/>
    </row>
    <row r="39" ht="15.75" customHeight="1">
      <c r="A39" s="26"/>
      <c r="B39" s="156"/>
      <c r="C39" s="186" t="s">
        <v>865</v>
      </c>
      <c r="D39" s="156" t="s">
        <v>851</v>
      </c>
      <c r="E39" s="156" t="s">
        <v>647</v>
      </c>
      <c r="F39" s="151"/>
      <c r="G39" s="156" t="s">
        <v>866</v>
      </c>
      <c r="H39" s="151"/>
      <c r="I39" s="151"/>
      <c r="J39" s="232" t="s">
        <v>1208</v>
      </c>
      <c r="M39" s="151"/>
    </row>
    <row r="40" ht="15.75" customHeight="1">
      <c r="A40" s="26"/>
      <c r="B40" s="156"/>
      <c r="C40" s="186" t="s">
        <v>1209</v>
      </c>
      <c r="D40" s="156" t="s">
        <v>646</v>
      </c>
      <c r="E40" s="156" t="s">
        <v>647</v>
      </c>
      <c r="F40" s="156" t="s">
        <v>944</v>
      </c>
      <c r="G40" s="156"/>
      <c r="H40" s="151"/>
      <c r="I40" s="151"/>
      <c r="J40" s="232"/>
      <c r="M40" s="151"/>
    </row>
    <row r="41" ht="15.75" customHeight="1">
      <c r="A41" s="27"/>
      <c r="B41" s="156"/>
      <c r="C41" s="186" t="s">
        <v>870</v>
      </c>
      <c r="D41" s="156" t="s">
        <v>851</v>
      </c>
      <c r="E41" s="156" t="s">
        <v>647</v>
      </c>
      <c r="F41" s="151"/>
      <c r="G41" s="156" t="s">
        <v>866</v>
      </c>
      <c r="H41" s="151"/>
      <c r="I41" s="151"/>
      <c r="J41" s="134" t="s">
        <v>1206</v>
      </c>
      <c r="M41" s="151"/>
    </row>
    <row r="42" ht="15.75" customHeight="1">
      <c r="A42" s="256" t="s">
        <v>1210</v>
      </c>
      <c r="B42" s="138"/>
      <c r="C42" s="213" t="s">
        <v>1211</v>
      </c>
      <c r="D42" s="194" t="s">
        <v>655</v>
      </c>
      <c r="E42" s="151" t="s">
        <v>647</v>
      </c>
      <c r="F42" s="151"/>
      <c r="G42" s="151"/>
      <c r="H42" s="151"/>
      <c r="I42" s="151"/>
      <c r="J42" s="151" t="s">
        <v>673</v>
      </c>
      <c r="K42" s="151"/>
      <c r="L42" s="151"/>
      <c r="M42" s="151"/>
      <c r="N42" s="151"/>
      <c r="O42" s="151"/>
      <c r="P42" s="151"/>
    </row>
    <row r="43" ht="15.75" customHeight="1">
      <c r="A43" s="26"/>
      <c r="B43" s="138"/>
      <c r="C43" s="292" t="s">
        <v>1212</v>
      </c>
      <c r="D43" s="133" t="s">
        <v>655</v>
      </c>
      <c r="E43" s="162" t="s">
        <v>647</v>
      </c>
      <c r="F43" s="244"/>
      <c r="G43" s="292" t="s">
        <v>1213</v>
      </c>
      <c r="H43" s="244"/>
      <c r="I43" s="244"/>
      <c r="J43" s="158" t="s">
        <v>673</v>
      </c>
      <c r="K43" s="244"/>
      <c r="L43" s="244"/>
      <c r="M43" s="244"/>
      <c r="N43" s="244"/>
      <c r="O43" s="244"/>
      <c r="P43" s="244"/>
      <c r="Q43" s="163"/>
      <c r="R43" s="163"/>
      <c r="S43" s="163"/>
      <c r="T43" s="163"/>
      <c r="U43" s="163"/>
      <c r="V43" s="163"/>
      <c r="W43" s="163"/>
      <c r="X43" s="163"/>
      <c r="Y43" s="163"/>
      <c r="Z43" s="163"/>
      <c r="AA43" s="163"/>
      <c r="AB43" s="163"/>
    </row>
    <row r="44" ht="15.75" customHeight="1">
      <c r="A44" s="27"/>
      <c r="B44" s="138"/>
      <c r="C44" s="40" t="s">
        <v>1214</v>
      </c>
      <c r="D44" s="134" t="s">
        <v>649</v>
      </c>
      <c r="E44" s="151" t="s">
        <v>647</v>
      </c>
      <c r="F44" s="141" t="s">
        <v>1215</v>
      </c>
      <c r="G44" s="138"/>
      <c r="H44" s="138"/>
      <c r="I44" s="138"/>
      <c r="J44" s="138"/>
      <c r="K44" s="138"/>
      <c r="L44" s="138"/>
      <c r="M44" s="138"/>
      <c r="N44" s="138"/>
      <c r="O44" s="138"/>
      <c r="P44" s="138"/>
    </row>
    <row r="45" ht="15.75" customHeight="1">
      <c r="A45" s="180"/>
      <c r="C45" s="42" t="s">
        <v>901</v>
      </c>
      <c r="D45" s="42" t="s">
        <v>876</v>
      </c>
      <c r="E45" s="42" t="s">
        <v>307</v>
      </c>
    </row>
    <row r="46" ht="15.75" customHeight="1">
      <c r="A46" s="258"/>
      <c r="C46" s="180"/>
    </row>
    <row r="47" ht="15.75" customHeight="1">
      <c r="A47" s="258"/>
      <c r="C47" s="180"/>
    </row>
    <row r="48" ht="15.75" customHeight="1">
      <c r="A48" s="258"/>
      <c r="C48" s="204"/>
    </row>
    <row r="49" ht="15.75" customHeight="1">
      <c r="A49" s="258"/>
      <c r="C49" s="204"/>
      <c r="G49" s="42"/>
      <c r="H49" s="293"/>
    </row>
    <row r="50" ht="15.75" customHeight="1">
      <c r="A50" s="258"/>
      <c r="C50" s="204"/>
      <c r="G50" s="42"/>
    </row>
    <row r="51" ht="15.75" customHeight="1">
      <c r="A51" s="258"/>
      <c r="C51" s="204"/>
      <c r="G51" s="42"/>
    </row>
    <row r="52" ht="15.75" customHeight="1">
      <c r="A52" s="258"/>
      <c r="C52" s="204"/>
    </row>
    <row r="53" ht="15.75" customHeight="1">
      <c r="A53" s="258"/>
      <c r="C53" s="180"/>
    </row>
    <row r="54" ht="15.75" customHeight="1">
      <c r="A54" s="258"/>
      <c r="C54" s="180"/>
    </row>
    <row r="55" ht="15.75" customHeight="1">
      <c r="A55" s="258"/>
      <c r="C55" s="180"/>
    </row>
    <row r="56" ht="15.75" customHeight="1">
      <c r="A56" s="258"/>
      <c r="C56" s="180"/>
    </row>
    <row r="57" ht="15.75" customHeight="1">
      <c r="A57" s="258"/>
      <c r="C57" s="180"/>
    </row>
    <row r="58" ht="15.75" customHeight="1">
      <c r="A58" s="258"/>
      <c r="C58" s="180"/>
    </row>
    <row r="59" ht="15.75" customHeight="1">
      <c r="A59" s="258"/>
      <c r="C59" s="180"/>
    </row>
    <row r="60" ht="15.75" customHeight="1">
      <c r="A60" s="258"/>
      <c r="C60" s="180"/>
    </row>
    <row r="61" ht="15.75" customHeight="1">
      <c r="A61" s="258"/>
      <c r="C61" s="180"/>
    </row>
    <row r="62" ht="15.75" customHeight="1">
      <c r="A62" s="258"/>
      <c r="C62" s="180"/>
    </row>
    <row r="63" ht="15.75" customHeight="1">
      <c r="A63" s="258"/>
      <c r="C63" s="180"/>
    </row>
    <row r="64" ht="15.75" customHeight="1">
      <c r="A64" s="258"/>
      <c r="C64" s="180"/>
    </row>
    <row r="65" ht="15.75" customHeight="1">
      <c r="A65" s="258"/>
      <c r="C65" s="180"/>
    </row>
    <row r="66" ht="15.75" customHeight="1">
      <c r="A66" s="258"/>
      <c r="C66" s="180"/>
    </row>
    <row r="67" ht="15.75" customHeight="1">
      <c r="A67" s="258"/>
      <c r="C67" s="180"/>
    </row>
    <row r="68" ht="15.75" customHeight="1">
      <c r="A68" s="258"/>
      <c r="C68" s="180"/>
    </row>
    <row r="69" ht="15.75" customHeight="1">
      <c r="A69" s="258"/>
      <c r="C69" s="180"/>
    </row>
    <row r="70" ht="15.75" customHeight="1">
      <c r="A70" s="258"/>
      <c r="C70" s="180"/>
    </row>
    <row r="71" ht="15.75" customHeight="1">
      <c r="A71" s="258"/>
      <c r="C71" s="180"/>
    </row>
    <row r="72" ht="15.75" customHeight="1">
      <c r="A72" s="258"/>
      <c r="C72" s="180"/>
    </row>
    <row r="73" ht="15.75" customHeight="1">
      <c r="A73" s="258"/>
      <c r="C73" s="180"/>
    </row>
    <row r="74" ht="15.75" customHeight="1">
      <c r="A74" s="258"/>
      <c r="C74" s="180"/>
    </row>
    <row r="75" ht="15.75" customHeight="1">
      <c r="A75" s="258"/>
      <c r="C75" s="180"/>
    </row>
    <row r="76" ht="15.75" customHeight="1">
      <c r="A76" s="258"/>
      <c r="C76" s="180"/>
    </row>
    <row r="77" ht="15.75" customHeight="1">
      <c r="A77" s="258"/>
      <c r="C77" s="180"/>
    </row>
    <row r="78" ht="15.75" customHeight="1">
      <c r="A78" s="258"/>
      <c r="C78" s="180"/>
    </row>
    <row r="79" ht="15.75" customHeight="1">
      <c r="A79" s="258"/>
      <c r="C79" s="180"/>
    </row>
    <row r="80" ht="15.75" customHeight="1">
      <c r="A80" s="258"/>
      <c r="C80" s="180"/>
    </row>
    <row r="81" ht="15.75" customHeight="1">
      <c r="A81" s="258"/>
      <c r="C81" s="180"/>
    </row>
    <row r="82" ht="15.75" customHeight="1">
      <c r="A82" s="258"/>
      <c r="C82" s="180"/>
    </row>
    <row r="83" ht="15.75" customHeight="1">
      <c r="A83" s="258"/>
      <c r="C83" s="180"/>
    </row>
    <row r="84" ht="15.75" customHeight="1">
      <c r="A84" s="258"/>
      <c r="C84" s="180"/>
    </row>
    <row r="85" ht="15.75" customHeight="1">
      <c r="A85" s="258"/>
      <c r="C85" s="180"/>
    </row>
    <row r="86" ht="15.75" customHeight="1">
      <c r="A86" s="258"/>
      <c r="C86" s="180"/>
    </row>
    <row r="87" ht="15.75" customHeight="1">
      <c r="A87" s="258"/>
      <c r="C87" s="180"/>
    </row>
    <row r="88" ht="15.75" customHeight="1">
      <c r="A88" s="258"/>
      <c r="C88" s="180"/>
    </row>
    <row r="89" ht="15.75" customHeight="1">
      <c r="A89" s="258"/>
      <c r="C89" s="180"/>
    </row>
    <row r="90" ht="15.75" customHeight="1">
      <c r="A90" s="258"/>
      <c r="C90" s="180"/>
    </row>
    <row r="91" ht="15.75" customHeight="1">
      <c r="A91" s="258"/>
      <c r="C91" s="180"/>
    </row>
    <row r="92" ht="15.75" customHeight="1">
      <c r="A92" s="258"/>
      <c r="C92" s="180"/>
    </row>
    <row r="93" ht="15.75" customHeight="1">
      <c r="A93" s="258"/>
      <c r="C93" s="180"/>
    </row>
    <row r="94" ht="15.75" customHeight="1">
      <c r="A94" s="258"/>
      <c r="C94" s="180"/>
    </row>
    <row r="95" ht="15.75" customHeight="1">
      <c r="A95" s="258"/>
      <c r="C95" s="180"/>
    </row>
    <row r="96" ht="15.75" customHeight="1">
      <c r="A96" s="258"/>
      <c r="C96" s="180"/>
    </row>
    <row r="97" ht="15.75" customHeight="1">
      <c r="A97" s="258"/>
      <c r="C97" s="180"/>
    </row>
    <row r="98" ht="15.75" customHeight="1">
      <c r="A98" s="258"/>
      <c r="C98" s="180"/>
    </row>
    <row r="99" ht="15.75" customHeight="1">
      <c r="A99" s="258"/>
      <c r="C99" s="180"/>
    </row>
    <row r="100" ht="15.75" customHeight="1">
      <c r="A100" s="258"/>
      <c r="C100" s="180"/>
    </row>
    <row r="101" ht="15.75" customHeight="1">
      <c r="A101" s="258"/>
      <c r="C101" s="180"/>
    </row>
    <row r="102" ht="15.75" customHeight="1">
      <c r="A102" s="258"/>
      <c r="C102" s="180"/>
    </row>
    <row r="103" ht="15.75" customHeight="1">
      <c r="A103" s="258"/>
      <c r="C103" s="180"/>
    </row>
    <row r="104" ht="15.75" customHeight="1">
      <c r="A104" s="258"/>
      <c r="C104" s="180"/>
    </row>
    <row r="105" ht="15.75" customHeight="1">
      <c r="A105" s="258"/>
      <c r="C105" s="180"/>
    </row>
    <row r="106" ht="15.75" customHeight="1">
      <c r="A106" s="258"/>
      <c r="C106" s="180"/>
    </row>
    <row r="107" ht="15.75" customHeight="1">
      <c r="A107" s="258"/>
      <c r="C107" s="180"/>
    </row>
    <row r="108" ht="15.75" customHeight="1">
      <c r="A108" s="258"/>
      <c r="C108" s="180"/>
    </row>
    <row r="109" ht="15.75" customHeight="1">
      <c r="A109" s="258"/>
      <c r="C109" s="180"/>
    </row>
    <row r="110" ht="15.75" customHeight="1">
      <c r="A110" s="258"/>
      <c r="C110" s="180"/>
    </row>
    <row r="111" ht="15.75" customHeight="1">
      <c r="A111" s="258"/>
      <c r="C111" s="180"/>
    </row>
    <row r="112" ht="15.75" customHeight="1">
      <c r="A112" s="258"/>
      <c r="C112" s="180"/>
    </row>
    <row r="113" ht="15.75" customHeight="1">
      <c r="A113" s="258"/>
      <c r="C113" s="180"/>
    </row>
    <row r="114" ht="15.75" customHeight="1">
      <c r="A114" s="258"/>
      <c r="C114" s="180"/>
    </row>
    <row r="115" ht="15.75" customHeight="1">
      <c r="A115" s="258"/>
      <c r="C115" s="180"/>
    </row>
    <row r="116" ht="15.75" customHeight="1">
      <c r="A116" s="258"/>
      <c r="C116" s="180"/>
    </row>
    <row r="117" ht="15.75" customHeight="1">
      <c r="A117" s="258"/>
      <c r="C117" s="180"/>
    </row>
    <row r="118" ht="15.75" customHeight="1">
      <c r="A118" s="258"/>
      <c r="C118" s="180"/>
    </row>
    <row r="119" ht="15.75" customHeight="1">
      <c r="A119" s="258"/>
      <c r="C119" s="180"/>
    </row>
    <row r="120" ht="15.75" customHeight="1">
      <c r="A120" s="258"/>
      <c r="C120" s="180"/>
    </row>
    <row r="121" ht="15.75" customHeight="1">
      <c r="A121" s="258"/>
      <c r="C121" s="180"/>
    </row>
    <row r="122" ht="15.75" customHeight="1">
      <c r="A122" s="258"/>
      <c r="C122" s="180"/>
    </row>
    <row r="123" ht="15.75" customHeight="1">
      <c r="A123" s="258"/>
      <c r="C123" s="180"/>
    </row>
    <row r="124" ht="15.75" customHeight="1">
      <c r="A124" s="258"/>
      <c r="C124" s="180"/>
    </row>
    <row r="125" ht="15.75" customHeight="1">
      <c r="A125" s="258"/>
      <c r="C125" s="180"/>
    </row>
    <row r="126" ht="15.75" customHeight="1">
      <c r="A126" s="258"/>
      <c r="C126" s="180"/>
    </row>
    <row r="127" ht="15.75" customHeight="1">
      <c r="A127" s="258"/>
      <c r="C127" s="180"/>
    </row>
    <row r="128" ht="15.75" customHeight="1">
      <c r="A128" s="258"/>
      <c r="C128" s="180"/>
    </row>
    <row r="129" ht="15.75" customHeight="1">
      <c r="A129" s="258"/>
      <c r="C129" s="180"/>
    </row>
    <row r="130" ht="15.75" customHeight="1">
      <c r="A130" s="258"/>
      <c r="C130" s="180"/>
    </row>
    <row r="131" ht="15.75" customHeight="1">
      <c r="A131" s="258"/>
      <c r="C131" s="180"/>
    </row>
    <row r="132" ht="15.75" customHeight="1">
      <c r="A132" s="258"/>
      <c r="C132" s="180"/>
    </row>
    <row r="133" ht="15.75" customHeight="1">
      <c r="A133" s="258"/>
      <c r="C133" s="180"/>
    </row>
    <row r="134" ht="15.75" customHeight="1">
      <c r="A134" s="258"/>
      <c r="C134" s="180"/>
    </row>
    <row r="135" ht="15.75" customHeight="1">
      <c r="A135" s="258"/>
      <c r="C135" s="180"/>
    </row>
    <row r="136" ht="15.75" customHeight="1">
      <c r="A136" s="258"/>
      <c r="C136" s="180"/>
    </row>
    <row r="137" ht="15.75" customHeight="1">
      <c r="A137" s="258"/>
      <c r="C137" s="180"/>
    </row>
    <row r="138" ht="15.75" customHeight="1">
      <c r="A138" s="258"/>
      <c r="C138" s="180"/>
    </row>
    <row r="139" ht="15.75" customHeight="1">
      <c r="A139" s="258"/>
      <c r="C139" s="180"/>
    </row>
    <row r="140" ht="15.75" customHeight="1">
      <c r="A140" s="258"/>
      <c r="C140" s="180"/>
    </row>
    <row r="141" ht="15.75" customHeight="1">
      <c r="A141" s="258"/>
      <c r="C141" s="180"/>
    </row>
    <row r="142" ht="15.75" customHeight="1">
      <c r="A142" s="258"/>
      <c r="C142" s="180"/>
    </row>
    <row r="143" ht="15.75" customHeight="1">
      <c r="A143" s="258"/>
      <c r="C143" s="180"/>
    </row>
    <row r="144" ht="15.75" customHeight="1">
      <c r="A144" s="258"/>
      <c r="C144" s="180"/>
    </row>
    <row r="145" ht="15.75" customHeight="1">
      <c r="A145" s="258"/>
      <c r="C145" s="180"/>
    </row>
    <row r="146" ht="15.75" customHeight="1">
      <c r="A146" s="258"/>
      <c r="C146" s="180"/>
    </row>
    <row r="147" ht="15.75" customHeight="1">
      <c r="A147" s="258"/>
      <c r="C147" s="180"/>
    </row>
    <row r="148" ht="15.75" customHeight="1">
      <c r="A148" s="258"/>
      <c r="C148" s="180"/>
    </row>
    <row r="149" ht="15.75" customHeight="1">
      <c r="A149" s="258"/>
      <c r="C149" s="180"/>
    </row>
    <row r="150" ht="15.75" customHeight="1">
      <c r="A150" s="258"/>
      <c r="C150" s="180"/>
    </row>
    <row r="151" ht="15.75" customHeight="1">
      <c r="A151" s="258"/>
      <c r="C151" s="180"/>
    </row>
    <row r="152" ht="15.75" customHeight="1">
      <c r="A152" s="258"/>
      <c r="C152" s="180"/>
    </row>
    <row r="153" ht="15.75" customHeight="1">
      <c r="A153" s="258"/>
      <c r="C153" s="180"/>
    </row>
    <row r="154" ht="15.75" customHeight="1">
      <c r="A154" s="258"/>
      <c r="C154" s="180"/>
    </row>
    <row r="155" ht="15.75" customHeight="1">
      <c r="A155" s="258"/>
      <c r="C155" s="180"/>
    </row>
    <row r="156" ht="15.75" customHeight="1">
      <c r="A156" s="258"/>
      <c r="C156" s="180"/>
    </row>
    <row r="157" ht="15.75" customHeight="1">
      <c r="A157" s="258"/>
      <c r="C157" s="180"/>
    </row>
    <row r="158" ht="15.75" customHeight="1">
      <c r="A158" s="258"/>
      <c r="C158" s="180"/>
    </row>
    <row r="159" ht="15.75" customHeight="1">
      <c r="A159" s="258"/>
      <c r="C159" s="180"/>
    </row>
    <row r="160" ht="15.75" customHeight="1">
      <c r="A160" s="258"/>
      <c r="C160" s="180"/>
    </row>
    <row r="161" ht="15.75" customHeight="1">
      <c r="A161" s="258"/>
      <c r="C161" s="180"/>
    </row>
    <row r="162" ht="15.75" customHeight="1">
      <c r="A162" s="258"/>
      <c r="C162" s="180"/>
    </row>
    <row r="163" ht="15.75" customHeight="1">
      <c r="A163" s="258"/>
      <c r="C163" s="180"/>
    </row>
    <row r="164" ht="15.75" customHeight="1">
      <c r="A164" s="258"/>
      <c r="C164" s="180"/>
    </row>
    <row r="165" ht="15.75" customHeight="1">
      <c r="A165" s="258"/>
      <c r="C165" s="180"/>
    </row>
    <row r="166" ht="15.75" customHeight="1">
      <c r="A166" s="258"/>
      <c r="C166" s="180"/>
    </row>
    <row r="167" ht="15.75" customHeight="1">
      <c r="A167" s="258"/>
      <c r="C167" s="180"/>
    </row>
    <row r="168" ht="15.75" customHeight="1">
      <c r="A168" s="258"/>
      <c r="C168" s="180"/>
    </row>
    <row r="169" ht="15.75" customHeight="1">
      <c r="A169" s="258"/>
      <c r="C169" s="180"/>
    </row>
    <row r="170" ht="15.75" customHeight="1">
      <c r="A170" s="258"/>
      <c r="C170" s="180"/>
    </row>
    <row r="171" ht="15.75" customHeight="1">
      <c r="A171" s="258"/>
      <c r="C171" s="180"/>
    </row>
    <row r="172" ht="15.75" customHeight="1">
      <c r="A172" s="258"/>
      <c r="C172" s="180"/>
    </row>
    <row r="173" ht="15.75" customHeight="1">
      <c r="A173" s="258"/>
      <c r="C173" s="180"/>
    </row>
    <row r="174" ht="15.75" customHeight="1">
      <c r="A174" s="258"/>
      <c r="C174" s="180"/>
    </row>
    <row r="175" ht="15.75" customHeight="1">
      <c r="A175" s="258"/>
      <c r="C175" s="180"/>
    </row>
    <row r="176" ht="15.75" customHeight="1">
      <c r="A176" s="258"/>
      <c r="C176" s="180"/>
    </row>
    <row r="177" ht="15.75" customHeight="1">
      <c r="A177" s="258"/>
      <c r="C177" s="180"/>
    </row>
    <row r="178" ht="15.75" customHeight="1">
      <c r="A178" s="258"/>
      <c r="C178" s="180"/>
    </row>
    <row r="179" ht="15.75" customHeight="1">
      <c r="A179" s="258"/>
      <c r="C179" s="180"/>
    </row>
    <row r="180" ht="15.75" customHeight="1">
      <c r="A180" s="258"/>
      <c r="C180" s="180"/>
    </row>
    <row r="181" ht="15.75" customHeight="1">
      <c r="A181" s="258"/>
      <c r="C181" s="180"/>
    </row>
    <row r="182" ht="15.75" customHeight="1">
      <c r="A182" s="258"/>
      <c r="C182" s="180"/>
    </row>
    <row r="183" ht="15.75" customHeight="1">
      <c r="A183" s="258"/>
      <c r="C183" s="180"/>
    </row>
    <row r="184" ht="15.75" customHeight="1">
      <c r="A184" s="258"/>
      <c r="C184" s="180"/>
    </row>
    <row r="185" ht="15.75" customHeight="1">
      <c r="A185" s="258"/>
      <c r="C185" s="180"/>
    </row>
    <row r="186" ht="15.75" customHeight="1">
      <c r="A186" s="258"/>
      <c r="C186" s="180"/>
    </row>
    <row r="187" ht="15.75" customHeight="1">
      <c r="A187" s="258"/>
      <c r="C187" s="180"/>
    </row>
    <row r="188" ht="15.75" customHeight="1">
      <c r="A188" s="258"/>
      <c r="C188" s="180"/>
    </row>
    <row r="189" ht="15.75" customHeight="1">
      <c r="A189" s="258"/>
      <c r="C189" s="180"/>
    </row>
    <row r="190" ht="15.75" customHeight="1">
      <c r="A190" s="258"/>
      <c r="C190" s="180"/>
    </row>
    <row r="191" ht="15.75" customHeight="1">
      <c r="A191" s="258"/>
      <c r="C191" s="180"/>
    </row>
    <row r="192" ht="15.75" customHeight="1">
      <c r="A192" s="258"/>
      <c r="C192" s="180"/>
    </row>
    <row r="193" ht="15.75" customHeight="1">
      <c r="A193" s="258"/>
      <c r="C193" s="180"/>
    </row>
    <row r="194" ht="15.75" customHeight="1">
      <c r="A194" s="258"/>
      <c r="C194" s="180"/>
    </row>
    <row r="195" ht="15.75" customHeight="1">
      <c r="A195" s="258"/>
      <c r="C195" s="180"/>
    </row>
    <row r="196" ht="15.75" customHeight="1">
      <c r="A196" s="258"/>
      <c r="C196" s="180"/>
    </row>
    <row r="197" ht="15.75" customHeight="1">
      <c r="A197" s="258"/>
      <c r="C197" s="180"/>
    </row>
    <row r="198" ht="15.75" customHeight="1">
      <c r="A198" s="258"/>
      <c r="C198" s="180"/>
    </row>
    <row r="199" ht="15.75" customHeight="1">
      <c r="A199" s="258"/>
      <c r="C199" s="180"/>
    </row>
    <row r="200" ht="15.75" customHeight="1">
      <c r="A200" s="258"/>
      <c r="C200" s="180"/>
    </row>
    <row r="201" ht="15.75" customHeight="1">
      <c r="A201" s="258"/>
      <c r="C201" s="180"/>
    </row>
    <row r="202" ht="15.75" customHeight="1">
      <c r="A202" s="258"/>
      <c r="C202" s="180"/>
    </row>
    <row r="203" ht="15.75" customHeight="1">
      <c r="A203" s="258"/>
      <c r="C203" s="180"/>
    </row>
    <row r="204" ht="15.75" customHeight="1">
      <c r="A204" s="258"/>
      <c r="C204" s="180"/>
    </row>
    <row r="205" ht="15.75" customHeight="1">
      <c r="A205" s="258"/>
      <c r="C205" s="180"/>
    </row>
    <row r="206" ht="15.75" customHeight="1">
      <c r="A206" s="258"/>
      <c r="C206" s="180"/>
    </row>
    <row r="207" ht="15.75" customHeight="1">
      <c r="A207" s="258"/>
      <c r="C207" s="180"/>
    </row>
    <row r="208" ht="15.75" customHeight="1">
      <c r="A208" s="258"/>
      <c r="C208" s="180"/>
    </row>
    <row r="209" ht="15.75" customHeight="1">
      <c r="A209" s="258"/>
      <c r="C209" s="180"/>
    </row>
    <row r="210" ht="15.75" customHeight="1">
      <c r="A210" s="258"/>
      <c r="C210" s="180"/>
    </row>
    <row r="211" ht="15.75" customHeight="1">
      <c r="A211" s="258"/>
      <c r="C211" s="180"/>
    </row>
    <row r="212" ht="15.75" customHeight="1">
      <c r="A212" s="258"/>
      <c r="C212" s="180"/>
    </row>
    <row r="213" ht="15.75" customHeight="1">
      <c r="A213" s="258"/>
      <c r="C213" s="180"/>
    </row>
    <row r="214" ht="15.75" customHeight="1">
      <c r="A214" s="258"/>
      <c r="C214" s="180"/>
    </row>
    <row r="215" ht="15.75" customHeight="1">
      <c r="A215" s="258"/>
      <c r="C215" s="180"/>
    </row>
    <row r="216" ht="15.75" customHeight="1">
      <c r="A216" s="258"/>
      <c r="C216" s="180"/>
    </row>
    <row r="217" ht="15.75" customHeight="1">
      <c r="A217" s="258"/>
      <c r="C217" s="180"/>
    </row>
    <row r="218" ht="15.75" customHeight="1">
      <c r="A218" s="258"/>
      <c r="C218" s="180"/>
    </row>
    <row r="219" ht="15.75" customHeight="1">
      <c r="A219" s="258"/>
      <c r="C219" s="180"/>
    </row>
    <row r="220" ht="15.75" customHeight="1">
      <c r="A220" s="258"/>
      <c r="C220" s="180"/>
    </row>
    <row r="221" ht="15.75" customHeight="1">
      <c r="A221" s="258"/>
      <c r="C221" s="180"/>
    </row>
    <row r="222" ht="15.75" customHeight="1">
      <c r="A222" s="258"/>
      <c r="C222" s="180"/>
    </row>
    <row r="223" ht="15.75" customHeight="1">
      <c r="A223" s="258"/>
      <c r="C223" s="180"/>
    </row>
    <row r="224" ht="15.75" customHeight="1">
      <c r="A224" s="258"/>
      <c r="C224" s="180"/>
    </row>
    <row r="225" ht="15.75" customHeight="1">
      <c r="A225" s="258"/>
      <c r="C225" s="180"/>
    </row>
    <row r="226" ht="15.75" customHeight="1">
      <c r="A226" s="258"/>
      <c r="C226" s="180"/>
    </row>
    <row r="227" ht="15.75" customHeight="1">
      <c r="A227" s="258"/>
      <c r="C227" s="180"/>
    </row>
    <row r="228" ht="15.75" customHeight="1">
      <c r="A228" s="258"/>
      <c r="C228" s="180"/>
    </row>
    <row r="229" ht="15.75" customHeight="1">
      <c r="A229" s="258"/>
      <c r="C229" s="180"/>
    </row>
    <row r="230" ht="15.75" customHeight="1">
      <c r="A230" s="258"/>
      <c r="C230" s="180"/>
    </row>
    <row r="231" ht="15.75" customHeight="1">
      <c r="A231" s="258"/>
      <c r="C231" s="180"/>
    </row>
    <row r="232" ht="15.75" customHeight="1">
      <c r="A232" s="258"/>
      <c r="C232" s="180"/>
    </row>
    <row r="233" ht="15.75" customHeight="1">
      <c r="A233" s="258"/>
      <c r="C233" s="180"/>
    </row>
    <row r="234" ht="15.75" customHeight="1">
      <c r="A234" s="258"/>
      <c r="C234" s="180"/>
    </row>
    <row r="235" ht="15.75" customHeight="1">
      <c r="A235" s="258"/>
      <c r="C235" s="180"/>
    </row>
    <row r="236" ht="15.75" customHeight="1">
      <c r="A236" s="258"/>
      <c r="C236" s="180"/>
    </row>
    <row r="237" ht="15.75" customHeight="1">
      <c r="A237" s="258"/>
      <c r="C237" s="180"/>
    </row>
    <row r="238" ht="15.75" customHeight="1">
      <c r="A238" s="258"/>
      <c r="C238" s="180"/>
    </row>
    <row r="239" ht="15.75" customHeight="1">
      <c r="A239" s="258"/>
      <c r="C239" s="180"/>
    </row>
    <row r="240" ht="15.75" customHeight="1">
      <c r="A240" s="258"/>
      <c r="C240" s="180"/>
    </row>
    <row r="241" ht="15.75" customHeight="1">
      <c r="A241" s="258"/>
      <c r="C241" s="180"/>
    </row>
    <row r="242" ht="15.75" customHeight="1">
      <c r="A242" s="258"/>
      <c r="C242" s="180"/>
    </row>
    <row r="243" ht="15.75" customHeight="1">
      <c r="A243" s="258"/>
      <c r="C243" s="180"/>
    </row>
    <row r="244" ht="15.75" customHeight="1">
      <c r="A244" s="258"/>
      <c r="C244" s="180"/>
    </row>
    <row r="245" ht="15.75" customHeight="1">
      <c r="A245" s="258"/>
      <c r="C245" s="180"/>
    </row>
    <row r="246" ht="15.75" customHeight="1">
      <c r="A246" s="258"/>
      <c r="C246" s="180"/>
    </row>
    <row r="247" ht="15.75" customHeight="1">
      <c r="A247" s="258"/>
      <c r="C247" s="180"/>
    </row>
    <row r="248" ht="15.75" customHeight="1">
      <c r="A248" s="258"/>
      <c r="C248" s="180"/>
    </row>
    <row r="249" ht="15.75" customHeight="1">
      <c r="A249" s="258"/>
      <c r="C249" s="180"/>
    </row>
    <row r="250" ht="15.75" customHeight="1">
      <c r="A250" s="258"/>
      <c r="C250" s="180"/>
    </row>
    <row r="251" ht="15.75" customHeight="1">
      <c r="A251" s="258"/>
      <c r="C251" s="180"/>
    </row>
    <row r="252" ht="15.75" customHeight="1">
      <c r="A252" s="258"/>
      <c r="C252" s="180"/>
    </row>
    <row r="253" ht="15.75" customHeight="1">
      <c r="A253" s="258"/>
      <c r="C253" s="180"/>
    </row>
    <row r="254" ht="15.75" customHeight="1">
      <c r="A254" s="258"/>
      <c r="C254" s="180"/>
    </row>
    <row r="255" ht="15.75" customHeight="1">
      <c r="A255" s="258"/>
      <c r="C255" s="180"/>
    </row>
    <row r="256" ht="15.75" customHeight="1">
      <c r="A256" s="258"/>
      <c r="C256" s="180"/>
    </row>
    <row r="257" ht="15.75" customHeight="1">
      <c r="A257" s="258"/>
      <c r="C257" s="180"/>
    </row>
    <row r="258" ht="15.75" customHeight="1">
      <c r="A258" s="258"/>
      <c r="C258" s="180"/>
    </row>
    <row r="259" ht="15.75" customHeight="1">
      <c r="A259" s="258"/>
      <c r="C259" s="180"/>
    </row>
    <row r="260" ht="15.75" customHeight="1">
      <c r="A260" s="258"/>
      <c r="C260" s="180"/>
    </row>
    <row r="261" ht="15.75" customHeight="1">
      <c r="A261" s="258"/>
      <c r="C261" s="180"/>
    </row>
    <row r="262" ht="15.75" customHeight="1">
      <c r="A262" s="258"/>
      <c r="C262" s="180"/>
    </row>
    <row r="263" ht="15.75" customHeight="1">
      <c r="A263" s="258"/>
      <c r="C263" s="180"/>
    </row>
    <row r="264" ht="15.75" customHeight="1">
      <c r="A264" s="258"/>
      <c r="C264" s="180"/>
    </row>
    <row r="265" ht="15.75" customHeight="1">
      <c r="A265" s="258"/>
      <c r="C265" s="180"/>
    </row>
    <row r="266" ht="15.75" customHeight="1">
      <c r="A266" s="258"/>
      <c r="C266" s="180"/>
    </row>
    <row r="267" ht="15.75" customHeight="1">
      <c r="A267" s="258"/>
      <c r="C267" s="180"/>
    </row>
    <row r="268" ht="15.75" customHeight="1">
      <c r="A268" s="258"/>
      <c r="C268" s="180"/>
    </row>
    <row r="269" ht="15.75" customHeight="1">
      <c r="A269" s="258"/>
      <c r="C269" s="180"/>
    </row>
    <row r="270" ht="15.75" customHeight="1">
      <c r="A270" s="258"/>
      <c r="C270" s="180"/>
    </row>
    <row r="271" ht="15.75" customHeight="1">
      <c r="A271" s="258"/>
      <c r="C271" s="180"/>
    </row>
    <row r="272" ht="15.75" customHeight="1">
      <c r="A272" s="258"/>
      <c r="C272" s="180"/>
    </row>
    <row r="273" ht="15.75" customHeight="1">
      <c r="A273" s="258"/>
      <c r="C273" s="180"/>
    </row>
    <row r="274" ht="15.75" customHeight="1">
      <c r="A274" s="258"/>
      <c r="C274" s="180"/>
    </row>
    <row r="275" ht="15.75" customHeight="1">
      <c r="A275" s="258"/>
      <c r="C275" s="180"/>
    </row>
    <row r="276" ht="15.75" customHeight="1">
      <c r="A276" s="258"/>
      <c r="C276" s="180"/>
    </row>
    <row r="277" ht="15.75" customHeight="1">
      <c r="A277" s="258"/>
      <c r="C277" s="180"/>
    </row>
    <row r="278" ht="15.75" customHeight="1">
      <c r="A278" s="258"/>
      <c r="C278" s="180"/>
    </row>
    <row r="279" ht="15.75" customHeight="1">
      <c r="A279" s="258"/>
      <c r="C279" s="180"/>
    </row>
    <row r="280" ht="15.75" customHeight="1">
      <c r="A280" s="258"/>
      <c r="C280" s="180"/>
    </row>
    <row r="281" ht="15.75" customHeight="1">
      <c r="A281" s="258"/>
      <c r="C281" s="180"/>
    </row>
    <row r="282" ht="15.75" customHeight="1">
      <c r="A282" s="258"/>
      <c r="C282" s="180"/>
    </row>
    <row r="283" ht="15.75" customHeight="1">
      <c r="A283" s="258"/>
      <c r="C283" s="180"/>
    </row>
    <row r="284" ht="15.75" customHeight="1">
      <c r="A284" s="258"/>
      <c r="C284" s="180"/>
    </row>
    <row r="285" ht="15.75" customHeight="1">
      <c r="A285" s="258"/>
      <c r="C285" s="180"/>
    </row>
    <row r="286" ht="15.75" customHeight="1">
      <c r="A286" s="258"/>
      <c r="C286" s="180"/>
    </row>
    <row r="287" ht="15.75" customHeight="1">
      <c r="A287" s="258"/>
      <c r="C287" s="180"/>
    </row>
    <row r="288" ht="15.75" customHeight="1">
      <c r="A288" s="258"/>
      <c r="C288" s="180"/>
    </row>
    <row r="289" ht="15.75" customHeight="1">
      <c r="A289" s="258"/>
      <c r="C289" s="180"/>
    </row>
    <row r="290" ht="15.75" customHeight="1">
      <c r="A290" s="258"/>
      <c r="C290" s="180"/>
    </row>
    <row r="291" ht="15.75" customHeight="1">
      <c r="A291" s="258"/>
      <c r="C291" s="180"/>
    </row>
    <row r="292" ht="15.75" customHeight="1">
      <c r="A292" s="258"/>
      <c r="C292" s="180"/>
    </row>
    <row r="293" ht="15.75" customHeight="1">
      <c r="A293" s="258"/>
      <c r="C293" s="180"/>
    </row>
    <row r="294" ht="15.75" customHeight="1">
      <c r="A294" s="258"/>
      <c r="C294" s="180"/>
    </row>
    <row r="295" ht="15.75" customHeight="1">
      <c r="A295" s="258"/>
      <c r="C295" s="180"/>
    </row>
    <row r="296" ht="15.75" customHeight="1">
      <c r="A296" s="258"/>
      <c r="C296" s="180"/>
    </row>
    <row r="297" ht="15.75" customHeight="1">
      <c r="A297" s="258"/>
      <c r="C297" s="180"/>
    </row>
    <row r="298" ht="15.75" customHeight="1">
      <c r="A298" s="258"/>
      <c r="C298" s="180"/>
    </row>
    <row r="299" ht="15.75" customHeight="1">
      <c r="A299" s="258"/>
      <c r="C299" s="180"/>
    </row>
    <row r="300" ht="15.75" customHeight="1">
      <c r="A300" s="258"/>
      <c r="C300" s="180"/>
    </row>
    <row r="301" ht="15.75" customHeight="1">
      <c r="A301" s="258"/>
      <c r="C301" s="180"/>
    </row>
    <row r="302" ht="15.75" customHeight="1">
      <c r="A302" s="258"/>
      <c r="C302" s="180"/>
    </row>
    <row r="303" ht="15.75" customHeight="1">
      <c r="A303" s="258"/>
      <c r="C303" s="180"/>
    </row>
    <row r="304" ht="15.75" customHeight="1">
      <c r="A304" s="258"/>
      <c r="C304" s="180"/>
    </row>
    <row r="305" ht="15.75" customHeight="1">
      <c r="A305" s="258"/>
      <c r="C305" s="180"/>
    </row>
    <row r="306" ht="15.75" customHeight="1">
      <c r="A306" s="258"/>
      <c r="C306" s="180"/>
    </row>
    <row r="307" ht="15.75" customHeight="1">
      <c r="A307" s="258"/>
      <c r="C307" s="180"/>
    </row>
    <row r="308" ht="15.75" customHeight="1">
      <c r="A308" s="258"/>
      <c r="C308" s="180"/>
    </row>
    <row r="309" ht="15.75" customHeight="1">
      <c r="A309" s="258"/>
      <c r="C309" s="180"/>
    </row>
    <row r="310" ht="15.75" customHeight="1">
      <c r="A310" s="258"/>
      <c r="C310" s="180"/>
    </row>
    <row r="311" ht="15.75" customHeight="1">
      <c r="A311" s="258"/>
      <c r="C311" s="180"/>
    </row>
    <row r="312" ht="15.75" customHeight="1">
      <c r="A312" s="258"/>
      <c r="C312" s="180"/>
    </row>
    <row r="313" ht="15.75" customHeight="1">
      <c r="A313" s="258"/>
      <c r="C313" s="180"/>
    </row>
    <row r="314" ht="15.75" customHeight="1">
      <c r="A314" s="258"/>
      <c r="C314" s="180"/>
    </row>
    <row r="315" ht="15.75" customHeight="1">
      <c r="A315" s="258"/>
      <c r="C315" s="180"/>
    </row>
    <row r="316" ht="15.75" customHeight="1">
      <c r="A316" s="258"/>
      <c r="C316" s="180"/>
    </row>
    <row r="317" ht="15.75" customHeight="1">
      <c r="A317" s="258"/>
      <c r="C317" s="180"/>
    </row>
    <row r="318" ht="15.75" customHeight="1">
      <c r="A318" s="258"/>
      <c r="C318" s="180"/>
    </row>
    <row r="319" ht="15.75" customHeight="1">
      <c r="A319" s="258"/>
      <c r="C319" s="180"/>
    </row>
    <row r="320" ht="15.75" customHeight="1">
      <c r="A320" s="258"/>
      <c r="C320" s="180"/>
    </row>
    <row r="321" ht="15.75" customHeight="1">
      <c r="A321" s="258"/>
      <c r="C321" s="180"/>
    </row>
    <row r="322" ht="15.75" customHeight="1">
      <c r="A322" s="258"/>
      <c r="C322" s="180"/>
    </row>
    <row r="323" ht="15.75" customHeight="1">
      <c r="A323" s="258"/>
      <c r="C323" s="180"/>
    </row>
    <row r="324" ht="15.75" customHeight="1">
      <c r="A324" s="258"/>
      <c r="C324" s="180"/>
    </row>
    <row r="325" ht="15.75" customHeight="1">
      <c r="A325" s="258"/>
      <c r="C325" s="180"/>
    </row>
    <row r="326" ht="15.75" customHeight="1">
      <c r="A326" s="258"/>
      <c r="C326" s="180"/>
    </row>
    <row r="327" ht="15.75" customHeight="1">
      <c r="A327" s="258"/>
      <c r="C327" s="180"/>
    </row>
    <row r="328" ht="15.75" customHeight="1">
      <c r="A328" s="258"/>
      <c r="C328" s="180"/>
    </row>
    <row r="329" ht="15.75" customHeight="1">
      <c r="A329" s="258"/>
      <c r="C329" s="180"/>
    </row>
    <row r="330" ht="15.75" customHeight="1">
      <c r="A330" s="258"/>
      <c r="C330" s="180"/>
    </row>
    <row r="331" ht="15.75" customHeight="1">
      <c r="A331" s="258"/>
      <c r="C331" s="180"/>
    </row>
    <row r="332" ht="15.75" customHeight="1">
      <c r="A332" s="258"/>
      <c r="C332" s="180"/>
    </row>
    <row r="333" ht="15.75" customHeight="1">
      <c r="A333" s="258"/>
      <c r="C333" s="180"/>
    </row>
    <row r="334" ht="15.75" customHeight="1">
      <c r="A334" s="258"/>
      <c r="C334" s="180"/>
    </row>
    <row r="335" ht="15.75" customHeight="1">
      <c r="A335" s="258"/>
      <c r="C335" s="180"/>
    </row>
    <row r="336" ht="15.75" customHeight="1">
      <c r="A336" s="258"/>
      <c r="C336" s="180"/>
    </row>
    <row r="337" ht="15.75" customHeight="1">
      <c r="A337" s="258"/>
      <c r="C337" s="180"/>
    </row>
    <row r="338" ht="15.75" customHeight="1">
      <c r="A338" s="258"/>
      <c r="C338" s="180"/>
    </row>
    <row r="339" ht="15.75" customHeight="1">
      <c r="A339" s="258"/>
      <c r="C339" s="180"/>
    </row>
    <row r="340" ht="15.75" customHeight="1">
      <c r="A340" s="258"/>
      <c r="C340" s="180"/>
    </row>
    <row r="341" ht="15.75" customHeight="1">
      <c r="A341" s="258"/>
      <c r="C341" s="180"/>
    </row>
    <row r="342" ht="15.75" customHeight="1">
      <c r="A342" s="258"/>
      <c r="C342" s="180"/>
    </row>
    <row r="343" ht="15.75" customHeight="1">
      <c r="A343" s="258"/>
      <c r="C343" s="180"/>
    </row>
    <row r="344" ht="15.75" customHeight="1">
      <c r="A344" s="258"/>
      <c r="C344" s="180"/>
    </row>
    <row r="345" ht="15.75" customHeight="1">
      <c r="A345" s="258"/>
      <c r="C345" s="180"/>
    </row>
    <row r="346" ht="15.75" customHeight="1">
      <c r="A346" s="258"/>
      <c r="C346" s="180"/>
    </row>
    <row r="347" ht="15.75" customHeight="1">
      <c r="A347" s="258"/>
      <c r="C347" s="180"/>
    </row>
    <row r="348" ht="15.75" customHeight="1">
      <c r="A348" s="258"/>
      <c r="C348" s="180"/>
    </row>
    <row r="349" ht="15.75" customHeight="1">
      <c r="A349" s="258"/>
      <c r="C349" s="180"/>
    </row>
    <row r="350" ht="15.75" customHeight="1">
      <c r="A350" s="258"/>
      <c r="C350" s="180"/>
    </row>
    <row r="351" ht="15.75" customHeight="1">
      <c r="A351" s="258"/>
      <c r="C351" s="180"/>
    </row>
    <row r="352" ht="15.75" customHeight="1">
      <c r="A352" s="258"/>
      <c r="C352" s="180"/>
    </row>
    <row r="353" ht="15.75" customHeight="1">
      <c r="A353" s="258"/>
      <c r="C353" s="180"/>
    </row>
    <row r="354" ht="15.75" customHeight="1">
      <c r="A354" s="258"/>
      <c r="C354" s="180"/>
    </row>
    <row r="355" ht="15.75" customHeight="1">
      <c r="A355" s="258"/>
      <c r="C355" s="180"/>
    </row>
    <row r="356" ht="15.75" customHeight="1">
      <c r="A356" s="258"/>
      <c r="C356" s="180"/>
    </row>
    <row r="357" ht="15.75" customHeight="1">
      <c r="A357" s="258"/>
      <c r="C357" s="180"/>
    </row>
    <row r="358" ht="15.75" customHeight="1">
      <c r="A358" s="258"/>
      <c r="C358" s="180"/>
    </row>
    <row r="359" ht="15.75" customHeight="1">
      <c r="A359" s="258"/>
      <c r="C359" s="180"/>
    </row>
    <row r="360" ht="15.75" customHeight="1">
      <c r="A360" s="258"/>
      <c r="C360" s="180"/>
    </row>
    <row r="361" ht="15.75" customHeight="1">
      <c r="A361" s="258"/>
      <c r="C361" s="180"/>
    </row>
    <row r="362" ht="15.75" customHeight="1">
      <c r="A362" s="258"/>
      <c r="C362" s="180"/>
    </row>
    <row r="363" ht="15.75" customHeight="1">
      <c r="A363" s="258"/>
      <c r="C363" s="180"/>
    </row>
    <row r="364" ht="15.75" customHeight="1">
      <c r="A364" s="258"/>
      <c r="C364" s="180"/>
    </row>
    <row r="365" ht="15.75" customHeight="1">
      <c r="A365" s="258"/>
      <c r="C365" s="180"/>
    </row>
    <row r="366" ht="15.75" customHeight="1">
      <c r="A366" s="258"/>
      <c r="C366" s="180"/>
    </row>
    <row r="367" ht="15.75" customHeight="1">
      <c r="A367" s="258"/>
      <c r="C367" s="180"/>
    </row>
    <row r="368" ht="15.75" customHeight="1">
      <c r="A368" s="258"/>
      <c r="C368" s="180"/>
    </row>
    <row r="369" ht="15.75" customHeight="1">
      <c r="A369" s="258"/>
      <c r="C369" s="180"/>
    </row>
    <row r="370" ht="15.75" customHeight="1">
      <c r="A370" s="258"/>
      <c r="C370" s="180"/>
    </row>
    <row r="371" ht="15.75" customHeight="1">
      <c r="A371" s="258"/>
      <c r="C371" s="180"/>
    </row>
    <row r="372" ht="15.75" customHeight="1">
      <c r="A372" s="258"/>
      <c r="C372" s="180"/>
    </row>
    <row r="373" ht="15.75" customHeight="1">
      <c r="A373" s="258"/>
      <c r="C373" s="180"/>
    </row>
    <row r="374" ht="15.75" customHeight="1">
      <c r="A374" s="258"/>
      <c r="C374" s="180"/>
    </row>
    <row r="375" ht="15.75" customHeight="1">
      <c r="A375" s="258"/>
      <c r="C375" s="180"/>
    </row>
    <row r="376" ht="15.75" customHeight="1">
      <c r="A376" s="258"/>
      <c r="C376" s="180"/>
    </row>
    <row r="377" ht="15.75" customHeight="1">
      <c r="A377" s="258"/>
      <c r="C377" s="180"/>
    </row>
    <row r="378" ht="15.75" customHeight="1">
      <c r="A378" s="258"/>
      <c r="C378" s="180"/>
    </row>
    <row r="379" ht="15.75" customHeight="1">
      <c r="A379" s="258"/>
      <c r="C379" s="180"/>
    </row>
    <row r="380" ht="15.75" customHeight="1">
      <c r="A380" s="258"/>
      <c r="C380" s="180"/>
    </row>
    <row r="381" ht="15.75" customHeight="1">
      <c r="A381" s="258"/>
      <c r="C381" s="180"/>
    </row>
    <row r="382" ht="15.75" customHeight="1">
      <c r="A382" s="258"/>
      <c r="C382" s="180"/>
    </row>
    <row r="383" ht="15.75" customHeight="1">
      <c r="A383" s="258"/>
      <c r="C383" s="180"/>
    </row>
    <row r="384" ht="15.75" customHeight="1">
      <c r="A384" s="258"/>
      <c r="C384" s="180"/>
    </row>
    <row r="385" ht="15.75" customHeight="1">
      <c r="A385" s="258"/>
      <c r="C385" s="180"/>
    </row>
    <row r="386" ht="15.75" customHeight="1">
      <c r="A386" s="258"/>
      <c r="C386" s="180"/>
    </row>
    <row r="387" ht="15.75" customHeight="1">
      <c r="A387" s="258"/>
      <c r="C387" s="180"/>
    </row>
    <row r="388" ht="15.75" customHeight="1">
      <c r="A388" s="258"/>
      <c r="C388" s="180"/>
    </row>
    <row r="389" ht="15.75" customHeight="1">
      <c r="A389" s="258"/>
      <c r="C389" s="180"/>
    </row>
    <row r="390" ht="15.75" customHeight="1">
      <c r="A390" s="258"/>
      <c r="C390" s="180"/>
    </row>
    <row r="391" ht="15.75" customHeight="1">
      <c r="A391" s="258"/>
      <c r="C391" s="180"/>
    </row>
    <row r="392" ht="15.75" customHeight="1">
      <c r="A392" s="258"/>
      <c r="C392" s="180"/>
    </row>
    <row r="393" ht="15.75" customHeight="1">
      <c r="A393" s="258"/>
      <c r="C393" s="180"/>
    </row>
    <row r="394" ht="15.75" customHeight="1">
      <c r="A394" s="258"/>
      <c r="C394" s="180"/>
    </row>
    <row r="395" ht="15.75" customHeight="1">
      <c r="A395" s="258"/>
      <c r="C395" s="180"/>
    </row>
    <row r="396" ht="15.75" customHeight="1">
      <c r="A396" s="258"/>
      <c r="C396" s="180"/>
    </row>
    <row r="397" ht="15.75" customHeight="1">
      <c r="A397" s="258"/>
      <c r="C397" s="180"/>
    </row>
    <row r="398" ht="15.75" customHeight="1">
      <c r="A398" s="258"/>
      <c r="C398" s="180"/>
    </row>
    <row r="399" ht="15.75" customHeight="1">
      <c r="A399" s="258"/>
      <c r="C399" s="180"/>
    </row>
    <row r="400" ht="15.75" customHeight="1">
      <c r="A400" s="258"/>
      <c r="C400" s="180"/>
    </row>
    <row r="401" ht="15.75" customHeight="1">
      <c r="A401" s="258"/>
      <c r="C401" s="180"/>
    </row>
    <row r="402" ht="15.75" customHeight="1">
      <c r="A402" s="258"/>
      <c r="C402" s="180"/>
    </row>
    <row r="403" ht="15.75" customHeight="1">
      <c r="A403" s="258"/>
      <c r="C403" s="180"/>
    </row>
    <row r="404" ht="15.75" customHeight="1">
      <c r="A404" s="258"/>
      <c r="C404" s="180"/>
    </row>
    <row r="405" ht="15.75" customHeight="1">
      <c r="A405" s="258"/>
      <c r="C405" s="180"/>
    </row>
    <row r="406" ht="15.75" customHeight="1">
      <c r="A406" s="258"/>
      <c r="C406" s="180"/>
    </row>
    <row r="407" ht="15.75" customHeight="1">
      <c r="A407" s="258"/>
      <c r="C407" s="180"/>
    </row>
    <row r="408" ht="15.75" customHeight="1">
      <c r="A408" s="258"/>
      <c r="C408" s="180"/>
    </row>
    <row r="409" ht="15.75" customHeight="1">
      <c r="A409" s="258"/>
      <c r="C409" s="180"/>
    </row>
    <row r="410" ht="15.75" customHeight="1">
      <c r="A410" s="258"/>
      <c r="C410" s="180"/>
    </row>
    <row r="411" ht="15.75" customHeight="1">
      <c r="A411" s="258"/>
      <c r="C411" s="180"/>
    </row>
    <row r="412" ht="15.75" customHeight="1">
      <c r="A412" s="258"/>
      <c r="C412" s="180"/>
    </row>
    <row r="413" ht="15.75" customHeight="1">
      <c r="A413" s="258"/>
      <c r="C413" s="180"/>
    </row>
    <row r="414" ht="15.75" customHeight="1">
      <c r="A414" s="258"/>
      <c r="C414" s="180"/>
    </row>
    <row r="415" ht="15.75" customHeight="1">
      <c r="A415" s="258"/>
      <c r="C415" s="180"/>
    </row>
    <row r="416" ht="15.75" customHeight="1">
      <c r="A416" s="258"/>
      <c r="C416" s="180"/>
    </row>
    <row r="417" ht="15.75" customHeight="1">
      <c r="A417" s="258"/>
      <c r="C417" s="180"/>
    </row>
    <row r="418" ht="15.75" customHeight="1">
      <c r="A418" s="258"/>
      <c r="C418" s="180"/>
    </row>
    <row r="419" ht="15.75" customHeight="1">
      <c r="A419" s="258"/>
      <c r="C419" s="180"/>
    </row>
    <row r="420" ht="15.75" customHeight="1">
      <c r="A420" s="258"/>
      <c r="C420" s="180"/>
    </row>
    <row r="421" ht="15.75" customHeight="1">
      <c r="A421" s="258"/>
      <c r="C421" s="180"/>
    </row>
    <row r="422" ht="15.75" customHeight="1">
      <c r="A422" s="258"/>
      <c r="C422" s="180"/>
    </row>
    <row r="423" ht="15.75" customHeight="1">
      <c r="A423" s="258"/>
      <c r="C423" s="180"/>
    </row>
    <row r="424" ht="15.75" customHeight="1">
      <c r="A424" s="258"/>
      <c r="C424" s="180"/>
    </row>
    <row r="425" ht="15.75" customHeight="1">
      <c r="A425" s="258"/>
      <c r="C425" s="180"/>
    </row>
    <row r="426" ht="15.75" customHeight="1">
      <c r="A426" s="258"/>
      <c r="C426" s="180"/>
    </row>
    <row r="427" ht="15.75" customHeight="1">
      <c r="A427" s="258"/>
      <c r="C427" s="180"/>
    </row>
    <row r="428" ht="15.75" customHeight="1">
      <c r="A428" s="258"/>
      <c r="C428" s="180"/>
    </row>
    <row r="429" ht="15.75" customHeight="1">
      <c r="A429" s="258"/>
      <c r="C429" s="180"/>
    </row>
    <row r="430" ht="15.75" customHeight="1">
      <c r="A430" s="258"/>
      <c r="C430" s="180"/>
    </row>
    <row r="431" ht="15.75" customHeight="1">
      <c r="A431" s="258"/>
      <c r="C431" s="180"/>
    </row>
    <row r="432" ht="15.75" customHeight="1">
      <c r="A432" s="258"/>
      <c r="C432" s="180"/>
    </row>
    <row r="433" ht="15.75" customHeight="1">
      <c r="A433" s="258"/>
      <c r="C433" s="180"/>
    </row>
    <row r="434" ht="15.75" customHeight="1">
      <c r="A434" s="258"/>
      <c r="C434" s="180"/>
    </row>
    <row r="435" ht="15.75" customHeight="1">
      <c r="A435" s="258"/>
      <c r="C435" s="180"/>
    </row>
    <row r="436" ht="15.75" customHeight="1">
      <c r="A436" s="258"/>
      <c r="C436" s="180"/>
    </row>
    <row r="437" ht="15.75" customHeight="1">
      <c r="A437" s="258"/>
      <c r="C437" s="180"/>
    </row>
    <row r="438" ht="15.75" customHeight="1">
      <c r="A438" s="258"/>
      <c r="C438" s="180"/>
    </row>
    <row r="439" ht="15.75" customHeight="1">
      <c r="A439" s="258"/>
      <c r="C439" s="180"/>
    </row>
    <row r="440" ht="15.75" customHeight="1">
      <c r="A440" s="258"/>
      <c r="C440" s="180"/>
    </row>
    <row r="441" ht="15.75" customHeight="1">
      <c r="A441" s="258"/>
      <c r="C441" s="180"/>
    </row>
    <row r="442" ht="15.75" customHeight="1">
      <c r="A442" s="258"/>
      <c r="C442" s="180"/>
    </row>
    <row r="443" ht="15.75" customHeight="1">
      <c r="A443" s="258"/>
      <c r="C443" s="180"/>
    </row>
    <row r="444" ht="15.75" customHeight="1">
      <c r="A444" s="258"/>
      <c r="C444" s="180"/>
    </row>
    <row r="445" ht="15.75" customHeight="1">
      <c r="A445" s="258"/>
      <c r="C445" s="180"/>
    </row>
    <row r="446" ht="15.75" customHeight="1">
      <c r="A446" s="258"/>
      <c r="C446" s="180"/>
    </row>
    <row r="447" ht="15.75" customHeight="1">
      <c r="A447" s="258"/>
      <c r="C447" s="180"/>
    </row>
    <row r="448" ht="15.75" customHeight="1">
      <c r="A448" s="258"/>
      <c r="C448" s="180"/>
    </row>
    <row r="449" ht="15.75" customHeight="1">
      <c r="A449" s="258"/>
      <c r="C449" s="180"/>
    </row>
    <row r="450" ht="15.75" customHeight="1">
      <c r="A450" s="258"/>
      <c r="C450" s="180"/>
    </row>
    <row r="451" ht="15.75" customHeight="1">
      <c r="A451" s="258"/>
      <c r="C451" s="180"/>
    </row>
    <row r="452" ht="15.75" customHeight="1">
      <c r="A452" s="258"/>
      <c r="C452" s="180"/>
    </row>
    <row r="453" ht="15.75" customHeight="1">
      <c r="A453" s="258"/>
      <c r="C453" s="180"/>
    </row>
    <row r="454" ht="15.75" customHeight="1">
      <c r="A454" s="258"/>
      <c r="C454" s="180"/>
    </row>
    <row r="455" ht="15.75" customHeight="1">
      <c r="A455" s="258"/>
      <c r="C455" s="180"/>
    </row>
    <row r="456" ht="15.75" customHeight="1">
      <c r="A456" s="258"/>
      <c r="C456" s="180"/>
    </row>
    <row r="457" ht="15.75" customHeight="1">
      <c r="A457" s="258"/>
      <c r="C457" s="180"/>
    </row>
    <row r="458" ht="15.75" customHeight="1">
      <c r="A458" s="258"/>
      <c r="C458" s="180"/>
    </row>
    <row r="459" ht="15.75" customHeight="1">
      <c r="A459" s="258"/>
      <c r="C459" s="180"/>
    </row>
    <row r="460" ht="15.75" customHeight="1">
      <c r="A460" s="258"/>
      <c r="C460" s="180"/>
    </row>
    <row r="461" ht="15.75" customHeight="1">
      <c r="A461" s="258"/>
      <c r="C461" s="180"/>
    </row>
    <row r="462" ht="15.75" customHeight="1">
      <c r="A462" s="258"/>
      <c r="C462" s="180"/>
    </row>
    <row r="463" ht="15.75" customHeight="1">
      <c r="A463" s="258"/>
      <c r="C463" s="180"/>
    </row>
    <row r="464" ht="15.75" customHeight="1">
      <c r="A464" s="258"/>
      <c r="C464" s="180"/>
    </row>
    <row r="465" ht="15.75" customHeight="1">
      <c r="A465" s="258"/>
      <c r="C465" s="180"/>
    </row>
    <row r="466" ht="15.75" customHeight="1">
      <c r="A466" s="258"/>
      <c r="C466" s="180"/>
    </row>
    <row r="467" ht="15.75" customHeight="1">
      <c r="A467" s="258"/>
      <c r="C467" s="180"/>
    </row>
    <row r="468" ht="15.75" customHeight="1">
      <c r="A468" s="258"/>
      <c r="C468" s="180"/>
    </row>
    <row r="469" ht="15.75" customHeight="1">
      <c r="A469" s="258"/>
      <c r="C469" s="180"/>
    </row>
    <row r="470" ht="15.75" customHeight="1">
      <c r="A470" s="258"/>
      <c r="C470" s="180"/>
    </row>
    <row r="471" ht="15.75" customHeight="1">
      <c r="A471" s="258"/>
      <c r="C471" s="180"/>
    </row>
    <row r="472" ht="15.75" customHeight="1">
      <c r="A472" s="258"/>
      <c r="C472" s="180"/>
    </row>
    <row r="473" ht="15.75" customHeight="1">
      <c r="A473" s="258"/>
      <c r="C473" s="180"/>
    </row>
    <row r="474" ht="15.75" customHeight="1">
      <c r="A474" s="258"/>
      <c r="C474" s="180"/>
    </row>
    <row r="475" ht="15.75" customHeight="1">
      <c r="A475" s="258"/>
      <c r="C475" s="180"/>
    </row>
    <row r="476" ht="15.75" customHeight="1">
      <c r="A476" s="258"/>
      <c r="C476" s="180"/>
    </row>
    <row r="477" ht="15.75" customHeight="1">
      <c r="A477" s="258"/>
      <c r="C477" s="180"/>
    </row>
    <row r="478" ht="15.75" customHeight="1">
      <c r="A478" s="258"/>
      <c r="C478" s="180"/>
    </row>
    <row r="479" ht="15.75" customHeight="1">
      <c r="A479" s="258"/>
      <c r="C479" s="180"/>
    </row>
    <row r="480" ht="15.75" customHeight="1">
      <c r="A480" s="258"/>
      <c r="C480" s="180"/>
    </row>
    <row r="481" ht="15.75" customHeight="1">
      <c r="A481" s="258"/>
      <c r="C481" s="180"/>
    </row>
    <row r="482" ht="15.75" customHeight="1">
      <c r="A482" s="258"/>
      <c r="C482" s="180"/>
    </row>
    <row r="483" ht="15.75" customHeight="1">
      <c r="A483" s="258"/>
      <c r="C483" s="180"/>
    </row>
    <row r="484" ht="15.75" customHeight="1">
      <c r="A484" s="258"/>
      <c r="C484" s="180"/>
    </row>
    <row r="485" ht="15.75" customHeight="1">
      <c r="A485" s="258"/>
      <c r="C485" s="180"/>
    </row>
    <row r="486" ht="15.75" customHeight="1">
      <c r="A486" s="258"/>
      <c r="C486" s="180"/>
    </row>
    <row r="487" ht="15.75" customHeight="1">
      <c r="A487" s="258"/>
      <c r="C487" s="180"/>
    </row>
    <row r="488" ht="15.75" customHeight="1">
      <c r="A488" s="258"/>
      <c r="C488" s="180"/>
    </row>
    <row r="489" ht="15.75" customHeight="1">
      <c r="A489" s="258"/>
      <c r="C489" s="180"/>
    </row>
    <row r="490" ht="15.75" customHeight="1">
      <c r="A490" s="258"/>
      <c r="C490" s="180"/>
    </row>
    <row r="491" ht="15.75" customHeight="1">
      <c r="A491" s="258"/>
      <c r="C491" s="180"/>
    </row>
    <row r="492" ht="15.75" customHeight="1">
      <c r="A492" s="258"/>
      <c r="C492" s="180"/>
    </row>
    <row r="493" ht="15.75" customHeight="1">
      <c r="A493" s="258"/>
      <c r="C493" s="180"/>
    </row>
    <row r="494" ht="15.75" customHeight="1">
      <c r="A494" s="258"/>
      <c r="C494" s="180"/>
    </row>
    <row r="495" ht="15.75" customHeight="1">
      <c r="A495" s="258"/>
      <c r="C495" s="180"/>
    </row>
    <row r="496" ht="15.75" customHeight="1">
      <c r="A496" s="258"/>
      <c r="C496" s="180"/>
    </row>
    <row r="497" ht="15.75" customHeight="1">
      <c r="A497" s="258"/>
      <c r="C497" s="180"/>
    </row>
    <row r="498" ht="15.75" customHeight="1">
      <c r="A498" s="258"/>
      <c r="C498" s="180"/>
    </row>
    <row r="499" ht="15.75" customHeight="1">
      <c r="A499" s="258"/>
      <c r="C499" s="180"/>
    </row>
    <row r="500" ht="15.75" customHeight="1">
      <c r="A500" s="258"/>
      <c r="C500" s="180"/>
    </row>
    <row r="501" ht="15.75" customHeight="1">
      <c r="A501" s="258"/>
      <c r="C501" s="180"/>
    </row>
    <row r="502" ht="15.75" customHeight="1">
      <c r="A502" s="258"/>
      <c r="C502" s="180"/>
    </row>
    <row r="503" ht="15.75" customHeight="1">
      <c r="A503" s="258"/>
      <c r="C503" s="180"/>
    </row>
    <row r="504" ht="15.75" customHeight="1">
      <c r="A504" s="258"/>
      <c r="C504" s="180"/>
    </row>
    <row r="505" ht="15.75" customHeight="1">
      <c r="A505" s="258"/>
      <c r="C505" s="180"/>
    </row>
    <row r="506" ht="15.75" customHeight="1">
      <c r="A506" s="258"/>
      <c r="C506" s="180"/>
    </row>
    <row r="507" ht="15.75" customHeight="1">
      <c r="A507" s="258"/>
      <c r="C507" s="180"/>
    </row>
    <row r="508" ht="15.75" customHeight="1">
      <c r="A508" s="258"/>
      <c r="C508" s="180"/>
    </row>
    <row r="509" ht="15.75" customHeight="1">
      <c r="A509" s="258"/>
      <c r="C509" s="180"/>
    </row>
    <row r="510" ht="15.75" customHeight="1">
      <c r="A510" s="258"/>
      <c r="C510" s="180"/>
    </row>
    <row r="511" ht="15.75" customHeight="1">
      <c r="A511" s="258"/>
      <c r="C511" s="180"/>
    </row>
    <row r="512" ht="15.75" customHeight="1">
      <c r="A512" s="258"/>
      <c r="C512" s="180"/>
    </row>
    <row r="513" ht="15.75" customHeight="1">
      <c r="A513" s="258"/>
      <c r="C513" s="180"/>
    </row>
    <row r="514" ht="15.75" customHeight="1">
      <c r="A514" s="258"/>
      <c r="C514" s="180"/>
    </row>
    <row r="515" ht="15.75" customHeight="1">
      <c r="A515" s="258"/>
      <c r="C515" s="180"/>
    </row>
    <row r="516" ht="15.75" customHeight="1">
      <c r="A516" s="258"/>
      <c r="C516" s="180"/>
    </row>
    <row r="517" ht="15.75" customHeight="1">
      <c r="A517" s="258"/>
      <c r="C517" s="180"/>
    </row>
    <row r="518" ht="15.75" customHeight="1">
      <c r="A518" s="258"/>
      <c r="C518" s="180"/>
    </row>
    <row r="519" ht="15.75" customHeight="1">
      <c r="A519" s="258"/>
      <c r="C519" s="180"/>
    </row>
    <row r="520" ht="15.75" customHeight="1">
      <c r="A520" s="258"/>
      <c r="C520" s="180"/>
    </row>
    <row r="521" ht="15.75" customHeight="1">
      <c r="A521" s="258"/>
      <c r="C521" s="180"/>
    </row>
    <row r="522" ht="15.75" customHeight="1">
      <c r="A522" s="258"/>
      <c r="C522" s="180"/>
    </row>
    <row r="523" ht="15.75" customHeight="1">
      <c r="A523" s="258"/>
      <c r="C523" s="180"/>
    </row>
    <row r="524" ht="15.75" customHeight="1">
      <c r="A524" s="258"/>
      <c r="C524" s="180"/>
    </row>
    <row r="525" ht="15.75" customHeight="1">
      <c r="A525" s="258"/>
      <c r="C525" s="180"/>
    </row>
    <row r="526" ht="15.75" customHeight="1">
      <c r="A526" s="258"/>
      <c r="C526" s="180"/>
    </row>
    <row r="527" ht="15.75" customHeight="1">
      <c r="A527" s="258"/>
      <c r="C527" s="180"/>
    </row>
    <row r="528" ht="15.75" customHeight="1">
      <c r="A528" s="258"/>
      <c r="C528" s="180"/>
    </row>
    <row r="529" ht="15.75" customHeight="1">
      <c r="A529" s="258"/>
      <c r="C529" s="180"/>
    </row>
    <row r="530" ht="15.75" customHeight="1">
      <c r="A530" s="258"/>
      <c r="C530" s="180"/>
    </row>
    <row r="531" ht="15.75" customHeight="1">
      <c r="A531" s="258"/>
      <c r="C531" s="180"/>
    </row>
    <row r="532" ht="15.75" customHeight="1">
      <c r="A532" s="258"/>
      <c r="C532" s="180"/>
    </row>
    <row r="533" ht="15.75" customHeight="1">
      <c r="A533" s="258"/>
      <c r="C533" s="180"/>
    </row>
    <row r="534" ht="15.75" customHeight="1">
      <c r="A534" s="258"/>
      <c r="C534" s="180"/>
    </row>
    <row r="535" ht="15.75" customHeight="1">
      <c r="A535" s="258"/>
      <c r="C535" s="180"/>
    </row>
    <row r="536" ht="15.75" customHeight="1">
      <c r="A536" s="258"/>
      <c r="C536" s="180"/>
    </row>
    <row r="537" ht="15.75" customHeight="1">
      <c r="A537" s="258"/>
      <c r="C537" s="180"/>
    </row>
    <row r="538" ht="15.75" customHeight="1">
      <c r="A538" s="258"/>
      <c r="C538" s="180"/>
    </row>
    <row r="539" ht="15.75" customHeight="1">
      <c r="A539" s="258"/>
      <c r="C539" s="180"/>
    </row>
    <row r="540" ht="15.75" customHeight="1">
      <c r="A540" s="258"/>
      <c r="C540" s="180"/>
    </row>
    <row r="541" ht="15.75" customHeight="1">
      <c r="A541" s="258"/>
      <c r="C541" s="180"/>
    </row>
    <row r="542" ht="15.75" customHeight="1">
      <c r="A542" s="258"/>
      <c r="C542" s="180"/>
    </row>
    <row r="543" ht="15.75" customHeight="1">
      <c r="A543" s="258"/>
      <c r="C543" s="180"/>
    </row>
    <row r="544" ht="15.75" customHeight="1">
      <c r="A544" s="258"/>
      <c r="C544" s="180"/>
    </row>
    <row r="545" ht="15.75" customHeight="1">
      <c r="A545" s="258"/>
      <c r="C545" s="180"/>
    </row>
    <row r="546" ht="15.75" customHeight="1">
      <c r="A546" s="258"/>
      <c r="C546" s="180"/>
    </row>
    <row r="547" ht="15.75" customHeight="1">
      <c r="A547" s="258"/>
      <c r="C547" s="180"/>
    </row>
    <row r="548" ht="15.75" customHeight="1">
      <c r="A548" s="258"/>
      <c r="C548" s="180"/>
    </row>
    <row r="549" ht="15.75" customHeight="1">
      <c r="A549" s="258"/>
      <c r="C549" s="180"/>
    </row>
    <row r="550" ht="15.75" customHeight="1">
      <c r="A550" s="258"/>
      <c r="C550" s="180"/>
    </row>
    <row r="551" ht="15.75" customHeight="1">
      <c r="A551" s="258"/>
      <c r="C551" s="180"/>
    </row>
    <row r="552" ht="15.75" customHeight="1">
      <c r="A552" s="258"/>
      <c r="C552" s="180"/>
    </row>
    <row r="553" ht="15.75" customHeight="1">
      <c r="A553" s="258"/>
      <c r="C553" s="180"/>
    </row>
    <row r="554" ht="15.75" customHeight="1">
      <c r="A554" s="258"/>
      <c r="C554" s="180"/>
    </row>
    <row r="555" ht="15.75" customHeight="1">
      <c r="A555" s="258"/>
      <c r="C555" s="180"/>
    </row>
    <row r="556" ht="15.75" customHeight="1">
      <c r="A556" s="258"/>
      <c r="C556" s="180"/>
    </row>
    <row r="557" ht="15.75" customHeight="1">
      <c r="A557" s="258"/>
      <c r="C557" s="180"/>
    </row>
    <row r="558" ht="15.75" customHeight="1">
      <c r="A558" s="258"/>
      <c r="C558" s="180"/>
    </row>
    <row r="559" ht="15.75" customHeight="1">
      <c r="A559" s="258"/>
      <c r="C559" s="180"/>
    </row>
    <row r="560" ht="15.75" customHeight="1">
      <c r="A560" s="258"/>
      <c r="C560" s="180"/>
    </row>
    <row r="561" ht="15.75" customHeight="1">
      <c r="A561" s="258"/>
      <c r="C561" s="180"/>
    </row>
    <row r="562" ht="15.75" customHeight="1">
      <c r="A562" s="258"/>
      <c r="C562" s="180"/>
    </row>
    <row r="563" ht="15.75" customHeight="1">
      <c r="A563" s="258"/>
      <c r="C563" s="180"/>
    </row>
    <row r="564" ht="15.75" customHeight="1">
      <c r="A564" s="258"/>
      <c r="C564" s="180"/>
    </row>
    <row r="565" ht="15.75" customHeight="1">
      <c r="A565" s="258"/>
      <c r="C565" s="180"/>
    </row>
    <row r="566" ht="15.75" customHeight="1">
      <c r="A566" s="258"/>
      <c r="C566" s="180"/>
    </row>
    <row r="567" ht="15.75" customHeight="1">
      <c r="A567" s="258"/>
      <c r="C567" s="180"/>
    </row>
    <row r="568" ht="15.75" customHeight="1">
      <c r="A568" s="258"/>
      <c r="C568" s="180"/>
    </row>
    <row r="569" ht="15.75" customHeight="1">
      <c r="A569" s="258"/>
      <c r="C569" s="180"/>
    </row>
    <row r="570" ht="15.75" customHeight="1">
      <c r="A570" s="258"/>
      <c r="C570" s="180"/>
    </row>
    <row r="571" ht="15.75" customHeight="1">
      <c r="A571" s="258"/>
      <c r="C571" s="180"/>
    </row>
    <row r="572" ht="15.75" customHeight="1">
      <c r="A572" s="258"/>
      <c r="C572" s="180"/>
    </row>
    <row r="573" ht="15.75" customHeight="1">
      <c r="A573" s="258"/>
      <c r="C573" s="180"/>
    </row>
    <row r="574" ht="15.75" customHeight="1">
      <c r="A574" s="258"/>
      <c r="C574" s="180"/>
    </row>
    <row r="575" ht="15.75" customHeight="1">
      <c r="A575" s="258"/>
      <c r="C575" s="180"/>
    </row>
    <row r="576" ht="15.75" customHeight="1">
      <c r="A576" s="258"/>
      <c r="C576" s="180"/>
    </row>
    <row r="577" ht="15.75" customHeight="1">
      <c r="A577" s="258"/>
      <c r="C577" s="180"/>
    </row>
    <row r="578" ht="15.75" customHeight="1">
      <c r="A578" s="258"/>
      <c r="C578" s="180"/>
    </row>
    <row r="579" ht="15.75" customHeight="1">
      <c r="A579" s="258"/>
      <c r="C579" s="180"/>
    </row>
    <row r="580" ht="15.75" customHeight="1">
      <c r="A580" s="258"/>
      <c r="C580" s="180"/>
    </row>
    <row r="581" ht="15.75" customHeight="1">
      <c r="A581" s="258"/>
      <c r="C581" s="180"/>
    </row>
    <row r="582" ht="15.75" customHeight="1">
      <c r="A582" s="258"/>
      <c r="C582" s="180"/>
    </row>
    <row r="583" ht="15.75" customHeight="1">
      <c r="A583" s="258"/>
      <c r="C583" s="180"/>
    </row>
    <row r="584" ht="15.75" customHeight="1">
      <c r="A584" s="258"/>
      <c r="C584" s="180"/>
    </row>
    <row r="585" ht="15.75" customHeight="1">
      <c r="A585" s="258"/>
      <c r="C585" s="180"/>
    </row>
    <row r="586" ht="15.75" customHeight="1">
      <c r="A586" s="258"/>
      <c r="C586" s="180"/>
    </row>
    <row r="587" ht="15.75" customHeight="1">
      <c r="A587" s="258"/>
      <c r="C587" s="180"/>
    </row>
    <row r="588" ht="15.75" customHeight="1">
      <c r="A588" s="258"/>
      <c r="C588" s="180"/>
    </row>
    <row r="589" ht="15.75" customHeight="1">
      <c r="A589" s="258"/>
      <c r="C589" s="180"/>
    </row>
    <row r="590" ht="15.75" customHeight="1">
      <c r="A590" s="258"/>
      <c r="C590" s="180"/>
    </row>
    <row r="591" ht="15.75" customHeight="1">
      <c r="A591" s="258"/>
      <c r="C591" s="180"/>
    </row>
    <row r="592" ht="15.75" customHeight="1">
      <c r="A592" s="258"/>
      <c r="C592" s="180"/>
    </row>
    <row r="593" ht="15.75" customHeight="1">
      <c r="A593" s="258"/>
      <c r="C593" s="180"/>
    </row>
    <row r="594" ht="15.75" customHeight="1">
      <c r="A594" s="258"/>
      <c r="C594" s="180"/>
    </row>
    <row r="595" ht="15.75" customHeight="1">
      <c r="A595" s="258"/>
      <c r="C595" s="180"/>
    </row>
    <row r="596" ht="15.75" customHeight="1">
      <c r="A596" s="258"/>
      <c r="C596" s="180"/>
    </row>
    <row r="597" ht="15.75" customHeight="1">
      <c r="A597" s="258"/>
      <c r="C597" s="180"/>
    </row>
    <row r="598" ht="15.75" customHeight="1">
      <c r="A598" s="258"/>
      <c r="C598" s="180"/>
    </row>
    <row r="599" ht="15.75" customHeight="1">
      <c r="A599" s="258"/>
      <c r="C599" s="180"/>
    </row>
    <row r="600" ht="15.75" customHeight="1">
      <c r="A600" s="258"/>
      <c r="C600" s="180"/>
    </row>
    <row r="601" ht="15.75" customHeight="1">
      <c r="A601" s="258"/>
      <c r="C601" s="180"/>
    </row>
    <row r="602" ht="15.75" customHeight="1">
      <c r="A602" s="258"/>
      <c r="C602" s="180"/>
    </row>
    <row r="603" ht="15.75" customHeight="1">
      <c r="A603" s="258"/>
      <c r="C603" s="180"/>
    </row>
    <row r="604" ht="15.75" customHeight="1">
      <c r="A604" s="258"/>
      <c r="C604" s="180"/>
    </row>
    <row r="605" ht="15.75" customHeight="1">
      <c r="A605" s="258"/>
      <c r="C605" s="180"/>
    </row>
    <row r="606" ht="15.75" customHeight="1">
      <c r="A606" s="258"/>
      <c r="C606" s="180"/>
    </row>
    <row r="607" ht="15.75" customHeight="1">
      <c r="A607" s="258"/>
      <c r="C607" s="180"/>
    </row>
    <row r="608" ht="15.75" customHeight="1">
      <c r="A608" s="258"/>
      <c r="C608" s="180"/>
    </row>
    <row r="609" ht="15.75" customHeight="1">
      <c r="A609" s="258"/>
      <c r="C609" s="180"/>
    </row>
    <row r="610" ht="15.75" customHeight="1">
      <c r="A610" s="258"/>
      <c r="C610" s="180"/>
    </row>
    <row r="611" ht="15.75" customHeight="1">
      <c r="A611" s="258"/>
      <c r="C611" s="180"/>
    </row>
    <row r="612" ht="15.75" customHeight="1">
      <c r="A612" s="258"/>
      <c r="C612" s="180"/>
    </row>
    <row r="613" ht="15.75" customHeight="1">
      <c r="A613" s="258"/>
      <c r="C613" s="180"/>
    </row>
    <row r="614" ht="15.75" customHeight="1">
      <c r="A614" s="258"/>
      <c r="C614" s="180"/>
    </row>
    <row r="615" ht="15.75" customHeight="1">
      <c r="A615" s="258"/>
      <c r="C615" s="180"/>
    </row>
    <row r="616" ht="15.75" customHeight="1">
      <c r="A616" s="258"/>
      <c r="C616" s="180"/>
    </row>
    <row r="617" ht="15.75" customHeight="1">
      <c r="A617" s="258"/>
      <c r="C617" s="180"/>
    </row>
    <row r="618" ht="15.75" customHeight="1">
      <c r="A618" s="258"/>
      <c r="C618" s="180"/>
    </row>
    <row r="619" ht="15.75" customHeight="1">
      <c r="A619" s="258"/>
      <c r="C619" s="180"/>
    </row>
    <row r="620" ht="15.75" customHeight="1">
      <c r="A620" s="258"/>
      <c r="C620" s="180"/>
    </row>
    <row r="621" ht="15.75" customHeight="1">
      <c r="A621" s="258"/>
      <c r="C621" s="180"/>
    </row>
    <row r="622" ht="15.75" customHeight="1">
      <c r="A622" s="258"/>
      <c r="C622" s="180"/>
    </row>
    <row r="623" ht="15.75" customHeight="1">
      <c r="A623" s="258"/>
      <c r="C623" s="180"/>
    </row>
    <row r="624" ht="15.75" customHeight="1">
      <c r="A624" s="258"/>
      <c r="C624" s="180"/>
    </row>
    <row r="625" ht="15.75" customHeight="1">
      <c r="A625" s="258"/>
      <c r="C625" s="180"/>
    </row>
    <row r="626" ht="15.75" customHeight="1">
      <c r="A626" s="258"/>
      <c r="C626" s="180"/>
    </row>
    <row r="627" ht="15.75" customHeight="1">
      <c r="A627" s="258"/>
      <c r="C627" s="180"/>
    </row>
    <row r="628" ht="15.75" customHeight="1">
      <c r="A628" s="258"/>
      <c r="C628" s="180"/>
    </row>
    <row r="629" ht="15.75" customHeight="1">
      <c r="A629" s="258"/>
      <c r="C629" s="180"/>
    </row>
    <row r="630" ht="15.75" customHeight="1">
      <c r="A630" s="258"/>
      <c r="C630" s="180"/>
    </row>
    <row r="631" ht="15.75" customHeight="1">
      <c r="A631" s="258"/>
      <c r="C631" s="180"/>
    </row>
    <row r="632" ht="15.75" customHeight="1">
      <c r="A632" s="258"/>
      <c r="C632" s="180"/>
    </row>
    <row r="633" ht="15.75" customHeight="1">
      <c r="A633" s="258"/>
      <c r="C633" s="180"/>
    </row>
    <row r="634" ht="15.75" customHeight="1">
      <c r="A634" s="258"/>
      <c r="C634" s="180"/>
    </row>
    <row r="635" ht="15.75" customHeight="1">
      <c r="A635" s="258"/>
      <c r="C635" s="180"/>
    </row>
    <row r="636" ht="15.75" customHeight="1">
      <c r="A636" s="258"/>
      <c r="C636" s="180"/>
    </row>
    <row r="637" ht="15.75" customHeight="1">
      <c r="A637" s="258"/>
      <c r="C637" s="180"/>
    </row>
    <row r="638" ht="15.75" customHeight="1">
      <c r="A638" s="258"/>
      <c r="C638" s="180"/>
    </row>
    <row r="639" ht="15.75" customHeight="1">
      <c r="A639" s="258"/>
      <c r="C639" s="180"/>
    </row>
    <row r="640" ht="15.75" customHeight="1">
      <c r="A640" s="258"/>
      <c r="C640" s="180"/>
    </row>
    <row r="641" ht="15.75" customHeight="1">
      <c r="A641" s="258"/>
      <c r="C641" s="180"/>
    </row>
    <row r="642" ht="15.75" customHeight="1">
      <c r="A642" s="258"/>
      <c r="C642" s="180"/>
    </row>
    <row r="643" ht="15.75" customHeight="1">
      <c r="A643" s="258"/>
      <c r="C643" s="180"/>
    </row>
    <row r="644" ht="15.75" customHeight="1">
      <c r="A644" s="258"/>
      <c r="C644" s="180"/>
    </row>
    <row r="645" ht="15.75" customHeight="1">
      <c r="A645" s="258"/>
      <c r="C645" s="180"/>
    </row>
    <row r="646" ht="15.75" customHeight="1">
      <c r="A646" s="258"/>
      <c r="C646" s="180"/>
    </row>
    <row r="647" ht="15.75" customHeight="1">
      <c r="A647" s="258"/>
      <c r="C647" s="180"/>
    </row>
    <row r="648" ht="15.75" customHeight="1">
      <c r="A648" s="258"/>
      <c r="C648" s="180"/>
    </row>
    <row r="649" ht="15.75" customHeight="1">
      <c r="A649" s="258"/>
      <c r="C649" s="180"/>
    </row>
    <row r="650" ht="15.75" customHeight="1">
      <c r="A650" s="258"/>
      <c r="C650" s="180"/>
    </row>
    <row r="651" ht="15.75" customHeight="1">
      <c r="A651" s="258"/>
      <c r="C651" s="180"/>
    </row>
    <row r="652" ht="15.75" customHeight="1">
      <c r="A652" s="258"/>
      <c r="C652" s="180"/>
    </row>
    <row r="653" ht="15.75" customHeight="1">
      <c r="A653" s="258"/>
      <c r="C653" s="180"/>
    </row>
    <row r="654" ht="15.75" customHeight="1">
      <c r="A654" s="258"/>
      <c r="C654" s="180"/>
    </row>
    <row r="655" ht="15.75" customHeight="1">
      <c r="A655" s="258"/>
      <c r="C655" s="180"/>
    </row>
    <row r="656" ht="15.75" customHeight="1">
      <c r="A656" s="258"/>
      <c r="C656" s="180"/>
    </row>
    <row r="657" ht="15.75" customHeight="1">
      <c r="A657" s="258"/>
      <c r="C657" s="180"/>
    </row>
    <row r="658" ht="15.75" customHeight="1">
      <c r="A658" s="258"/>
      <c r="C658" s="180"/>
    </row>
    <row r="659" ht="15.75" customHeight="1">
      <c r="A659" s="258"/>
      <c r="C659" s="180"/>
    </row>
    <row r="660" ht="15.75" customHeight="1">
      <c r="A660" s="258"/>
      <c r="C660" s="180"/>
    </row>
    <row r="661" ht="15.75" customHeight="1">
      <c r="A661" s="258"/>
      <c r="C661" s="180"/>
    </row>
    <row r="662" ht="15.75" customHeight="1">
      <c r="A662" s="258"/>
      <c r="C662" s="180"/>
    </row>
    <row r="663" ht="15.75" customHeight="1">
      <c r="A663" s="258"/>
      <c r="C663" s="180"/>
    </row>
    <row r="664" ht="15.75" customHeight="1">
      <c r="A664" s="258"/>
      <c r="C664" s="180"/>
    </row>
    <row r="665" ht="15.75" customHeight="1">
      <c r="A665" s="258"/>
      <c r="C665" s="180"/>
    </row>
    <row r="666" ht="15.75" customHeight="1">
      <c r="A666" s="258"/>
      <c r="C666" s="180"/>
    </row>
    <row r="667" ht="15.75" customHeight="1">
      <c r="A667" s="258"/>
      <c r="C667" s="180"/>
    </row>
    <row r="668" ht="15.75" customHeight="1">
      <c r="A668" s="258"/>
      <c r="C668" s="180"/>
    </row>
    <row r="669" ht="15.75" customHeight="1">
      <c r="A669" s="258"/>
      <c r="C669" s="180"/>
    </row>
    <row r="670" ht="15.75" customHeight="1">
      <c r="A670" s="258"/>
      <c r="C670" s="180"/>
    </row>
    <row r="671" ht="15.75" customHeight="1">
      <c r="A671" s="258"/>
      <c r="C671" s="180"/>
    </row>
    <row r="672" ht="15.75" customHeight="1">
      <c r="A672" s="258"/>
      <c r="C672" s="180"/>
    </row>
    <row r="673" ht="15.75" customHeight="1">
      <c r="A673" s="258"/>
      <c r="C673" s="180"/>
    </row>
    <row r="674" ht="15.75" customHeight="1">
      <c r="A674" s="258"/>
      <c r="C674" s="180"/>
    </row>
    <row r="675" ht="15.75" customHeight="1">
      <c r="A675" s="258"/>
      <c r="C675" s="180"/>
    </row>
    <row r="676" ht="15.75" customHeight="1">
      <c r="A676" s="258"/>
      <c r="C676" s="180"/>
    </row>
    <row r="677" ht="15.75" customHeight="1">
      <c r="A677" s="258"/>
      <c r="C677" s="180"/>
    </row>
    <row r="678" ht="15.75" customHeight="1">
      <c r="A678" s="258"/>
      <c r="C678" s="180"/>
    </row>
    <row r="679" ht="15.75" customHeight="1">
      <c r="A679" s="258"/>
      <c r="C679" s="180"/>
    </row>
    <row r="680" ht="15.75" customHeight="1">
      <c r="A680" s="258"/>
      <c r="C680" s="180"/>
    </row>
    <row r="681" ht="15.75" customHeight="1">
      <c r="A681" s="258"/>
      <c r="C681" s="180"/>
    </row>
    <row r="682" ht="15.75" customHeight="1">
      <c r="A682" s="258"/>
      <c r="C682" s="180"/>
    </row>
    <row r="683" ht="15.75" customHeight="1">
      <c r="A683" s="258"/>
      <c r="C683" s="180"/>
    </row>
    <row r="684" ht="15.75" customHeight="1">
      <c r="A684" s="258"/>
      <c r="C684" s="180"/>
    </row>
    <row r="685" ht="15.75" customHeight="1">
      <c r="A685" s="258"/>
      <c r="C685" s="180"/>
    </row>
    <row r="686" ht="15.75" customHeight="1">
      <c r="A686" s="258"/>
      <c r="C686" s="180"/>
    </row>
    <row r="687" ht="15.75" customHeight="1">
      <c r="A687" s="258"/>
      <c r="C687" s="180"/>
    </row>
    <row r="688" ht="15.75" customHeight="1">
      <c r="A688" s="258"/>
      <c r="C688" s="180"/>
    </row>
    <row r="689" ht="15.75" customHeight="1">
      <c r="A689" s="258"/>
      <c r="C689" s="180"/>
    </row>
    <row r="690" ht="15.75" customHeight="1">
      <c r="A690" s="258"/>
      <c r="C690" s="180"/>
    </row>
    <row r="691" ht="15.75" customHeight="1">
      <c r="A691" s="258"/>
      <c r="C691" s="180"/>
    </row>
    <row r="692" ht="15.75" customHeight="1">
      <c r="A692" s="258"/>
      <c r="C692" s="180"/>
    </row>
    <row r="693" ht="15.75" customHeight="1">
      <c r="A693" s="258"/>
      <c r="C693" s="180"/>
    </row>
    <row r="694" ht="15.75" customHeight="1">
      <c r="A694" s="258"/>
      <c r="C694" s="180"/>
    </row>
    <row r="695" ht="15.75" customHeight="1">
      <c r="A695" s="258"/>
      <c r="C695" s="180"/>
    </row>
    <row r="696" ht="15.75" customHeight="1">
      <c r="A696" s="258"/>
      <c r="C696" s="180"/>
    </row>
    <row r="697" ht="15.75" customHeight="1">
      <c r="A697" s="258"/>
      <c r="C697" s="180"/>
    </row>
    <row r="698" ht="15.75" customHeight="1">
      <c r="A698" s="258"/>
      <c r="C698" s="180"/>
    </row>
    <row r="699" ht="15.75" customHeight="1">
      <c r="A699" s="258"/>
      <c r="C699" s="180"/>
    </row>
    <row r="700" ht="15.75" customHeight="1">
      <c r="A700" s="258"/>
      <c r="C700" s="180"/>
    </row>
    <row r="701" ht="15.75" customHeight="1">
      <c r="A701" s="258"/>
      <c r="C701" s="180"/>
    </row>
    <row r="702" ht="15.75" customHeight="1">
      <c r="A702" s="258"/>
      <c r="C702" s="180"/>
    </row>
    <row r="703" ht="15.75" customHeight="1">
      <c r="A703" s="258"/>
      <c r="C703" s="180"/>
    </row>
    <row r="704" ht="15.75" customHeight="1">
      <c r="A704" s="258"/>
      <c r="C704" s="180"/>
    </row>
    <row r="705" ht="15.75" customHeight="1">
      <c r="A705" s="258"/>
      <c r="C705" s="180"/>
    </row>
    <row r="706" ht="15.75" customHeight="1">
      <c r="A706" s="258"/>
      <c r="C706" s="180"/>
    </row>
    <row r="707" ht="15.75" customHeight="1">
      <c r="A707" s="258"/>
      <c r="C707" s="180"/>
    </row>
    <row r="708" ht="15.75" customHeight="1">
      <c r="A708" s="258"/>
      <c r="C708" s="180"/>
    </row>
    <row r="709" ht="15.75" customHeight="1">
      <c r="A709" s="258"/>
      <c r="C709" s="180"/>
    </row>
    <row r="710" ht="15.75" customHeight="1">
      <c r="A710" s="258"/>
      <c r="C710" s="180"/>
    </row>
    <row r="711" ht="15.75" customHeight="1">
      <c r="A711" s="258"/>
      <c r="C711" s="180"/>
    </row>
    <row r="712" ht="15.75" customHeight="1">
      <c r="A712" s="258"/>
      <c r="C712" s="180"/>
    </row>
    <row r="713" ht="15.75" customHeight="1">
      <c r="A713" s="258"/>
      <c r="C713" s="180"/>
    </row>
    <row r="714" ht="15.75" customHeight="1">
      <c r="A714" s="258"/>
      <c r="C714" s="180"/>
    </row>
    <row r="715" ht="15.75" customHeight="1">
      <c r="A715" s="258"/>
      <c r="C715" s="180"/>
    </row>
    <row r="716" ht="15.75" customHeight="1">
      <c r="A716" s="258"/>
      <c r="C716" s="180"/>
    </row>
    <row r="717" ht="15.75" customHeight="1">
      <c r="A717" s="258"/>
      <c r="C717" s="180"/>
    </row>
    <row r="718" ht="15.75" customHeight="1">
      <c r="A718" s="258"/>
      <c r="C718" s="180"/>
    </row>
    <row r="719" ht="15.75" customHeight="1">
      <c r="A719" s="258"/>
      <c r="C719" s="180"/>
    </row>
    <row r="720" ht="15.75" customHeight="1">
      <c r="A720" s="258"/>
      <c r="C720" s="180"/>
    </row>
    <row r="721" ht="15.75" customHeight="1">
      <c r="A721" s="258"/>
      <c r="C721" s="180"/>
    </row>
    <row r="722" ht="15.75" customHeight="1">
      <c r="A722" s="258"/>
      <c r="C722" s="180"/>
    </row>
    <row r="723" ht="15.75" customHeight="1">
      <c r="A723" s="258"/>
      <c r="C723" s="180"/>
    </row>
    <row r="724" ht="15.75" customHeight="1">
      <c r="A724" s="258"/>
      <c r="C724" s="180"/>
    </row>
    <row r="725" ht="15.75" customHeight="1">
      <c r="A725" s="258"/>
      <c r="C725" s="180"/>
    </row>
    <row r="726" ht="15.75" customHeight="1">
      <c r="A726" s="258"/>
      <c r="C726" s="180"/>
    </row>
    <row r="727" ht="15.75" customHeight="1">
      <c r="A727" s="258"/>
      <c r="C727" s="180"/>
    </row>
    <row r="728" ht="15.75" customHeight="1">
      <c r="A728" s="258"/>
      <c r="C728" s="180"/>
    </row>
    <row r="729" ht="15.75" customHeight="1">
      <c r="A729" s="258"/>
      <c r="C729" s="180"/>
    </row>
    <row r="730" ht="15.75" customHeight="1">
      <c r="A730" s="258"/>
      <c r="C730" s="180"/>
    </row>
    <row r="731" ht="15.75" customHeight="1">
      <c r="A731" s="258"/>
      <c r="C731" s="180"/>
    </row>
    <row r="732" ht="15.75" customHeight="1">
      <c r="A732" s="258"/>
      <c r="C732" s="180"/>
    </row>
    <row r="733" ht="15.75" customHeight="1">
      <c r="A733" s="258"/>
      <c r="C733" s="180"/>
    </row>
    <row r="734" ht="15.75" customHeight="1">
      <c r="A734" s="258"/>
      <c r="C734" s="180"/>
    </row>
    <row r="735" ht="15.75" customHeight="1">
      <c r="A735" s="258"/>
      <c r="C735" s="180"/>
    </row>
    <row r="736" ht="15.75" customHeight="1">
      <c r="A736" s="258"/>
      <c r="C736" s="180"/>
    </row>
    <row r="737" ht="15.75" customHeight="1">
      <c r="A737" s="258"/>
      <c r="C737" s="180"/>
    </row>
    <row r="738" ht="15.75" customHeight="1">
      <c r="A738" s="258"/>
      <c r="C738" s="180"/>
    </row>
    <row r="739" ht="15.75" customHeight="1">
      <c r="A739" s="258"/>
      <c r="C739" s="180"/>
    </row>
    <row r="740" ht="15.75" customHeight="1">
      <c r="A740" s="258"/>
      <c r="C740" s="180"/>
    </row>
    <row r="741" ht="15.75" customHeight="1">
      <c r="A741" s="258"/>
      <c r="C741" s="180"/>
    </row>
    <row r="742" ht="15.75" customHeight="1">
      <c r="A742" s="258"/>
      <c r="C742" s="180"/>
    </row>
    <row r="743" ht="15.75" customHeight="1">
      <c r="A743" s="258"/>
      <c r="C743" s="180"/>
    </row>
    <row r="744" ht="15.75" customHeight="1">
      <c r="A744" s="258"/>
      <c r="C744" s="180"/>
    </row>
    <row r="745" ht="15.75" customHeight="1">
      <c r="A745" s="258"/>
      <c r="C745" s="180"/>
    </row>
    <row r="746" ht="15.75" customHeight="1">
      <c r="A746" s="258"/>
      <c r="C746" s="180"/>
    </row>
    <row r="747" ht="15.75" customHeight="1">
      <c r="A747" s="258"/>
      <c r="C747" s="180"/>
    </row>
    <row r="748" ht="15.75" customHeight="1">
      <c r="A748" s="258"/>
      <c r="C748" s="180"/>
    </row>
    <row r="749" ht="15.75" customHeight="1">
      <c r="A749" s="258"/>
      <c r="C749" s="180"/>
    </row>
    <row r="750" ht="15.75" customHeight="1">
      <c r="A750" s="258"/>
      <c r="C750" s="180"/>
    </row>
    <row r="751" ht="15.75" customHeight="1">
      <c r="A751" s="258"/>
      <c r="C751" s="180"/>
    </row>
    <row r="752" ht="15.75" customHeight="1">
      <c r="A752" s="258"/>
      <c r="C752" s="180"/>
    </row>
    <row r="753" ht="15.75" customHeight="1">
      <c r="A753" s="258"/>
      <c r="C753" s="180"/>
    </row>
    <row r="754" ht="15.75" customHeight="1">
      <c r="A754" s="258"/>
      <c r="C754" s="180"/>
    </row>
    <row r="755" ht="15.75" customHeight="1">
      <c r="A755" s="258"/>
      <c r="C755" s="180"/>
    </row>
    <row r="756" ht="15.75" customHeight="1">
      <c r="A756" s="258"/>
      <c r="C756" s="180"/>
    </row>
    <row r="757" ht="15.75" customHeight="1">
      <c r="A757" s="258"/>
      <c r="C757" s="180"/>
    </row>
    <row r="758" ht="15.75" customHeight="1">
      <c r="A758" s="258"/>
      <c r="C758" s="180"/>
    </row>
    <row r="759" ht="15.75" customHeight="1">
      <c r="A759" s="258"/>
      <c r="C759" s="180"/>
    </row>
    <row r="760" ht="15.75" customHeight="1">
      <c r="A760" s="258"/>
      <c r="C760" s="180"/>
    </row>
    <row r="761" ht="15.75" customHeight="1">
      <c r="A761" s="258"/>
      <c r="C761" s="180"/>
    </row>
    <row r="762" ht="15.75" customHeight="1">
      <c r="A762" s="258"/>
      <c r="C762" s="180"/>
    </row>
    <row r="763" ht="15.75" customHeight="1">
      <c r="A763" s="258"/>
      <c r="C763" s="180"/>
    </row>
    <row r="764" ht="15.75" customHeight="1">
      <c r="A764" s="258"/>
      <c r="C764" s="180"/>
    </row>
    <row r="765" ht="15.75" customHeight="1">
      <c r="A765" s="258"/>
      <c r="C765" s="180"/>
    </row>
    <row r="766" ht="15.75" customHeight="1">
      <c r="A766" s="258"/>
      <c r="C766" s="180"/>
    </row>
    <row r="767" ht="15.75" customHeight="1">
      <c r="A767" s="258"/>
      <c r="C767" s="180"/>
    </row>
    <row r="768" ht="15.75" customHeight="1">
      <c r="A768" s="258"/>
      <c r="C768" s="180"/>
    </row>
    <row r="769" ht="15.75" customHeight="1">
      <c r="A769" s="258"/>
      <c r="C769" s="180"/>
    </row>
    <row r="770" ht="15.75" customHeight="1">
      <c r="A770" s="258"/>
      <c r="C770" s="180"/>
    </row>
    <row r="771" ht="15.75" customHeight="1">
      <c r="A771" s="258"/>
      <c r="C771" s="180"/>
    </row>
    <row r="772" ht="15.75" customHeight="1">
      <c r="A772" s="258"/>
      <c r="C772" s="180"/>
    </row>
    <row r="773" ht="15.75" customHeight="1">
      <c r="A773" s="258"/>
      <c r="C773" s="180"/>
    </row>
    <row r="774" ht="15.75" customHeight="1">
      <c r="A774" s="258"/>
      <c r="C774" s="180"/>
    </row>
    <row r="775" ht="15.75" customHeight="1">
      <c r="A775" s="258"/>
      <c r="C775" s="180"/>
    </row>
    <row r="776" ht="15.75" customHeight="1">
      <c r="A776" s="258"/>
      <c r="C776" s="180"/>
    </row>
    <row r="777" ht="15.75" customHeight="1">
      <c r="A777" s="258"/>
      <c r="C777" s="180"/>
    </row>
    <row r="778" ht="15.75" customHeight="1">
      <c r="A778" s="258"/>
      <c r="C778" s="180"/>
    </row>
    <row r="779" ht="15.75" customHeight="1">
      <c r="A779" s="258"/>
      <c r="C779" s="180"/>
    </row>
    <row r="780" ht="15.75" customHeight="1">
      <c r="A780" s="258"/>
      <c r="C780" s="180"/>
    </row>
    <row r="781" ht="15.75" customHeight="1">
      <c r="A781" s="258"/>
      <c r="C781" s="180"/>
    </row>
    <row r="782" ht="15.75" customHeight="1">
      <c r="A782" s="258"/>
      <c r="C782" s="180"/>
    </row>
    <row r="783" ht="15.75" customHeight="1">
      <c r="A783" s="258"/>
      <c r="C783" s="180"/>
    </row>
    <row r="784" ht="15.75" customHeight="1">
      <c r="A784" s="258"/>
      <c r="C784" s="180"/>
    </row>
    <row r="785" ht="15.75" customHeight="1">
      <c r="A785" s="258"/>
      <c r="C785" s="180"/>
    </row>
    <row r="786" ht="15.75" customHeight="1">
      <c r="A786" s="258"/>
      <c r="C786" s="180"/>
    </row>
    <row r="787" ht="15.75" customHeight="1">
      <c r="A787" s="258"/>
      <c r="C787" s="180"/>
    </row>
    <row r="788" ht="15.75" customHeight="1">
      <c r="A788" s="258"/>
      <c r="C788" s="180"/>
    </row>
    <row r="789" ht="15.75" customHeight="1">
      <c r="A789" s="258"/>
      <c r="C789" s="180"/>
    </row>
    <row r="790" ht="15.75" customHeight="1">
      <c r="A790" s="258"/>
      <c r="C790" s="180"/>
    </row>
    <row r="791" ht="15.75" customHeight="1">
      <c r="A791" s="258"/>
      <c r="C791" s="180"/>
    </row>
    <row r="792" ht="15.75" customHeight="1">
      <c r="A792" s="258"/>
      <c r="C792" s="180"/>
    </row>
    <row r="793" ht="15.75" customHeight="1">
      <c r="A793" s="258"/>
      <c r="C793" s="180"/>
    </row>
    <row r="794" ht="15.75" customHeight="1">
      <c r="A794" s="258"/>
      <c r="C794" s="180"/>
    </row>
    <row r="795" ht="15.75" customHeight="1">
      <c r="A795" s="258"/>
      <c r="C795" s="180"/>
    </row>
    <row r="796" ht="15.75" customHeight="1">
      <c r="A796" s="258"/>
      <c r="C796" s="180"/>
    </row>
    <row r="797" ht="15.75" customHeight="1">
      <c r="A797" s="258"/>
      <c r="C797" s="180"/>
    </row>
    <row r="798" ht="15.75" customHeight="1">
      <c r="A798" s="258"/>
      <c r="C798" s="180"/>
    </row>
    <row r="799" ht="15.75" customHeight="1">
      <c r="A799" s="258"/>
      <c r="C799" s="180"/>
    </row>
    <row r="800" ht="15.75" customHeight="1">
      <c r="A800" s="258"/>
      <c r="C800" s="180"/>
    </row>
    <row r="801" ht="15.75" customHeight="1">
      <c r="A801" s="258"/>
      <c r="C801" s="180"/>
    </row>
    <row r="802" ht="15.75" customHeight="1">
      <c r="A802" s="258"/>
      <c r="C802" s="180"/>
    </row>
    <row r="803" ht="15.75" customHeight="1">
      <c r="A803" s="258"/>
      <c r="C803" s="180"/>
    </row>
    <row r="804" ht="15.75" customHeight="1">
      <c r="A804" s="258"/>
      <c r="C804" s="180"/>
    </row>
    <row r="805" ht="15.75" customHeight="1">
      <c r="A805" s="258"/>
      <c r="C805" s="180"/>
    </row>
    <row r="806" ht="15.75" customHeight="1">
      <c r="A806" s="258"/>
      <c r="C806" s="180"/>
    </row>
    <row r="807" ht="15.75" customHeight="1">
      <c r="A807" s="258"/>
      <c r="C807" s="180"/>
    </row>
    <row r="808" ht="15.75" customHeight="1">
      <c r="A808" s="258"/>
      <c r="C808" s="180"/>
    </row>
    <row r="809" ht="15.75" customHeight="1">
      <c r="A809" s="258"/>
      <c r="C809" s="180"/>
    </row>
    <row r="810" ht="15.75" customHeight="1">
      <c r="A810" s="258"/>
      <c r="C810" s="180"/>
    </row>
    <row r="811" ht="15.75" customHeight="1">
      <c r="A811" s="258"/>
      <c r="C811" s="180"/>
    </row>
    <row r="812" ht="15.75" customHeight="1">
      <c r="A812" s="258"/>
      <c r="C812" s="180"/>
    </row>
    <row r="813" ht="15.75" customHeight="1">
      <c r="A813" s="258"/>
      <c r="C813" s="180"/>
    </row>
    <row r="814" ht="15.75" customHeight="1">
      <c r="A814" s="258"/>
      <c r="C814" s="180"/>
    </row>
    <row r="815" ht="15.75" customHeight="1">
      <c r="A815" s="258"/>
      <c r="C815" s="180"/>
    </row>
    <row r="816" ht="15.75" customHeight="1">
      <c r="A816" s="258"/>
      <c r="C816" s="180"/>
    </row>
    <row r="817" ht="15.75" customHeight="1">
      <c r="A817" s="258"/>
      <c r="C817" s="180"/>
    </row>
    <row r="818" ht="15.75" customHeight="1">
      <c r="A818" s="258"/>
      <c r="C818" s="180"/>
    </row>
    <row r="819" ht="15.75" customHeight="1">
      <c r="A819" s="258"/>
      <c r="C819" s="180"/>
    </row>
    <row r="820" ht="15.75" customHeight="1">
      <c r="A820" s="258"/>
      <c r="C820" s="180"/>
    </row>
    <row r="821" ht="15.75" customHeight="1">
      <c r="A821" s="258"/>
      <c r="C821" s="180"/>
    </row>
    <row r="822" ht="15.75" customHeight="1">
      <c r="A822" s="258"/>
      <c r="C822" s="180"/>
    </row>
    <row r="823" ht="15.75" customHeight="1">
      <c r="A823" s="258"/>
      <c r="C823" s="180"/>
    </row>
    <row r="824" ht="15.75" customHeight="1">
      <c r="A824" s="258"/>
      <c r="C824" s="180"/>
    </row>
    <row r="825" ht="15.75" customHeight="1">
      <c r="A825" s="258"/>
      <c r="C825" s="180"/>
    </row>
    <row r="826" ht="15.75" customHeight="1">
      <c r="A826" s="258"/>
      <c r="C826" s="180"/>
    </row>
    <row r="827" ht="15.75" customHeight="1">
      <c r="A827" s="258"/>
      <c r="C827" s="180"/>
    </row>
    <row r="828" ht="15.75" customHeight="1">
      <c r="A828" s="258"/>
      <c r="C828" s="180"/>
    </row>
    <row r="829" ht="15.75" customHeight="1">
      <c r="A829" s="258"/>
      <c r="C829" s="180"/>
    </row>
    <row r="830" ht="15.75" customHeight="1">
      <c r="A830" s="258"/>
      <c r="C830" s="180"/>
    </row>
    <row r="831" ht="15.75" customHeight="1">
      <c r="A831" s="258"/>
      <c r="C831" s="180"/>
    </row>
    <row r="832" ht="15.75" customHeight="1">
      <c r="A832" s="258"/>
      <c r="C832" s="180"/>
    </row>
    <row r="833" ht="15.75" customHeight="1">
      <c r="A833" s="258"/>
      <c r="C833" s="180"/>
    </row>
    <row r="834" ht="15.75" customHeight="1">
      <c r="A834" s="258"/>
      <c r="C834" s="180"/>
    </row>
    <row r="835" ht="15.75" customHeight="1">
      <c r="A835" s="258"/>
      <c r="C835" s="180"/>
    </row>
    <row r="836" ht="15.75" customHeight="1">
      <c r="A836" s="258"/>
      <c r="C836" s="180"/>
    </row>
    <row r="837" ht="15.75" customHeight="1">
      <c r="A837" s="258"/>
      <c r="C837" s="180"/>
    </row>
    <row r="838" ht="15.75" customHeight="1">
      <c r="A838" s="258"/>
      <c r="C838" s="180"/>
    </row>
    <row r="839" ht="15.75" customHeight="1">
      <c r="A839" s="258"/>
      <c r="C839" s="180"/>
    </row>
    <row r="840" ht="15.75" customHeight="1">
      <c r="A840" s="258"/>
      <c r="C840" s="180"/>
    </row>
    <row r="841" ht="15.75" customHeight="1">
      <c r="A841" s="258"/>
      <c r="C841" s="180"/>
    </row>
    <row r="842" ht="15.75" customHeight="1">
      <c r="A842" s="258"/>
      <c r="C842" s="180"/>
    </row>
    <row r="843" ht="15.75" customHeight="1">
      <c r="A843" s="258"/>
      <c r="C843" s="180"/>
    </row>
    <row r="844" ht="15.75" customHeight="1">
      <c r="A844" s="258"/>
      <c r="C844" s="180"/>
    </row>
    <row r="845" ht="15.75" customHeight="1">
      <c r="A845" s="258"/>
      <c r="C845" s="180"/>
    </row>
    <row r="846" ht="15.75" customHeight="1">
      <c r="A846" s="258"/>
      <c r="C846" s="180"/>
    </row>
    <row r="847" ht="15.75" customHeight="1">
      <c r="A847" s="258"/>
      <c r="C847" s="180"/>
    </row>
    <row r="848" ht="15.75" customHeight="1">
      <c r="A848" s="258"/>
      <c r="C848" s="180"/>
    </row>
    <row r="849" ht="15.75" customHeight="1">
      <c r="A849" s="258"/>
      <c r="C849" s="180"/>
    </row>
    <row r="850" ht="15.75" customHeight="1">
      <c r="A850" s="258"/>
      <c r="C850" s="180"/>
    </row>
    <row r="851" ht="15.75" customHeight="1">
      <c r="A851" s="258"/>
      <c r="C851" s="180"/>
    </row>
    <row r="852" ht="15.75" customHeight="1">
      <c r="A852" s="258"/>
      <c r="C852" s="180"/>
    </row>
    <row r="853" ht="15.75" customHeight="1">
      <c r="A853" s="258"/>
      <c r="C853" s="180"/>
    </row>
    <row r="854" ht="15.75" customHeight="1">
      <c r="A854" s="258"/>
      <c r="C854" s="180"/>
    </row>
    <row r="855" ht="15.75" customHeight="1">
      <c r="A855" s="258"/>
      <c r="C855" s="180"/>
    </row>
    <row r="856" ht="15.75" customHeight="1">
      <c r="A856" s="258"/>
      <c r="C856" s="180"/>
    </row>
    <row r="857" ht="15.75" customHeight="1">
      <c r="A857" s="258"/>
      <c r="C857" s="180"/>
    </row>
    <row r="858" ht="15.75" customHeight="1">
      <c r="A858" s="258"/>
      <c r="C858" s="180"/>
    </row>
    <row r="859" ht="15.75" customHeight="1">
      <c r="A859" s="258"/>
      <c r="C859" s="180"/>
    </row>
    <row r="860" ht="15.75" customHeight="1">
      <c r="A860" s="258"/>
      <c r="C860" s="180"/>
    </row>
    <row r="861" ht="15.75" customHeight="1">
      <c r="A861" s="258"/>
      <c r="C861" s="180"/>
    </row>
    <row r="862" ht="15.75" customHeight="1">
      <c r="A862" s="258"/>
      <c r="C862" s="180"/>
    </row>
    <row r="863" ht="15.75" customHeight="1">
      <c r="A863" s="258"/>
      <c r="C863" s="180"/>
    </row>
    <row r="864" ht="15.75" customHeight="1">
      <c r="A864" s="258"/>
      <c r="C864" s="180"/>
    </row>
    <row r="865" ht="15.75" customHeight="1">
      <c r="A865" s="258"/>
      <c r="C865" s="180"/>
    </row>
    <row r="866" ht="15.75" customHeight="1">
      <c r="A866" s="258"/>
      <c r="C866" s="180"/>
    </row>
    <row r="867" ht="15.75" customHeight="1">
      <c r="A867" s="258"/>
      <c r="C867" s="180"/>
    </row>
    <row r="868" ht="15.75" customHeight="1">
      <c r="A868" s="258"/>
      <c r="C868" s="180"/>
    </row>
    <row r="869" ht="15.75" customHeight="1">
      <c r="A869" s="258"/>
      <c r="C869" s="180"/>
    </row>
    <row r="870" ht="15.75" customHeight="1">
      <c r="A870" s="258"/>
      <c r="C870" s="180"/>
    </row>
    <row r="871" ht="15.75" customHeight="1">
      <c r="A871" s="258"/>
      <c r="C871" s="180"/>
    </row>
    <row r="872" ht="15.75" customHeight="1">
      <c r="A872" s="258"/>
      <c r="C872" s="180"/>
    </row>
    <row r="873" ht="15.75" customHeight="1">
      <c r="A873" s="258"/>
      <c r="C873" s="180"/>
    </row>
    <row r="874" ht="15.75" customHeight="1">
      <c r="A874" s="258"/>
      <c r="C874" s="180"/>
    </row>
    <row r="875" ht="15.75" customHeight="1">
      <c r="A875" s="258"/>
      <c r="C875" s="180"/>
    </row>
    <row r="876" ht="15.75" customHeight="1">
      <c r="A876" s="258"/>
      <c r="C876" s="180"/>
    </row>
    <row r="877" ht="15.75" customHeight="1">
      <c r="A877" s="258"/>
      <c r="C877" s="180"/>
    </row>
    <row r="878" ht="15.75" customHeight="1">
      <c r="A878" s="258"/>
      <c r="C878" s="180"/>
    </row>
    <row r="879" ht="15.75" customHeight="1">
      <c r="A879" s="258"/>
      <c r="C879" s="180"/>
    </row>
    <row r="880" ht="15.75" customHeight="1">
      <c r="A880" s="258"/>
      <c r="C880" s="180"/>
    </row>
    <row r="881" ht="15.75" customHeight="1">
      <c r="A881" s="258"/>
      <c r="C881" s="180"/>
    </row>
    <row r="882" ht="15.75" customHeight="1">
      <c r="A882" s="258"/>
      <c r="C882" s="180"/>
    </row>
    <row r="883" ht="15.75" customHeight="1">
      <c r="A883" s="258"/>
      <c r="C883" s="180"/>
    </row>
    <row r="884" ht="15.75" customHeight="1">
      <c r="A884" s="258"/>
      <c r="C884" s="180"/>
    </row>
    <row r="885" ht="15.75" customHeight="1">
      <c r="A885" s="258"/>
      <c r="C885" s="180"/>
    </row>
    <row r="886" ht="15.75" customHeight="1">
      <c r="A886" s="258"/>
      <c r="C886" s="180"/>
    </row>
    <row r="887" ht="15.75" customHeight="1">
      <c r="A887" s="258"/>
      <c r="C887" s="180"/>
    </row>
    <row r="888" ht="15.75" customHeight="1">
      <c r="A888" s="258"/>
      <c r="C888" s="180"/>
    </row>
    <row r="889" ht="15.75" customHeight="1">
      <c r="A889" s="258"/>
      <c r="C889" s="180"/>
    </row>
    <row r="890" ht="15.75" customHeight="1">
      <c r="A890" s="258"/>
      <c r="C890" s="180"/>
    </row>
    <row r="891" ht="15.75" customHeight="1">
      <c r="A891" s="258"/>
      <c r="C891" s="180"/>
    </row>
    <row r="892" ht="15.75" customHeight="1">
      <c r="A892" s="258"/>
      <c r="C892" s="180"/>
    </row>
    <row r="893" ht="15.75" customHeight="1">
      <c r="A893" s="258"/>
      <c r="C893" s="180"/>
    </row>
    <row r="894" ht="15.75" customHeight="1">
      <c r="A894" s="258"/>
      <c r="C894" s="180"/>
    </row>
    <row r="895" ht="15.75" customHeight="1">
      <c r="A895" s="258"/>
      <c r="C895" s="180"/>
    </row>
    <row r="896" ht="15.75" customHeight="1">
      <c r="A896" s="258"/>
      <c r="C896" s="180"/>
    </row>
    <row r="897" ht="15.75" customHeight="1">
      <c r="A897" s="258"/>
      <c r="C897" s="180"/>
    </row>
    <row r="898" ht="15.75" customHeight="1">
      <c r="A898" s="258"/>
      <c r="C898" s="180"/>
    </row>
    <row r="899" ht="15.75" customHeight="1">
      <c r="A899" s="258"/>
      <c r="C899" s="180"/>
    </row>
    <row r="900" ht="15.75" customHeight="1">
      <c r="A900" s="258"/>
      <c r="C900" s="180"/>
    </row>
    <row r="901" ht="15.75" customHeight="1">
      <c r="A901" s="258"/>
      <c r="C901" s="180"/>
    </row>
    <row r="902" ht="15.75" customHeight="1">
      <c r="A902" s="258"/>
      <c r="C902" s="180"/>
    </row>
    <row r="903" ht="15.75" customHeight="1">
      <c r="A903" s="258"/>
      <c r="C903" s="180"/>
    </row>
    <row r="904" ht="15.75" customHeight="1">
      <c r="A904" s="258"/>
      <c r="C904" s="180"/>
    </row>
    <row r="905" ht="15.75" customHeight="1">
      <c r="A905" s="258"/>
      <c r="C905" s="180"/>
    </row>
    <row r="906" ht="15.75" customHeight="1">
      <c r="A906" s="258"/>
      <c r="C906" s="180"/>
    </row>
    <row r="907" ht="15.75" customHeight="1">
      <c r="A907" s="258"/>
      <c r="C907" s="180"/>
    </row>
    <row r="908" ht="15.75" customHeight="1">
      <c r="A908" s="258"/>
      <c r="C908" s="180"/>
    </row>
    <row r="909" ht="15.75" customHeight="1">
      <c r="A909" s="258"/>
      <c r="C909" s="180"/>
    </row>
    <row r="910" ht="15.75" customHeight="1">
      <c r="A910" s="258"/>
      <c r="C910" s="180"/>
    </row>
    <row r="911" ht="15.75" customHeight="1">
      <c r="A911" s="258"/>
      <c r="C911" s="180"/>
    </row>
    <row r="912" ht="15.75" customHeight="1">
      <c r="A912" s="258"/>
      <c r="C912" s="180"/>
    </row>
    <row r="913" ht="15.75" customHeight="1">
      <c r="A913" s="258"/>
      <c r="C913" s="180"/>
    </row>
    <row r="914" ht="15.75" customHeight="1">
      <c r="A914" s="258"/>
      <c r="C914" s="180"/>
    </row>
    <row r="915" ht="15.75" customHeight="1">
      <c r="A915" s="258"/>
      <c r="C915" s="180"/>
    </row>
    <row r="916" ht="15.75" customHeight="1">
      <c r="A916" s="258"/>
      <c r="C916" s="180"/>
    </row>
    <row r="917" ht="15.75" customHeight="1">
      <c r="A917" s="258"/>
      <c r="C917" s="180"/>
    </row>
    <row r="918" ht="15.75" customHeight="1">
      <c r="A918" s="258"/>
      <c r="C918" s="180"/>
    </row>
    <row r="919" ht="15.75" customHeight="1">
      <c r="A919" s="258"/>
      <c r="C919" s="180"/>
    </row>
    <row r="920" ht="15.75" customHeight="1">
      <c r="A920" s="258"/>
      <c r="C920" s="180"/>
    </row>
    <row r="921" ht="15.75" customHeight="1">
      <c r="A921" s="258"/>
      <c r="C921" s="180"/>
    </row>
    <row r="922" ht="15.75" customHeight="1">
      <c r="A922" s="258"/>
      <c r="C922" s="180"/>
    </row>
    <row r="923" ht="15.75" customHeight="1">
      <c r="A923" s="258"/>
      <c r="C923" s="180"/>
    </row>
    <row r="924" ht="15.75" customHeight="1">
      <c r="A924" s="258"/>
      <c r="C924" s="180"/>
    </row>
    <row r="925" ht="15.75" customHeight="1">
      <c r="A925" s="258"/>
      <c r="C925" s="180"/>
    </row>
    <row r="926" ht="15.75" customHeight="1">
      <c r="A926" s="258"/>
      <c r="C926" s="180"/>
    </row>
    <row r="927" ht="15.75" customHeight="1">
      <c r="A927" s="258"/>
      <c r="C927" s="180"/>
    </row>
    <row r="928" ht="15.75" customHeight="1">
      <c r="A928" s="258"/>
      <c r="C928" s="180"/>
    </row>
    <row r="929" ht="15.75" customHeight="1">
      <c r="A929" s="258"/>
      <c r="C929" s="180"/>
    </row>
    <row r="930" ht="15.75" customHeight="1">
      <c r="A930" s="258"/>
      <c r="C930" s="180"/>
    </row>
    <row r="931" ht="15.75" customHeight="1">
      <c r="A931" s="258"/>
      <c r="C931" s="180"/>
    </row>
    <row r="932" ht="15.75" customHeight="1">
      <c r="A932" s="258"/>
      <c r="C932" s="180"/>
    </row>
    <row r="933" ht="15.75" customHeight="1">
      <c r="A933" s="258"/>
      <c r="C933" s="180"/>
    </row>
    <row r="934" ht="15.75" customHeight="1">
      <c r="A934" s="258"/>
      <c r="C934" s="180"/>
    </row>
    <row r="935" ht="15.75" customHeight="1">
      <c r="A935" s="258"/>
      <c r="C935" s="180"/>
    </row>
    <row r="936" ht="15.75" customHeight="1">
      <c r="A936" s="258"/>
      <c r="C936" s="180"/>
    </row>
    <row r="937" ht="15.75" customHeight="1">
      <c r="A937" s="258"/>
      <c r="C937" s="180"/>
    </row>
    <row r="938" ht="15.75" customHeight="1">
      <c r="A938" s="258"/>
      <c r="C938" s="180"/>
    </row>
    <row r="939" ht="15.75" customHeight="1">
      <c r="A939" s="258"/>
      <c r="C939" s="180"/>
    </row>
    <row r="940" ht="15.75" customHeight="1">
      <c r="A940" s="258"/>
      <c r="C940" s="180"/>
    </row>
    <row r="941" ht="15.75" customHeight="1">
      <c r="A941" s="258"/>
      <c r="C941" s="180"/>
    </row>
    <row r="942" ht="15.75" customHeight="1">
      <c r="A942" s="258"/>
      <c r="C942" s="180"/>
    </row>
    <row r="943" ht="15.75" customHeight="1">
      <c r="A943" s="258"/>
      <c r="C943" s="180"/>
    </row>
    <row r="944" ht="15.75" customHeight="1">
      <c r="A944" s="258"/>
      <c r="C944" s="180"/>
    </row>
    <row r="945" ht="15.75" customHeight="1">
      <c r="A945" s="258"/>
      <c r="C945" s="180"/>
    </row>
    <row r="946" ht="15.75" customHeight="1">
      <c r="A946" s="258"/>
      <c r="C946" s="180"/>
    </row>
    <row r="947" ht="15.75" customHeight="1">
      <c r="A947" s="258"/>
      <c r="C947" s="180"/>
    </row>
    <row r="948" ht="15.75" customHeight="1">
      <c r="A948" s="258"/>
      <c r="C948" s="180"/>
    </row>
    <row r="949" ht="15.75" customHeight="1">
      <c r="A949" s="258"/>
      <c r="C949" s="180"/>
    </row>
    <row r="950" ht="15.75" customHeight="1">
      <c r="A950" s="258"/>
      <c r="C950" s="180"/>
    </row>
    <row r="951" ht="15.75" customHeight="1">
      <c r="A951" s="258"/>
      <c r="C951" s="180"/>
    </row>
    <row r="952" ht="15.75" customHeight="1">
      <c r="A952" s="258"/>
      <c r="C952" s="180"/>
    </row>
    <row r="953" ht="15.75" customHeight="1">
      <c r="A953" s="258"/>
      <c r="C953" s="180"/>
    </row>
    <row r="954" ht="15.75" customHeight="1">
      <c r="A954" s="258"/>
      <c r="C954" s="180"/>
    </row>
    <row r="955" ht="15.75" customHeight="1">
      <c r="A955" s="258"/>
      <c r="C955" s="180"/>
    </row>
    <row r="956" ht="15.75" customHeight="1">
      <c r="A956" s="258"/>
      <c r="C956" s="180"/>
    </row>
    <row r="957" ht="15.75" customHeight="1">
      <c r="A957" s="258"/>
      <c r="C957" s="180"/>
    </row>
    <row r="958" ht="15.75" customHeight="1">
      <c r="A958" s="258"/>
      <c r="C958" s="180"/>
    </row>
    <row r="959" ht="15.75" customHeight="1">
      <c r="A959" s="258"/>
      <c r="C959" s="180"/>
    </row>
    <row r="960" ht="15.75" customHeight="1">
      <c r="A960" s="258"/>
      <c r="C960" s="180"/>
    </row>
    <row r="961" ht="15.75" customHeight="1">
      <c r="A961" s="258"/>
      <c r="C961" s="180"/>
    </row>
    <row r="962" ht="15.75" customHeight="1">
      <c r="A962" s="258"/>
      <c r="C962" s="180"/>
    </row>
    <row r="963" ht="15.75" customHeight="1">
      <c r="A963" s="258"/>
      <c r="C963" s="180"/>
    </row>
    <row r="964" ht="15.75" customHeight="1">
      <c r="A964" s="258"/>
      <c r="C964" s="180"/>
    </row>
    <row r="965" ht="15.75" customHeight="1">
      <c r="A965" s="258"/>
      <c r="C965" s="180"/>
    </row>
    <row r="966" ht="15.75" customHeight="1">
      <c r="A966" s="258"/>
      <c r="C966" s="180"/>
    </row>
    <row r="967" ht="15.75" customHeight="1">
      <c r="A967" s="258"/>
      <c r="C967" s="180"/>
    </row>
    <row r="968" ht="15.75" customHeight="1">
      <c r="A968" s="258"/>
      <c r="C968" s="180"/>
    </row>
    <row r="969" ht="15.75" customHeight="1">
      <c r="A969" s="258"/>
      <c r="C969" s="180"/>
    </row>
    <row r="970" ht="15.75" customHeight="1">
      <c r="A970" s="258"/>
      <c r="C970" s="180"/>
    </row>
    <row r="971" ht="15.75" customHeight="1">
      <c r="A971" s="258"/>
      <c r="C971" s="180"/>
    </row>
    <row r="972" ht="15.75" customHeight="1">
      <c r="A972" s="258"/>
      <c r="C972" s="180"/>
    </row>
    <row r="973" ht="15.75" customHeight="1">
      <c r="A973" s="258"/>
      <c r="C973" s="180"/>
    </row>
    <row r="974" ht="15.75" customHeight="1">
      <c r="A974" s="258"/>
      <c r="C974" s="180"/>
    </row>
    <row r="975" ht="15.75" customHeight="1">
      <c r="A975" s="258"/>
      <c r="C975" s="180"/>
    </row>
    <row r="976" ht="15.75" customHeight="1">
      <c r="A976" s="258"/>
      <c r="C976" s="180"/>
    </row>
    <row r="977" ht="15.75" customHeight="1">
      <c r="A977" s="258"/>
      <c r="C977" s="180"/>
    </row>
    <row r="978" ht="15.75" customHeight="1">
      <c r="A978" s="258"/>
      <c r="C978" s="180"/>
    </row>
    <row r="979" ht="15.75" customHeight="1">
      <c r="A979" s="258"/>
      <c r="C979" s="180"/>
    </row>
    <row r="980" ht="15.75" customHeight="1">
      <c r="A980" s="258"/>
      <c r="C980" s="180"/>
    </row>
    <row r="981" ht="15.75" customHeight="1">
      <c r="A981" s="258"/>
      <c r="C981" s="180"/>
    </row>
    <row r="982" ht="15.75" customHeight="1">
      <c r="A982" s="258"/>
      <c r="C982" s="180"/>
    </row>
    <row r="983" ht="15.75" customHeight="1">
      <c r="A983" s="258"/>
      <c r="C983" s="180"/>
    </row>
    <row r="984" ht="15.75" customHeight="1">
      <c r="A984" s="258"/>
      <c r="C984" s="180"/>
    </row>
    <row r="985" ht="15.75" customHeight="1">
      <c r="A985" s="258"/>
      <c r="C985" s="180"/>
    </row>
    <row r="986" ht="15.75" customHeight="1">
      <c r="A986" s="258"/>
      <c r="C986" s="180"/>
    </row>
    <row r="987" ht="15.75" customHeight="1">
      <c r="A987" s="258"/>
      <c r="C987" s="180"/>
    </row>
    <row r="988" ht="15.75" customHeight="1">
      <c r="A988" s="258"/>
      <c r="C988" s="180"/>
    </row>
    <row r="989" ht="15.75" customHeight="1">
      <c r="A989" s="258"/>
      <c r="C989" s="180"/>
    </row>
    <row r="990" ht="15.75" customHeight="1">
      <c r="A990" s="258"/>
      <c r="C990" s="180"/>
    </row>
    <row r="991" ht="15.75" customHeight="1">
      <c r="A991" s="258"/>
      <c r="C991" s="180"/>
    </row>
    <row r="992" ht="15.75" customHeight="1">
      <c r="A992" s="258"/>
      <c r="C992" s="180"/>
    </row>
    <row r="993" ht="15.75" customHeight="1">
      <c r="A993" s="258"/>
      <c r="C993" s="180"/>
    </row>
    <row r="994" ht="15.75" customHeight="1">
      <c r="A994" s="258"/>
      <c r="C994" s="180"/>
    </row>
    <row r="995" ht="15.75" customHeight="1">
      <c r="A995" s="258"/>
      <c r="C995" s="180"/>
    </row>
    <row r="996" ht="15.75" customHeight="1">
      <c r="A996" s="258"/>
      <c r="C996" s="180"/>
    </row>
    <row r="997" ht="15.75" customHeight="1">
      <c r="A997" s="258"/>
      <c r="C997" s="180"/>
    </row>
    <row r="998" ht="15.75" customHeight="1">
      <c r="A998" s="258"/>
      <c r="C998" s="180"/>
    </row>
    <row r="999" ht="15.75" customHeight="1">
      <c r="A999" s="258"/>
      <c r="C999" s="180"/>
    </row>
    <row r="1000" ht="15.75" customHeight="1">
      <c r="A1000" s="258"/>
      <c r="C1000" s="180"/>
    </row>
    <row r="1001" ht="15.75" customHeight="1">
      <c r="A1001" s="258"/>
      <c r="C1001" s="180"/>
    </row>
    <row r="1002" ht="15.75" customHeight="1">
      <c r="A1002" s="258"/>
      <c r="C1002" s="180"/>
    </row>
    <row r="1003" ht="15.75" customHeight="1">
      <c r="A1003" s="258"/>
      <c r="C1003" s="180"/>
    </row>
    <row r="1004" ht="15.75" customHeight="1">
      <c r="A1004" s="258"/>
      <c r="C1004" s="180"/>
    </row>
    <row r="1005" ht="15.75" customHeight="1">
      <c r="A1005" s="258"/>
      <c r="C1005" s="180"/>
    </row>
    <row r="1006" ht="15.75" customHeight="1">
      <c r="A1006" s="258"/>
      <c r="C1006" s="180"/>
    </row>
    <row r="1007" ht="15.75" customHeight="1">
      <c r="A1007" s="258"/>
      <c r="C1007" s="180"/>
    </row>
    <row r="1008" ht="15.75" customHeight="1">
      <c r="A1008" s="258"/>
      <c r="C1008" s="180"/>
    </row>
    <row r="1009" ht="15.75" customHeight="1">
      <c r="A1009" s="258"/>
      <c r="C1009" s="180"/>
    </row>
    <row r="1010" ht="15.75" customHeight="1">
      <c r="A1010" s="258"/>
      <c r="C1010" s="180"/>
    </row>
    <row r="1011" ht="15.75" customHeight="1">
      <c r="A1011" s="258"/>
      <c r="C1011" s="180"/>
    </row>
    <row r="1012" ht="15.75" customHeight="1">
      <c r="A1012" s="258"/>
      <c r="C1012" s="180"/>
    </row>
    <row r="1013" ht="15.75" customHeight="1">
      <c r="A1013" s="258"/>
      <c r="C1013" s="180"/>
    </row>
    <row r="1014" ht="15.75" customHeight="1">
      <c r="A1014" s="258"/>
      <c r="C1014" s="180"/>
    </row>
    <row r="1015" ht="15.75" customHeight="1">
      <c r="A1015" s="258"/>
      <c r="C1015" s="180"/>
    </row>
    <row r="1016" ht="15.75" customHeight="1">
      <c r="A1016" s="258"/>
      <c r="C1016" s="180"/>
    </row>
    <row r="1017" ht="15.75" customHeight="1">
      <c r="A1017" s="258"/>
      <c r="C1017" s="180"/>
    </row>
    <row r="1018" ht="15.75" customHeight="1">
      <c r="A1018" s="258"/>
      <c r="C1018" s="180"/>
    </row>
    <row r="1019" ht="15.75" customHeight="1">
      <c r="A1019" s="258"/>
      <c r="C1019" s="180"/>
    </row>
    <row r="1020" ht="15.75" customHeight="1">
      <c r="A1020" s="258"/>
      <c r="C1020" s="180"/>
    </row>
    <row r="1021" ht="15.75" customHeight="1">
      <c r="A1021" s="258"/>
      <c r="C1021" s="180"/>
    </row>
    <row r="1022" ht="15.75" customHeight="1">
      <c r="A1022" s="258"/>
      <c r="C1022" s="180"/>
    </row>
    <row r="1023" ht="15.75" customHeight="1">
      <c r="A1023" s="258"/>
      <c r="C1023" s="180"/>
    </row>
    <row r="1024" ht="15.75" customHeight="1">
      <c r="A1024" s="258"/>
      <c r="C1024" s="180"/>
    </row>
    <row r="1025" ht="15.75" customHeight="1">
      <c r="A1025" s="258"/>
      <c r="C1025" s="180"/>
    </row>
    <row r="1026" ht="15.75" customHeight="1">
      <c r="A1026" s="258"/>
      <c r="C1026" s="180"/>
    </row>
    <row r="1027" ht="15.75" customHeight="1">
      <c r="A1027" s="258"/>
      <c r="C1027" s="180"/>
    </row>
  </sheetData>
  <mergeCells count="8">
    <mergeCell ref="A3:A15"/>
    <mergeCell ref="A16:A20"/>
    <mergeCell ref="A21:A27"/>
    <mergeCell ref="A28:A31"/>
    <mergeCell ref="A32:A34"/>
    <mergeCell ref="A35:A36"/>
    <mergeCell ref="A38:A41"/>
    <mergeCell ref="A42:A44"/>
  </mergeCells>
  <dataValidations>
    <dataValidation type="list" allowBlank="1" showErrorMessage="1" sqref="D3:D13 D16:D37">
      <formula1>"Text,Numeric,Image,Single Select,Multi select,Date,Auto Calculate,RQG"</formula1>
    </dataValidation>
    <dataValidation type="list" allowBlank="1" showErrorMessage="1" sqref="E3:E37">
      <formula1>"yes,no"</formula1>
    </dataValidation>
    <dataValidation type="list" allowBlank="1" showErrorMessage="1" sqref="D14:D15">
      <formula1>"Text,Numeric,Image,Single Select,Multi select"</formula1>
    </dataValidation>
    <dataValidation type="list" allowBlank="1" showErrorMessage="1" sqref="E38:E44">
      <formula1>"Yes,No"</formula1>
    </dataValidation>
    <dataValidation type="list" allowBlank="1" showErrorMessage="1" sqref="D38:D41">
      <formula1>"Text,Numeric,Single select,Multi select,Image,Date,Autocalculate"</formula1>
    </dataValidation>
    <dataValidation type="list" allowBlank="1" showErrorMessage="1" sqref="D42:D44">
      <formula1>"Text,Numeric,Single select,Multi select,Image,Date"</formula1>
    </dataValidation>
  </dataValidations>
  <printOptions/>
  <pageMargins bottom="0.75" footer="0.0" header="0.0" left="0.7" right="0.7" top="0.75"/>
  <pageSetup orientation="landscape"/>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38.5"/>
  </cols>
  <sheetData>
    <row r="1">
      <c r="A1" s="5" t="s">
        <v>1216</v>
      </c>
      <c r="B1" s="5" t="s">
        <v>906</v>
      </c>
      <c r="C1" s="5" t="s">
        <v>634</v>
      </c>
      <c r="D1" s="5" t="s">
        <v>907</v>
      </c>
      <c r="E1" s="5" t="s">
        <v>641</v>
      </c>
      <c r="F1" s="5" t="s">
        <v>637</v>
      </c>
      <c r="G1" s="5" t="s">
        <v>638</v>
      </c>
      <c r="H1" s="5" t="s">
        <v>639</v>
      </c>
      <c r="I1" s="5" t="s">
        <v>908</v>
      </c>
      <c r="J1" s="5" t="s">
        <v>909</v>
      </c>
      <c r="K1" s="5" t="s">
        <v>643</v>
      </c>
      <c r="L1" s="5" t="s">
        <v>642</v>
      </c>
      <c r="M1" s="5" t="s">
        <v>640</v>
      </c>
      <c r="N1" s="5" t="s">
        <v>910</v>
      </c>
      <c r="O1" s="18"/>
      <c r="P1" s="18"/>
      <c r="Q1" s="18"/>
      <c r="R1" s="18"/>
      <c r="S1" s="18"/>
      <c r="T1" s="18"/>
      <c r="U1" s="18"/>
      <c r="V1" s="18"/>
      <c r="W1" s="18"/>
      <c r="X1" s="18"/>
      <c r="Y1" s="18"/>
      <c r="Z1" s="18"/>
      <c r="AA1" s="18"/>
      <c r="AB1" s="18"/>
    </row>
    <row r="2">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c r="B4" s="218" t="s">
        <v>911</v>
      </c>
      <c r="C4" s="218" t="s">
        <v>912</v>
      </c>
      <c r="D4" s="218" t="s">
        <v>728</v>
      </c>
      <c r="E4" s="219" t="s">
        <v>1217</v>
      </c>
      <c r="F4" s="218"/>
      <c r="G4" s="218"/>
      <c r="H4" s="218"/>
      <c r="I4" s="218"/>
      <c r="J4" s="218"/>
      <c r="K4" s="218"/>
      <c r="L4" s="218"/>
      <c r="M4" s="218"/>
      <c r="N4" s="218"/>
      <c r="O4" s="218"/>
      <c r="P4" s="218"/>
      <c r="Q4" s="218"/>
      <c r="R4" s="218"/>
      <c r="S4" s="218"/>
      <c r="T4" s="218"/>
      <c r="U4" s="218"/>
      <c r="V4" s="218"/>
      <c r="W4" s="218"/>
      <c r="X4" s="218"/>
      <c r="Y4" s="218"/>
      <c r="Z4" s="218"/>
      <c r="AA4" s="218"/>
      <c r="AB4" s="218"/>
    </row>
    <row r="5">
      <c r="B5" s="42" t="s">
        <v>914</v>
      </c>
      <c r="C5" s="42" t="s">
        <v>646</v>
      </c>
      <c r="D5" s="42" t="s">
        <v>728</v>
      </c>
      <c r="F5" s="42" t="s">
        <v>1001</v>
      </c>
    </row>
    <row r="6" ht="15.75" customHeight="1">
      <c r="A6" s="163"/>
      <c r="B6" s="292" t="s">
        <v>1212</v>
      </c>
      <c r="C6" s="133" t="s">
        <v>655</v>
      </c>
      <c r="D6" s="162" t="s">
        <v>647</v>
      </c>
      <c r="E6" s="158" t="s">
        <v>673</v>
      </c>
      <c r="F6" s="294" t="s">
        <v>1218</v>
      </c>
      <c r="G6" s="244"/>
      <c r="H6" s="244"/>
      <c r="I6" s="244"/>
      <c r="J6" s="163"/>
      <c r="K6" s="244"/>
      <c r="L6" s="244"/>
      <c r="M6" s="244"/>
      <c r="N6" s="244"/>
      <c r="O6" s="244"/>
      <c r="P6" s="244"/>
      <c r="Q6" s="163"/>
      <c r="R6" s="163"/>
      <c r="S6" s="163"/>
      <c r="T6" s="163"/>
      <c r="U6" s="163"/>
      <c r="V6" s="163"/>
      <c r="W6" s="163"/>
      <c r="X6" s="163"/>
      <c r="Y6" s="163"/>
      <c r="Z6" s="163"/>
      <c r="AA6" s="163"/>
      <c r="AB6" s="163"/>
    </row>
    <row r="7" ht="15.75" customHeight="1">
      <c r="A7" s="163"/>
      <c r="B7" s="292" t="s">
        <v>1214</v>
      </c>
      <c r="C7" s="133" t="s">
        <v>649</v>
      </c>
      <c r="D7" s="158" t="s">
        <v>647</v>
      </c>
      <c r="E7" s="163"/>
      <c r="F7" s="294" t="s">
        <v>1215</v>
      </c>
      <c r="G7" s="244"/>
      <c r="H7" s="244"/>
      <c r="I7" s="244"/>
      <c r="J7" s="244"/>
      <c r="K7" s="244"/>
      <c r="L7" s="244"/>
      <c r="M7" s="244"/>
      <c r="N7" s="244"/>
      <c r="O7" s="244"/>
      <c r="P7" s="244"/>
      <c r="Q7" s="163"/>
      <c r="R7" s="163"/>
      <c r="S7" s="163"/>
      <c r="T7" s="163"/>
      <c r="U7" s="163"/>
      <c r="V7" s="163"/>
      <c r="W7" s="163"/>
      <c r="X7" s="163"/>
      <c r="Y7" s="163"/>
      <c r="Z7" s="163"/>
      <c r="AA7" s="163"/>
      <c r="AB7" s="163"/>
    </row>
  </sheetData>
  <mergeCells count="1">
    <mergeCell ref="A3:A4"/>
  </mergeCells>
  <dataValidations>
    <dataValidation type="list" allowBlank="1" showErrorMessage="1" sqref="D6:D7">
      <formula1>"Yes,No"</formula1>
    </dataValidation>
    <dataValidation type="list" allowBlank="1" showErrorMessage="1" sqref="C6:C7">
      <formula1>"Text,Numeric,Single select,Multi select,Image,Date"</formula1>
    </dataValidation>
  </dataValidations>
  <drawing r:id="rId4"/>
  <legacy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9.0"/>
    <col customWidth="1" min="2" max="2" width="37.13"/>
    <col customWidth="1" min="3" max="3" width="23.75"/>
    <col customWidth="1" min="4" max="4" width="12.63"/>
    <col customWidth="1" min="5" max="5" width="19.25"/>
    <col customWidth="1" min="6" max="6" width="12.63"/>
    <col customWidth="1" min="9" max="9" width="28.88"/>
    <col customWidth="1" min="10" max="10" width="33.25"/>
  </cols>
  <sheetData>
    <row r="1" ht="15.75" customHeight="1">
      <c r="A1" s="147" t="s">
        <v>632</v>
      </c>
      <c r="B1" s="147" t="s">
        <v>633</v>
      </c>
      <c r="C1" s="147" t="s">
        <v>634</v>
      </c>
      <c r="D1" s="147" t="s">
        <v>907</v>
      </c>
      <c r="E1" s="147" t="s">
        <v>637</v>
      </c>
      <c r="F1" s="147" t="s">
        <v>638</v>
      </c>
      <c r="G1" s="147" t="s">
        <v>639</v>
      </c>
      <c r="H1" s="147" t="s">
        <v>640</v>
      </c>
      <c r="I1" s="147" t="s">
        <v>641</v>
      </c>
      <c r="J1" s="147" t="s">
        <v>642</v>
      </c>
      <c r="K1" s="149"/>
      <c r="L1" s="149"/>
      <c r="M1" s="149"/>
      <c r="N1" s="149"/>
      <c r="O1" s="149"/>
      <c r="P1" s="149"/>
      <c r="Q1" s="149"/>
      <c r="R1" s="149"/>
      <c r="S1" s="149"/>
      <c r="T1" s="149"/>
      <c r="U1" s="149"/>
    </row>
    <row r="2" ht="65.25" customHeight="1">
      <c r="A2" s="270">
        <v>1.0</v>
      </c>
      <c r="B2" s="148" t="s">
        <v>1088</v>
      </c>
      <c r="C2" s="156" t="s">
        <v>912</v>
      </c>
      <c r="D2" s="151" t="s">
        <v>728</v>
      </c>
      <c r="E2" s="271"/>
      <c r="F2" s="271"/>
      <c r="G2" s="271"/>
      <c r="H2" s="271"/>
      <c r="I2" s="200" t="s">
        <v>1219</v>
      </c>
      <c r="J2" s="271"/>
    </row>
    <row r="3" ht="15.75" customHeight="1">
      <c r="A3" s="270">
        <v>2.0</v>
      </c>
      <c r="B3" s="137" t="s">
        <v>683</v>
      </c>
      <c r="C3" s="156" t="s">
        <v>646</v>
      </c>
      <c r="D3" s="151" t="s">
        <v>728</v>
      </c>
      <c r="E3" s="271"/>
      <c r="F3" s="271"/>
      <c r="G3" s="271"/>
      <c r="H3" s="271"/>
      <c r="I3" s="271"/>
      <c r="J3" s="271"/>
    </row>
    <row r="4" ht="15.75" customHeight="1">
      <c r="A4" s="270">
        <v>3.0</v>
      </c>
      <c r="B4" s="148" t="s">
        <v>1220</v>
      </c>
      <c r="C4" s="156" t="s">
        <v>851</v>
      </c>
      <c r="D4" s="151" t="s">
        <v>728</v>
      </c>
      <c r="E4" s="137" t="s">
        <v>1221</v>
      </c>
      <c r="F4" s="271"/>
      <c r="G4" s="271"/>
      <c r="H4" s="271"/>
      <c r="I4" s="42" t="s">
        <v>1222</v>
      </c>
      <c r="J4" s="148"/>
    </row>
    <row r="5" ht="15.75" customHeight="1">
      <c r="A5" s="187"/>
      <c r="B5" s="137" t="s">
        <v>683</v>
      </c>
      <c r="C5" s="156" t="s">
        <v>646</v>
      </c>
      <c r="D5" s="151" t="s">
        <v>728</v>
      </c>
      <c r="E5" s="213" t="s">
        <v>1223</v>
      </c>
      <c r="F5" s="187"/>
      <c r="G5" s="187"/>
      <c r="H5" s="187"/>
      <c r="I5" s="187"/>
      <c r="J5" s="187"/>
    </row>
    <row r="6" ht="15.75" customHeight="1">
      <c r="A6" s="272">
        <v>4.0</v>
      </c>
      <c r="B6" s="148" t="s">
        <v>1224</v>
      </c>
      <c r="C6" s="156" t="s">
        <v>649</v>
      </c>
      <c r="D6" s="151" t="s">
        <v>728</v>
      </c>
      <c r="E6" s="137" t="s">
        <v>1221</v>
      </c>
      <c r="F6" s="187"/>
      <c r="G6" s="187"/>
      <c r="H6" s="187"/>
      <c r="I6" s="187"/>
      <c r="J6" s="187"/>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dataValidations>
    <dataValidation type="list" allowBlank="1" showErrorMessage="1" sqref="D2:D6">
      <formula1>"yes,no"</formula1>
    </dataValidation>
    <dataValidation type="list" allowBlank="1" showErrorMessage="1" sqref="C2:C6">
      <formula1>"Text,Numeric,Image,Single Select,Multi select,Date"</formula1>
    </dataValidation>
  </dataValidations>
  <printOptions/>
  <pageMargins bottom="0.75" footer="0.0" header="0.0" left="0.7" right="0.7" top="0.75"/>
  <pageSetup orientation="landscape"/>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4" width="16.88"/>
    <col customWidth="1" min="5" max="5" width="12.63"/>
  </cols>
  <sheetData>
    <row r="1" ht="15.75" customHeight="1">
      <c r="A1" s="183" t="s">
        <v>631</v>
      </c>
      <c r="B1" s="147" t="s">
        <v>632</v>
      </c>
      <c r="C1" s="147" t="s">
        <v>633</v>
      </c>
      <c r="D1" s="147" t="s">
        <v>634</v>
      </c>
      <c r="E1" s="147" t="s">
        <v>824</v>
      </c>
      <c r="F1" s="147" t="s">
        <v>637</v>
      </c>
      <c r="G1" s="147" t="s">
        <v>638</v>
      </c>
      <c r="H1" s="147" t="s">
        <v>639</v>
      </c>
      <c r="I1" s="147" t="s">
        <v>640</v>
      </c>
      <c r="J1" s="147" t="s">
        <v>641</v>
      </c>
      <c r="K1" s="147" t="s">
        <v>642</v>
      </c>
      <c r="L1" s="147" t="s">
        <v>722</v>
      </c>
      <c r="M1" s="147" t="s">
        <v>723</v>
      </c>
      <c r="N1" s="147" t="s">
        <v>724</v>
      </c>
      <c r="O1" s="147" t="s">
        <v>725</v>
      </c>
      <c r="P1" s="147"/>
      <c r="Q1" s="147"/>
      <c r="R1" s="147"/>
      <c r="S1" s="184"/>
      <c r="T1" s="184"/>
      <c r="U1" s="184"/>
      <c r="V1" s="149"/>
      <c r="W1" s="149"/>
      <c r="X1" s="149"/>
      <c r="Y1" s="149"/>
      <c r="Z1" s="149"/>
      <c r="AA1" s="149"/>
      <c r="AB1" s="149"/>
      <c r="AC1" s="149"/>
      <c r="AD1" s="149"/>
      <c r="AE1" s="149"/>
      <c r="AF1" s="149"/>
      <c r="AG1" s="149"/>
    </row>
    <row r="2" ht="17.25" customHeight="1">
      <c r="A2" s="295"/>
      <c r="B2" s="296">
        <v>1.0</v>
      </c>
      <c r="C2" s="137" t="s">
        <v>1225</v>
      </c>
      <c r="D2" s="148" t="s">
        <v>655</v>
      </c>
      <c r="E2" s="297" t="s">
        <v>647</v>
      </c>
      <c r="F2" s="187"/>
      <c r="G2" s="187"/>
      <c r="H2" s="187"/>
      <c r="I2" s="187"/>
      <c r="J2" s="148" t="s">
        <v>1082</v>
      </c>
      <c r="K2" s="187"/>
      <c r="L2" s="184"/>
      <c r="M2" s="184"/>
      <c r="N2" s="184"/>
      <c r="O2" s="149"/>
      <c r="P2" s="149"/>
      <c r="Q2" s="149"/>
      <c r="R2" s="149"/>
      <c r="S2" s="149"/>
      <c r="T2" s="149"/>
      <c r="U2" s="149"/>
      <c r="V2" s="149"/>
      <c r="W2" s="149"/>
      <c r="X2" s="149"/>
      <c r="Y2" s="149"/>
      <c r="Z2" s="149"/>
      <c r="AA2" s="149"/>
      <c r="AB2" s="149"/>
      <c r="AC2" s="149"/>
      <c r="AD2" s="149"/>
      <c r="AE2" s="149"/>
      <c r="AF2" s="149"/>
      <c r="AG2" s="149"/>
    </row>
    <row r="3" ht="15.75" customHeight="1">
      <c r="A3" s="295"/>
      <c r="B3" s="296">
        <v>2.0</v>
      </c>
      <c r="C3" s="137" t="s">
        <v>1226</v>
      </c>
      <c r="D3" s="148" t="s">
        <v>655</v>
      </c>
      <c r="E3" s="297" t="s">
        <v>647</v>
      </c>
      <c r="F3" s="187"/>
      <c r="G3" s="187"/>
      <c r="H3" s="187"/>
      <c r="I3" s="187"/>
      <c r="J3" s="148" t="s">
        <v>1082</v>
      </c>
      <c r="K3" s="187"/>
      <c r="L3" s="151"/>
      <c r="M3" s="151"/>
      <c r="N3" s="151"/>
    </row>
    <row r="4" ht="15.75" customHeight="1">
      <c r="A4" s="295"/>
      <c r="B4" s="296">
        <v>3.0</v>
      </c>
      <c r="C4" s="137" t="s">
        <v>1227</v>
      </c>
      <c r="D4" s="136" t="s">
        <v>655</v>
      </c>
      <c r="E4" s="297" t="s">
        <v>647</v>
      </c>
      <c r="F4" s="44"/>
      <c r="G4" s="44"/>
      <c r="H4" s="44"/>
      <c r="I4" s="44"/>
      <c r="J4" s="136" t="s">
        <v>1082</v>
      </c>
      <c r="K4" s="44"/>
    </row>
    <row r="5" ht="15.75" customHeight="1">
      <c r="A5" s="295"/>
      <c r="B5" s="296">
        <v>4.0</v>
      </c>
      <c r="C5" s="137" t="s">
        <v>1228</v>
      </c>
      <c r="D5" s="136" t="s">
        <v>655</v>
      </c>
      <c r="E5" s="297" t="s">
        <v>647</v>
      </c>
      <c r="F5" s="44"/>
      <c r="G5" s="44"/>
      <c r="H5" s="44"/>
      <c r="I5" s="44"/>
      <c r="J5" s="136" t="s">
        <v>1082</v>
      </c>
      <c r="K5" s="44"/>
    </row>
    <row r="6" ht="15.75" customHeight="1">
      <c r="A6" s="295"/>
      <c r="B6" s="296">
        <v>5.0</v>
      </c>
      <c r="C6" s="137" t="s">
        <v>1229</v>
      </c>
      <c r="D6" s="136" t="s">
        <v>655</v>
      </c>
      <c r="E6" s="297" t="s">
        <v>647</v>
      </c>
      <c r="F6" s="44"/>
      <c r="G6" s="44"/>
      <c r="H6" s="44"/>
      <c r="I6" s="44"/>
      <c r="J6" s="136" t="s">
        <v>1082</v>
      </c>
      <c r="K6" s="44"/>
    </row>
    <row r="7" ht="15.75" customHeight="1">
      <c r="A7" s="295"/>
      <c r="B7" s="296">
        <v>6.0</v>
      </c>
      <c r="C7" s="137" t="s">
        <v>1230</v>
      </c>
      <c r="D7" s="136" t="s">
        <v>655</v>
      </c>
      <c r="E7" s="297" t="s">
        <v>647</v>
      </c>
      <c r="F7" s="44"/>
      <c r="G7" s="44"/>
      <c r="H7" s="44"/>
      <c r="I7" s="44"/>
      <c r="J7" s="136" t="s">
        <v>1082</v>
      </c>
      <c r="K7" s="44"/>
    </row>
    <row r="8" ht="15.75" customHeight="1">
      <c r="A8" s="295"/>
      <c r="B8" s="296">
        <v>7.0</v>
      </c>
      <c r="C8" s="137" t="s">
        <v>1231</v>
      </c>
      <c r="D8" s="136" t="s">
        <v>655</v>
      </c>
      <c r="E8" s="297" t="s">
        <v>647</v>
      </c>
      <c r="F8" s="44"/>
      <c r="G8" s="44"/>
      <c r="H8" s="44"/>
      <c r="I8" s="44"/>
      <c r="J8" s="136" t="s">
        <v>1082</v>
      </c>
      <c r="K8" s="44"/>
    </row>
    <row r="9" ht="15.75" customHeight="1">
      <c r="A9" s="295"/>
      <c r="B9" s="296">
        <v>8.0</v>
      </c>
      <c r="C9" s="137" t="s">
        <v>1232</v>
      </c>
      <c r="D9" s="136" t="s">
        <v>655</v>
      </c>
      <c r="E9" s="297" t="s">
        <v>647</v>
      </c>
      <c r="F9" s="44"/>
      <c r="G9" s="44"/>
      <c r="H9" s="44"/>
      <c r="I9" s="44"/>
      <c r="J9" s="136" t="s">
        <v>1082</v>
      </c>
      <c r="K9" s="44"/>
    </row>
    <row r="10" ht="15.75" customHeight="1">
      <c r="A10" s="295"/>
      <c r="B10" s="296">
        <v>9.0</v>
      </c>
      <c r="C10" s="137" t="s">
        <v>1233</v>
      </c>
      <c r="D10" s="136" t="s">
        <v>655</v>
      </c>
      <c r="E10" s="297" t="s">
        <v>647</v>
      </c>
      <c r="F10" s="44"/>
      <c r="G10" s="44"/>
      <c r="H10" s="44"/>
      <c r="I10" s="44"/>
      <c r="J10" s="136" t="s">
        <v>1082</v>
      </c>
      <c r="K10" s="44"/>
    </row>
    <row r="11" ht="15.75" customHeight="1">
      <c r="A11" s="295"/>
      <c r="B11" s="296">
        <v>10.0</v>
      </c>
      <c r="C11" s="137" t="s">
        <v>1234</v>
      </c>
      <c r="D11" s="136" t="s">
        <v>655</v>
      </c>
      <c r="E11" s="297" t="s">
        <v>647</v>
      </c>
      <c r="F11" s="44"/>
      <c r="G11" s="44"/>
      <c r="H11" s="44"/>
      <c r="I11" s="44"/>
      <c r="J11" s="136" t="s">
        <v>1082</v>
      </c>
      <c r="K11" s="44"/>
    </row>
    <row r="12" ht="15.75" customHeight="1">
      <c r="A12" s="295"/>
      <c r="B12" s="296">
        <v>11.0</v>
      </c>
      <c r="C12" s="137" t="s">
        <v>1235</v>
      </c>
      <c r="D12" s="136" t="s">
        <v>655</v>
      </c>
      <c r="E12" s="297" t="s">
        <v>647</v>
      </c>
      <c r="F12" s="44"/>
      <c r="G12" s="44"/>
      <c r="H12" s="44"/>
      <c r="I12" s="44"/>
      <c r="J12" s="136"/>
      <c r="K12" s="44"/>
    </row>
    <row r="13" ht="15.75" customHeight="1">
      <c r="A13" s="295"/>
      <c r="B13" s="296">
        <v>12.0</v>
      </c>
      <c r="C13" s="137" t="s">
        <v>1236</v>
      </c>
      <c r="D13" s="136" t="s">
        <v>655</v>
      </c>
      <c r="E13" s="297" t="s">
        <v>647</v>
      </c>
      <c r="F13" s="44"/>
      <c r="G13" s="44"/>
      <c r="H13" s="44"/>
      <c r="I13" s="44"/>
      <c r="J13" s="136" t="s">
        <v>1082</v>
      </c>
      <c r="K13" s="44"/>
    </row>
    <row r="14" ht="15.75" customHeight="1">
      <c r="A14" s="295"/>
      <c r="B14" s="296">
        <v>13.0</v>
      </c>
      <c r="C14" s="137" t="s">
        <v>1237</v>
      </c>
      <c r="D14" s="136" t="s">
        <v>655</v>
      </c>
      <c r="E14" s="297" t="s">
        <v>647</v>
      </c>
      <c r="F14" s="44"/>
      <c r="G14" s="44"/>
      <c r="H14" s="44"/>
      <c r="I14" s="44"/>
      <c r="J14" s="136" t="s">
        <v>1082</v>
      </c>
      <c r="K14" s="44"/>
    </row>
    <row r="15" ht="15.75" customHeight="1">
      <c r="A15" s="295"/>
      <c r="B15" s="296">
        <v>14.0</v>
      </c>
      <c r="C15" s="137" t="s">
        <v>1238</v>
      </c>
      <c r="D15" s="136" t="s">
        <v>655</v>
      </c>
      <c r="E15" s="297" t="s">
        <v>647</v>
      </c>
      <c r="F15" s="44"/>
      <c r="G15" s="44"/>
      <c r="H15" s="44"/>
      <c r="I15" s="44"/>
      <c r="J15" s="136" t="s">
        <v>1082</v>
      </c>
      <c r="K15" s="44"/>
    </row>
    <row r="16" ht="15.75" customHeight="1">
      <c r="A16" s="295"/>
      <c r="B16" s="296">
        <v>15.0</v>
      </c>
      <c r="C16" s="137" t="s">
        <v>1239</v>
      </c>
      <c r="D16" s="136" t="s">
        <v>655</v>
      </c>
      <c r="E16" s="297" t="s">
        <v>647</v>
      </c>
      <c r="F16" s="44"/>
      <c r="G16" s="44"/>
      <c r="H16" s="44"/>
      <c r="I16" s="44"/>
      <c r="J16" s="136" t="s">
        <v>1082</v>
      </c>
      <c r="K16" s="44"/>
    </row>
    <row r="17" ht="15.75" customHeight="1">
      <c r="A17" s="295"/>
      <c r="B17" s="296">
        <v>16.0</v>
      </c>
      <c r="C17" s="137" t="s">
        <v>1240</v>
      </c>
      <c r="D17" s="136" t="s">
        <v>655</v>
      </c>
      <c r="E17" s="297" t="s">
        <v>647</v>
      </c>
      <c r="F17" s="44"/>
      <c r="G17" s="44"/>
      <c r="H17" s="44"/>
      <c r="I17" s="44"/>
      <c r="J17" s="136" t="s">
        <v>1082</v>
      </c>
      <c r="K17" s="44"/>
    </row>
    <row r="18" ht="15.75" customHeight="1">
      <c r="A18" s="295"/>
      <c r="B18" s="296">
        <v>17.0</v>
      </c>
      <c r="C18" s="137" t="s">
        <v>1241</v>
      </c>
      <c r="D18" s="136" t="s">
        <v>655</v>
      </c>
      <c r="E18" s="297" t="s">
        <v>647</v>
      </c>
      <c r="F18" s="44"/>
      <c r="G18" s="44"/>
      <c r="H18" s="44"/>
      <c r="I18" s="44"/>
      <c r="J18" s="136" t="s">
        <v>1082</v>
      </c>
      <c r="K18" s="44"/>
    </row>
    <row r="19" ht="15.75" customHeight="1">
      <c r="A19" s="295"/>
      <c r="B19" s="296">
        <v>18.0</v>
      </c>
      <c r="C19" s="137" t="s">
        <v>1242</v>
      </c>
      <c r="D19" s="136" t="s">
        <v>655</v>
      </c>
      <c r="E19" s="297" t="s">
        <v>647</v>
      </c>
      <c r="F19" s="44"/>
      <c r="G19" s="44"/>
      <c r="H19" s="44"/>
      <c r="I19" s="44"/>
      <c r="J19" s="136" t="s">
        <v>1082</v>
      </c>
      <c r="K19" s="44"/>
    </row>
    <row r="20" ht="15.75" customHeight="1">
      <c r="A20" s="295"/>
      <c r="B20" s="296">
        <v>19.0</v>
      </c>
      <c r="C20" s="137" t="s">
        <v>1243</v>
      </c>
      <c r="D20" s="136" t="s">
        <v>655</v>
      </c>
      <c r="E20" s="297" t="s">
        <v>647</v>
      </c>
      <c r="F20" s="44"/>
      <c r="G20" s="44"/>
      <c r="H20" s="44"/>
      <c r="I20" s="44"/>
      <c r="J20" s="136" t="s">
        <v>1082</v>
      </c>
      <c r="K20" s="44"/>
    </row>
    <row r="21" ht="15.75" customHeight="1">
      <c r="A21" s="295"/>
      <c r="B21" s="296">
        <v>20.0</v>
      </c>
      <c r="C21" s="137" t="s">
        <v>1244</v>
      </c>
      <c r="D21" s="136"/>
      <c r="E21" s="297" t="s">
        <v>647</v>
      </c>
      <c r="F21" s="44"/>
      <c r="G21" s="44"/>
      <c r="H21" s="44"/>
      <c r="I21" s="44"/>
      <c r="J21" s="136" t="s">
        <v>1082</v>
      </c>
      <c r="K21" s="44"/>
    </row>
    <row r="22" ht="15.75" customHeight="1">
      <c r="A22" s="295"/>
      <c r="B22" s="296">
        <v>21.0</v>
      </c>
      <c r="C22" s="137" t="s">
        <v>1245</v>
      </c>
      <c r="D22" s="136" t="s">
        <v>655</v>
      </c>
      <c r="E22" s="297" t="s">
        <v>647</v>
      </c>
      <c r="F22" s="44"/>
      <c r="G22" s="44"/>
      <c r="H22" s="44"/>
      <c r="I22" s="44"/>
      <c r="J22" s="136" t="s">
        <v>1082</v>
      </c>
      <c r="K22" s="44"/>
    </row>
    <row r="23" ht="15.75" customHeight="1">
      <c r="A23" s="295"/>
      <c r="B23" s="296">
        <v>22.0</v>
      </c>
      <c r="C23" s="137" t="s">
        <v>1246</v>
      </c>
      <c r="D23" s="136"/>
      <c r="E23" s="297" t="s">
        <v>647</v>
      </c>
      <c r="F23" s="44"/>
      <c r="G23" s="44"/>
      <c r="H23" s="44"/>
      <c r="I23" s="44"/>
      <c r="J23" s="136" t="s">
        <v>1082</v>
      </c>
      <c r="K23" s="44"/>
    </row>
    <row r="24" ht="15.75" customHeight="1">
      <c r="A24" s="295"/>
      <c r="B24" s="296">
        <v>23.0</v>
      </c>
      <c r="C24" s="137" t="s">
        <v>1247</v>
      </c>
      <c r="D24" s="136" t="s">
        <v>655</v>
      </c>
      <c r="E24" s="297" t="s">
        <v>647</v>
      </c>
      <c r="F24" s="44"/>
      <c r="G24" s="44"/>
      <c r="H24" s="44"/>
      <c r="I24" s="44"/>
      <c r="J24" s="136" t="s">
        <v>1082</v>
      </c>
      <c r="K24" s="44"/>
    </row>
    <row r="25" ht="15.75" customHeight="1">
      <c r="A25" s="295"/>
      <c r="B25" s="296">
        <v>24.0</v>
      </c>
      <c r="C25" s="137" t="s">
        <v>1248</v>
      </c>
      <c r="D25" s="136" t="s">
        <v>655</v>
      </c>
      <c r="E25" s="297" t="s">
        <v>647</v>
      </c>
      <c r="F25" s="44"/>
      <c r="G25" s="44"/>
      <c r="H25" s="44"/>
      <c r="I25" s="44"/>
      <c r="J25" s="136" t="s">
        <v>1082</v>
      </c>
      <c r="K25" s="4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pageMargins bottom="0.75" footer="0.0" header="0.0" left="0.7" right="0.7" top="0.75"/>
  <pageSetup orientation="landscape"/>
  <drawing r:id="rId4"/>
  <legacy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4.0"/>
    <col customWidth="1" min="2" max="2" width="18.63"/>
    <col customWidth="1" min="6" max="6" width="28.38"/>
    <col customWidth="1" min="7" max="7" width="44.25"/>
    <col customWidth="1" min="8" max="8" width="40.13"/>
    <col customWidth="1" hidden="1" min="9" max="9" width="15.5"/>
    <col hidden="1" min="10" max="11" width="12.63"/>
  </cols>
  <sheetData>
    <row r="1">
      <c r="A1" s="298" t="s">
        <v>1249</v>
      </c>
      <c r="B1" s="299" t="s">
        <v>1250</v>
      </c>
      <c r="C1" s="298" t="s">
        <v>1251</v>
      </c>
      <c r="D1" s="298" t="s">
        <v>1252</v>
      </c>
      <c r="E1" s="298" t="s">
        <v>1253</v>
      </c>
      <c r="F1" s="298" t="s">
        <v>1254</v>
      </c>
      <c r="G1" s="298" t="s">
        <v>1255</v>
      </c>
      <c r="H1" s="67"/>
      <c r="I1" s="300"/>
      <c r="J1" s="301"/>
      <c r="K1" s="302"/>
      <c r="L1" s="303"/>
      <c r="N1" s="67"/>
      <c r="O1" s="67"/>
      <c r="P1" s="67"/>
      <c r="Q1" s="67"/>
      <c r="R1" s="67"/>
      <c r="S1" s="67"/>
      <c r="T1" s="67"/>
      <c r="U1" s="67"/>
      <c r="V1" s="67"/>
      <c r="W1" s="67"/>
      <c r="X1" s="67"/>
      <c r="Y1" s="67"/>
      <c r="Z1" s="67"/>
      <c r="AA1" s="67"/>
      <c r="AB1" s="67"/>
    </row>
    <row r="2">
      <c r="A2" s="6" t="s">
        <v>1225</v>
      </c>
      <c r="B2" s="304" t="s">
        <v>1256</v>
      </c>
      <c r="C2" s="304" t="s">
        <v>1257</v>
      </c>
      <c r="D2" s="305" t="s">
        <v>1258</v>
      </c>
      <c r="E2" s="305" t="s">
        <v>1259</v>
      </c>
      <c r="F2" s="304" t="s">
        <v>1260</v>
      </c>
      <c r="G2" s="306" t="s">
        <v>1261</v>
      </c>
      <c r="H2" s="68" t="s">
        <v>1262</v>
      </c>
      <c r="I2" s="307" t="s">
        <v>1263</v>
      </c>
      <c r="J2" s="308">
        <v>365.0</v>
      </c>
      <c r="K2" s="309">
        <f>(2*4*7)</f>
        <v>56</v>
      </c>
      <c r="N2" s="67"/>
      <c r="O2" s="67"/>
      <c r="P2" s="67"/>
      <c r="Q2" s="67"/>
      <c r="R2" s="67"/>
      <c r="S2" s="67"/>
      <c r="T2" s="67"/>
      <c r="U2" s="67"/>
      <c r="V2" s="67"/>
      <c r="W2" s="67"/>
      <c r="X2" s="67"/>
      <c r="Y2" s="67"/>
      <c r="Z2" s="67"/>
      <c r="AA2" s="67"/>
      <c r="AB2" s="67"/>
    </row>
    <row r="3">
      <c r="A3" s="6" t="s">
        <v>1226</v>
      </c>
      <c r="B3" s="304" t="s">
        <v>1264</v>
      </c>
      <c r="C3" s="304" t="s">
        <v>1265</v>
      </c>
      <c r="D3" s="305" t="s">
        <v>1257</v>
      </c>
      <c r="E3" s="305" t="s">
        <v>1259</v>
      </c>
      <c r="F3" s="304" t="s">
        <v>1266</v>
      </c>
      <c r="G3" s="306" t="s">
        <v>1261</v>
      </c>
      <c r="H3" s="67"/>
      <c r="I3" s="307" t="s">
        <v>1263</v>
      </c>
      <c r="J3" s="308">
        <v>15.0</v>
      </c>
      <c r="K3" s="309">
        <v>7.0</v>
      </c>
      <c r="N3" s="67"/>
      <c r="O3" s="67"/>
      <c r="P3" s="67"/>
      <c r="Q3" s="67"/>
      <c r="R3" s="67"/>
      <c r="S3" s="67"/>
      <c r="T3" s="67"/>
      <c r="U3" s="67"/>
      <c r="V3" s="67"/>
      <c r="W3" s="67"/>
      <c r="X3" s="67"/>
      <c r="Y3" s="67"/>
      <c r="Z3" s="67"/>
      <c r="AA3" s="67"/>
      <c r="AB3" s="67"/>
    </row>
    <row r="4" ht="72.0" customHeight="1">
      <c r="A4" s="6" t="s">
        <v>1227</v>
      </c>
      <c r="B4" s="304" t="s">
        <v>1267</v>
      </c>
      <c r="C4" s="304" t="s">
        <v>1268</v>
      </c>
      <c r="D4" s="305" t="s">
        <v>1265</v>
      </c>
      <c r="E4" s="305" t="s">
        <v>1257</v>
      </c>
      <c r="F4" s="304" t="s">
        <v>1269</v>
      </c>
      <c r="G4" s="306" t="s">
        <v>1261</v>
      </c>
      <c r="H4" s="67"/>
      <c r="I4" s="307" t="s">
        <v>1263</v>
      </c>
      <c r="J4" s="308">
        <v>1.0</v>
      </c>
      <c r="K4" s="309">
        <v>1.0</v>
      </c>
      <c r="N4" s="67"/>
      <c r="O4" s="67"/>
      <c r="P4" s="67"/>
      <c r="Q4" s="67"/>
      <c r="R4" s="67"/>
      <c r="S4" s="67"/>
      <c r="T4" s="67"/>
      <c r="U4" s="67"/>
      <c r="V4" s="67"/>
      <c r="W4" s="67"/>
      <c r="X4" s="67"/>
      <c r="Y4" s="67"/>
      <c r="Z4" s="67"/>
      <c r="AA4" s="67"/>
      <c r="AB4" s="67"/>
    </row>
    <row r="5">
      <c r="A5" s="6" t="s">
        <v>1228</v>
      </c>
      <c r="B5" s="304" t="s">
        <v>1270</v>
      </c>
      <c r="C5" s="304" t="s">
        <v>1271</v>
      </c>
      <c r="D5" s="305" t="s">
        <v>1272</v>
      </c>
      <c r="E5" s="310" t="s">
        <v>1259</v>
      </c>
      <c r="F5" s="304" t="s">
        <v>1266</v>
      </c>
      <c r="G5" s="306" t="s">
        <v>1261</v>
      </c>
      <c r="H5" s="68" t="s">
        <v>1273</v>
      </c>
      <c r="I5" s="308">
        <v>42.0</v>
      </c>
      <c r="J5" s="308">
        <f t="shared" ref="J5:J6" si="1">(365*5)</f>
        <v>1825</v>
      </c>
      <c r="K5" s="309">
        <f t="shared" ref="K5:K7" si="2">(7*7)</f>
        <v>49</v>
      </c>
      <c r="N5" s="67"/>
      <c r="O5" s="67"/>
      <c r="P5" s="67"/>
      <c r="Q5" s="67"/>
      <c r="R5" s="67"/>
      <c r="S5" s="67"/>
      <c r="T5" s="67"/>
      <c r="U5" s="67"/>
      <c r="V5" s="67"/>
      <c r="W5" s="67"/>
      <c r="X5" s="67"/>
      <c r="Y5" s="67"/>
      <c r="Z5" s="67"/>
      <c r="AA5" s="67"/>
      <c r="AB5" s="67"/>
    </row>
    <row r="6">
      <c r="A6" s="136" t="s">
        <v>1229</v>
      </c>
      <c r="B6" s="304" t="s">
        <v>1270</v>
      </c>
      <c r="C6" s="304" t="s">
        <v>1271</v>
      </c>
      <c r="D6" s="305" t="s">
        <v>1272</v>
      </c>
      <c r="E6" s="310" t="s">
        <v>1259</v>
      </c>
      <c r="F6" s="304" t="s">
        <v>1260</v>
      </c>
      <c r="G6" s="306" t="s">
        <v>1261</v>
      </c>
      <c r="H6" s="67"/>
      <c r="I6" s="308">
        <v>42.0</v>
      </c>
      <c r="J6" s="308">
        <f t="shared" si="1"/>
        <v>1825</v>
      </c>
      <c r="K6" s="309">
        <f t="shared" si="2"/>
        <v>49</v>
      </c>
      <c r="N6" s="67"/>
      <c r="O6" s="67"/>
      <c r="P6" s="67"/>
      <c r="Q6" s="67"/>
      <c r="R6" s="67"/>
      <c r="S6" s="67"/>
      <c r="T6" s="67"/>
      <c r="U6" s="67"/>
      <c r="V6" s="67"/>
      <c r="W6" s="67"/>
      <c r="X6" s="67"/>
      <c r="Y6" s="67"/>
      <c r="Z6" s="67"/>
      <c r="AA6" s="67"/>
      <c r="AB6" s="67"/>
    </row>
    <row r="7">
      <c r="A7" s="136" t="s">
        <v>1230</v>
      </c>
      <c r="B7" s="304" t="s">
        <v>1270</v>
      </c>
      <c r="C7" s="304" t="s">
        <v>1271</v>
      </c>
      <c r="D7" s="305" t="s">
        <v>1272</v>
      </c>
      <c r="E7" s="310" t="s">
        <v>1259</v>
      </c>
      <c r="F7" s="304" t="s">
        <v>1260</v>
      </c>
      <c r="G7" s="306" t="s">
        <v>1261</v>
      </c>
      <c r="I7" s="308">
        <v>42.0</v>
      </c>
      <c r="J7" s="308">
        <v>365.0</v>
      </c>
      <c r="K7" s="309">
        <f t="shared" si="2"/>
        <v>49</v>
      </c>
    </row>
    <row r="8">
      <c r="A8" s="136" t="s">
        <v>1231</v>
      </c>
      <c r="B8" s="304" t="s">
        <v>1270</v>
      </c>
      <c r="C8" s="304" t="s">
        <v>1271</v>
      </c>
      <c r="D8" s="305" t="s">
        <v>1272</v>
      </c>
      <c r="E8" s="310" t="s">
        <v>1259</v>
      </c>
      <c r="F8" s="304" t="s">
        <v>1274</v>
      </c>
      <c r="G8" s="304" t="s">
        <v>1275</v>
      </c>
      <c r="I8" s="308">
        <v>42.0</v>
      </c>
    </row>
    <row r="9">
      <c r="A9" s="136" t="s">
        <v>1232</v>
      </c>
      <c r="B9" s="304" t="s">
        <v>1270</v>
      </c>
      <c r="C9" s="304" t="s">
        <v>1271</v>
      </c>
      <c r="D9" s="310" t="s">
        <v>1272</v>
      </c>
      <c r="E9" s="310" t="s">
        <v>1276</v>
      </c>
      <c r="F9" s="304" t="s">
        <v>1260</v>
      </c>
      <c r="G9" s="304" t="s">
        <v>1277</v>
      </c>
      <c r="I9" s="308">
        <v>42.0</v>
      </c>
    </row>
    <row r="10">
      <c r="A10" s="6" t="s">
        <v>1233</v>
      </c>
      <c r="B10" s="304" t="s">
        <v>1278</v>
      </c>
      <c r="C10" s="304" t="s">
        <v>1279</v>
      </c>
      <c r="D10" s="310" t="s">
        <v>1280</v>
      </c>
      <c r="E10" s="310" t="s">
        <v>1259</v>
      </c>
      <c r="F10" s="304" t="s">
        <v>1266</v>
      </c>
      <c r="G10" s="306" t="s">
        <v>1261</v>
      </c>
      <c r="I10" s="308">
        <v>70.0</v>
      </c>
      <c r="J10" s="308">
        <f>(365*5)</f>
        <v>1825</v>
      </c>
      <c r="K10" s="309">
        <f t="shared" ref="K10:K12" si="3">(11*7)</f>
        <v>77</v>
      </c>
    </row>
    <row r="11">
      <c r="A11" s="136" t="s">
        <v>1234</v>
      </c>
      <c r="B11" s="304" t="s">
        <v>1278</v>
      </c>
      <c r="C11" s="304" t="s">
        <v>1279</v>
      </c>
      <c r="D11" s="305" t="s">
        <v>1280</v>
      </c>
      <c r="E11" s="310" t="s">
        <v>1259</v>
      </c>
      <c r="F11" s="304" t="s">
        <v>1260</v>
      </c>
      <c r="G11" s="306" t="s">
        <v>1261</v>
      </c>
      <c r="I11" s="308">
        <v>70.0</v>
      </c>
      <c r="J11" s="308">
        <v>365.0</v>
      </c>
      <c r="K11" s="309">
        <f t="shared" si="3"/>
        <v>77</v>
      </c>
      <c r="L11" s="311"/>
    </row>
    <row r="12">
      <c r="A12" s="136" t="s">
        <v>1235</v>
      </c>
      <c r="B12" s="304" t="s">
        <v>1278</v>
      </c>
      <c r="C12" s="304" t="s">
        <v>1279</v>
      </c>
      <c r="D12" s="310" t="s">
        <v>1280</v>
      </c>
      <c r="E12" s="310" t="s">
        <v>1276</v>
      </c>
      <c r="F12" s="304" t="s">
        <v>1260</v>
      </c>
      <c r="G12" s="304" t="s">
        <v>1277</v>
      </c>
      <c r="I12" s="308">
        <v>70.0</v>
      </c>
      <c r="J12" s="308">
        <v>365.0</v>
      </c>
      <c r="K12" s="309">
        <f t="shared" si="3"/>
        <v>77</v>
      </c>
    </row>
    <row r="13">
      <c r="A13" s="6" t="s">
        <v>1236</v>
      </c>
      <c r="B13" s="304" t="s">
        <v>1281</v>
      </c>
      <c r="C13" s="304" t="s">
        <v>1282</v>
      </c>
      <c r="D13" s="310" t="s">
        <v>1283</v>
      </c>
      <c r="E13" s="310" t="s">
        <v>1259</v>
      </c>
      <c r="F13" s="305" t="s">
        <v>1266</v>
      </c>
      <c r="G13" s="306" t="s">
        <v>1261</v>
      </c>
      <c r="I13" s="308">
        <v>98.0</v>
      </c>
      <c r="J13" s="308">
        <f t="shared" ref="J13:J14" si="4">(365*5)</f>
        <v>1825</v>
      </c>
      <c r="K13" s="309">
        <f t="shared" ref="K13:K15" si="5">(15*7)</f>
        <v>105</v>
      </c>
    </row>
    <row r="14">
      <c r="A14" s="136" t="s">
        <v>1237</v>
      </c>
      <c r="B14" s="304" t="s">
        <v>1281</v>
      </c>
      <c r="C14" s="304" t="s">
        <v>1282</v>
      </c>
      <c r="D14" s="305" t="s">
        <v>1283</v>
      </c>
      <c r="E14" s="310" t="s">
        <v>1259</v>
      </c>
      <c r="F14" s="296" t="s">
        <v>1260</v>
      </c>
      <c r="G14" s="306" t="s">
        <v>1261</v>
      </c>
      <c r="I14" s="308">
        <v>98.0</v>
      </c>
      <c r="J14" s="308">
        <f t="shared" si="4"/>
        <v>1825</v>
      </c>
      <c r="K14" s="309">
        <f t="shared" si="5"/>
        <v>105</v>
      </c>
    </row>
    <row r="15">
      <c r="A15" s="136" t="s">
        <v>1238</v>
      </c>
      <c r="B15" s="304" t="s">
        <v>1281</v>
      </c>
      <c r="C15" s="304" t="s">
        <v>1282</v>
      </c>
      <c r="D15" s="305" t="s">
        <v>1283</v>
      </c>
      <c r="E15" s="310" t="s">
        <v>1259</v>
      </c>
      <c r="F15" s="310" t="s">
        <v>1260</v>
      </c>
      <c r="G15" s="306" t="s">
        <v>1261</v>
      </c>
      <c r="I15" s="308">
        <v>98.0</v>
      </c>
      <c r="J15" s="308">
        <v>365.0</v>
      </c>
      <c r="K15" s="309">
        <f t="shared" si="5"/>
        <v>105</v>
      </c>
    </row>
    <row r="16">
      <c r="A16" s="136" t="s">
        <v>1239</v>
      </c>
      <c r="B16" s="304" t="s">
        <v>1281</v>
      </c>
      <c r="C16" s="304" t="s">
        <v>1282</v>
      </c>
      <c r="D16" s="304" t="s">
        <v>1283</v>
      </c>
      <c r="E16" s="304" t="s">
        <v>1259</v>
      </c>
      <c r="F16" s="304" t="s">
        <v>1260</v>
      </c>
      <c r="G16" s="304" t="s">
        <v>1275</v>
      </c>
      <c r="I16" s="42" t="s">
        <v>1284</v>
      </c>
    </row>
    <row r="17">
      <c r="A17" s="136" t="s">
        <v>1240</v>
      </c>
      <c r="B17" s="304" t="s">
        <v>1281</v>
      </c>
      <c r="C17" s="304" t="s">
        <v>1282</v>
      </c>
      <c r="D17" s="310" t="s">
        <v>1283</v>
      </c>
      <c r="E17" s="310" t="s">
        <v>1276</v>
      </c>
      <c r="F17" s="296" t="s">
        <v>1285</v>
      </c>
      <c r="G17" s="304" t="s">
        <v>1277</v>
      </c>
      <c r="I17" s="308">
        <v>98.0</v>
      </c>
      <c r="J17" s="308">
        <v>365.0</v>
      </c>
      <c r="K17" s="309">
        <f>(15*7)</f>
        <v>105</v>
      </c>
      <c r="L17" s="311"/>
    </row>
    <row r="18">
      <c r="A18" s="6" t="s">
        <v>1241</v>
      </c>
      <c r="B18" s="304" t="s">
        <v>1286</v>
      </c>
      <c r="C18" s="304" t="s">
        <v>1287</v>
      </c>
      <c r="D18" s="305" t="s">
        <v>1288</v>
      </c>
      <c r="E18" s="310" t="s">
        <v>1289</v>
      </c>
      <c r="F18" s="310" t="s">
        <v>1266</v>
      </c>
      <c r="G18" s="306" t="s">
        <v>1261</v>
      </c>
      <c r="I18" s="42" t="s">
        <v>1290</v>
      </c>
    </row>
    <row r="19">
      <c r="A19" s="136" t="s">
        <v>1242</v>
      </c>
      <c r="B19" s="304" t="s">
        <v>1286</v>
      </c>
      <c r="C19" s="304" t="s">
        <v>1287</v>
      </c>
      <c r="D19" s="310" t="s">
        <v>1288</v>
      </c>
      <c r="E19" s="310" t="s">
        <v>1289</v>
      </c>
      <c r="F19" s="310" t="s">
        <v>1266</v>
      </c>
      <c r="G19" s="304" t="s">
        <v>1275</v>
      </c>
      <c r="I19" s="42" t="s">
        <v>1290</v>
      </c>
    </row>
    <row r="20">
      <c r="A20" s="6" t="s">
        <v>1243</v>
      </c>
      <c r="B20" s="304" t="s">
        <v>1286</v>
      </c>
      <c r="C20" s="304" t="s">
        <v>1287</v>
      </c>
      <c r="D20" s="305" t="s">
        <v>1288</v>
      </c>
      <c r="E20" s="310" t="s">
        <v>1289</v>
      </c>
      <c r="F20" s="310" t="s">
        <v>1266</v>
      </c>
      <c r="G20" s="306" t="s">
        <v>1261</v>
      </c>
      <c r="I20" s="307" t="s">
        <v>1291</v>
      </c>
      <c r="J20" s="308">
        <f>(365*5)</f>
        <v>1825</v>
      </c>
      <c r="K20" s="309">
        <f>(10*4*7)</f>
        <v>280</v>
      </c>
    </row>
    <row r="21">
      <c r="A21" s="136" t="s">
        <v>1244</v>
      </c>
      <c r="B21" s="304" t="s">
        <v>1292</v>
      </c>
      <c r="C21" s="304" t="s">
        <v>1287</v>
      </c>
      <c r="D21" s="310" t="s">
        <v>1288</v>
      </c>
      <c r="E21" s="310" t="s">
        <v>1289</v>
      </c>
      <c r="F21" s="310" t="s">
        <v>1293</v>
      </c>
      <c r="G21" s="304" t="s">
        <v>1294</v>
      </c>
      <c r="I21" s="42" t="s">
        <v>1295</v>
      </c>
      <c r="L21" s="311"/>
    </row>
    <row r="22">
      <c r="A22" s="6" t="s">
        <v>1245</v>
      </c>
      <c r="B22" s="304" t="s">
        <v>1296</v>
      </c>
      <c r="C22" s="296" t="s">
        <v>1297</v>
      </c>
      <c r="D22" s="310" t="s">
        <v>1298</v>
      </c>
      <c r="E22" s="310" t="s">
        <v>1299</v>
      </c>
      <c r="F22" s="310" t="s">
        <v>1300</v>
      </c>
      <c r="G22" s="306" t="s">
        <v>1261</v>
      </c>
      <c r="I22" s="307" t="s">
        <v>1301</v>
      </c>
      <c r="J22" s="308">
        <f>(365*5)</f>
        <v>1825</v>
      </c>
      <c r="K22" s="309">
        <f t="shared" ref="K22:K23" si="6">(18*7*4)</f>
        <v>504</v>
      </c>
      <c r="L22" s="311"/>
    </row>
    <row r="23">
      <c r="A23" s="136" t="s">
        <v>1246</v>
      </c>
      <c r="B23" s="304" t="s">
        <v>1296</v>
      </c>
      <c r="C23" s="296" t="s">
        <v>1297</v>
      </c>
      <c r="D23" s="305" t="s">
        <v>1298</v>
      </c>
      <c r="E23" s="310" t="s">
        <v>1299</v>
      </c>
      <c r="F23" s="310" t="s">
        <v>1266</v>
      </c>
      <c r="G23" s="306" t="s">
        <v>1261</v>
      </c>
      <c r="I23" s="307" t="s">
        <v>1301</v>
      </c>
      <c r="J23" s="308">
        <v>730.0</v>
      </c>
      <c r="K23" s="309">
        <f t="shared" si="6"/>
        <v>504</v>
      </c>
      <c r="L23" s="311"/>
    </row>
    <row r="24">
      <c r="A24" s="136" t="s">
        <v>1247</v>
      </c>
      <c r="B24" s="304" t="s">
        <v>1296</v>
      </c>
      <c r="C24" s="296" t="s">
        <v>1297</v>
      </c>
      <c r="D24" s="310" t="s">
        <v>1298</v>
      </c>
      <c r="E24" s="310" t="s">
        <v>1299</v>
      </c>
      <c r="F24" s="310" t="s">
        <v>1293</v>
      </c>
      <c r="G24" s="304" t="s">
        <v>1294</v>
      </c>
      <c r="I24" s="42" t="s">
        <v>1302</v>
      </c>
      <c r="L24" s="311"/>
    </row>
    <row r="25">
      <c r="A25" s="136" t="s">
        <v>1248</v>
      </c>
      <c r="B25" s="304" t="s">
        <v>1296</v>
      </c>
      <c r="C25" s="296" t="s">
        <v>1297</v>
      </c>
      <c r="D25" s="305" t="s">
        <v>1298</v>
      </c>
      <c r="E25" s="310" t="s">
        <v>1299</v>
      </c>
      <c r="F25" s="310" t="s">
        <v>1300</v>
      </c>
      <c r="G25" s="306" t="s">
        <v>1261</v>
      </c>
      <c r="I25" s="307" t="s">
        <v>1301</v>
      </c>
      <c r="J25" s="308">
        <v>730.0</v>
      </c>
      <c r="K25" s="309">
        <f>(18*7*4)</f>
        <v>504</v>
      </c>
    </row>
    <row r="26">
      <c r="A26" s="312"/>
      <c r="I26" s="313"/>
    </row>
    <row r="27">
      <c r="B27" s="314" t="s">
        <v>1303</v>
      </c>
      <c r="C27" s="315" t="s">
        <v>1304</v>
      </c>
      <c r="D27" s="315" t="s">
        <v>1305</v>
      </c>
      <c r="E27" s="315" t="s">
        <v>1306</v>
      </c>
      <c r="I27" s="27"/>
    </row>
    <row r="28">
      <c r="A28" s="316"/>
      <c r="B28" s="315" t="s">
        <v>1307</v>
      </c>
      <c r="C28" s="317" t="s">
        <v>1308</v>
      </c>
      <c r="D28" s="318" t="s">
        <v>1309</v>
      </c>
      <c r="E28" s="318" t="s">
        <v>1256</v>
      </c>
      <c r="I28" s="319"/>
    </row>
    <row r="29">
      <c r="A29" s="316"/>
      <c r="B29" s="315" t="s">
        <v>1251</v>
      </c>
      <c r="C29" s="317" t="s">
        <v>1310</v>
      </c>
      <c r="D29" s="318" t="s">
        <v>1311</v>
      </c>
      <c r="E29" s="318" t="s">
        <v>1312</v>
      </c>
      <c r="I29" s="320"/>
    </row>
    <row r="30">
      <c r="B30" s="315" t="s">
        <v>1313</v>
      </c>
      <c r="C30" s="317" t="s">
        <v>1314</v>
      </c>
      <c r="D30" s="318" t="s">
        <v>1315</v>
      </c>
      <c r="E30" s="318" t="s">
        <v>1316</v>
      </c>
      <c r="I30" s="27"/>
    </row>
    <row r="31">
      <c r="A31" s="312"/>
      <c r="B31" s="315" t="s">
        <v>1317</v>
      </c>
      <c r="C31" s="317" t="s">
        <v>1318</v>
      </c>
      <c r="D31" s="318" t="s">
        <v>1319</v>
      </c>
      <c r="E31" s="318" t="s">
        <v>1320</v>
      </c>
      <c r="I31" s="313"/>
    </row>
    <row r="32">
      <c r="B32" s="315" t="s">
        <v>1321</v>
      </c>
      <c r="C32" s="317" t="s">
        <v>1322</v>
      </c>
      <c r="D32" s="318" t="s">
        <v>1323</v>
      </c>
      <c r="E32" s="318" t="s">
        <v>1260</v>
      </c>
      <c r="I32" s="27"/>
    </row>
    <row r="33">
      <c r="A33" s="316"/>
      <c r="I33" s="319"/>
    </row>
    <row r="34">
      <c r="A34" s="312"/>
      <c r="I34" s="313"/>
    </row>
    <row r="35">
      <c r="I35" s="27"/>
    </row>
    <row r="36">
      <c r="A36" s="312"/>
      <c r="I36" s="313"/>
    </row>
    <row r="37">
      <c r="I37" s="27"/>
    </row>
    <row r="38">
      <c r="A38" s="316"/>
      <c r="I38" s="319"/>
    </row>
    <row r="39">
      <c r="A39" s="316"/>
      <c r="I39" s="319"/>
    </row>
    <row r="40">
      <c r="A40" s="316"/>
      <c r="I40" s="320"/>
    </row>
    <row r="41">
      <c r="I41" s="27"/>
    </row>
    <row r="42">
      <c r="A42" s="316"/>
      <c r="I42" s="320"/>
    </row>
    <row r="43">
      <c r="I43" s="27"/>
    </row>
    <row r="44">
      <c r="A44" s="316"/>
      <c r="I44" s="319"/>
    </row>
    <row r="45">
      <c r="A45" s="316"/>
      <c r="I45" s="319"/>
    </row>
    <row r="46">
      <c r="A46" s="316"/>
      <c r="I46" s="320"/>
    </row>
    <row r="47">
      <c r="I47" s="27"/>
    </row>
    <row r="48">
      <c r="A48" s="316"/>
      <c r="I48" s="320"/>
    </row>
    <row r="49">
      <c r="I49" s="27"/>
    </row>
    <row r="50">
      <c r="A50" s="316"/>
      <c r="I50" s="320"/>
    </row>
    <row r="51">
      <c r="I51" s="27"/>
    </row>
    <row r="52">
      <c r="A52" s="316"/>
      <c r="I52" s="320"/>
    </row>
    <row r="53">
      <c r="I53" s="27"/>
    </row>
    <row r="54">
      <c r="I54" s="139"/>
    </row>
  </sheetData>
  <autoFilter ref="$A$1:$AB$25"/>
  <mergeCells count="22">
    <mergeCell ref="A34:A35"/>
    <mergeCell ref="A36:A37"/>
    <mergeCell ref="A40:A41"/>
    <mergeCell ref="A42:A43"/>
    <mergeCell ref="A46:A47"/>
    <mergeCell ref="A48:A49"/>
    <mergeCell ref="A50:A51"/>
    <mergeCell ref="A52:A53"/>
    <mergeCell ref="I36:I37"/>
    <mergeCell ref="I40:I41"/>
    <mergeCell ref="I42:I43"/>
    <mergeCell ref="I46:I47"/>
    <mergeCell ref="I48:I49"/>
    <mergeCell ref="I50:I51"/>
    <mergeCell ref="I52:I53"/>
    <mergeCell ref="A26:A27"/>
    <mergeCell ref="I26:I27"/>
    <mergeCell ref="A29:A30"/>
    <mergeCell ref="I29:I30"/>
    <mergeCell ref="A31:A32"/>
    <mergeCell ref="I31:I32"/>
    <mergeCell ref="I34:I35"/>
  </mergeCells>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sheetPr>
  <sheetViews>
    <sheetView workbookViewId="0"/>
  </sheetViews>
  <sheetFormatPr customHeight="1" defaultColWidth="12.63" defaultRowHeight="15.0"/>
  <cols>
    <col customWidth="1" min="1" max="2" width="12.63"/>
    <col customWidth="1" min="3" max="3" width="30.0"/>
    <col customWidth="1" min="4" max="6" width="12.63"/>
  </cols>
  <sheetData>
    <row r="1" ht="15.75" customHeight="1">
      <c r="A1" s="147" t="s">
        <v>631</v>
      </c>
      <c r="B1" s="147" t="s">
        <v>632</v>
      </c>
      <c r="C1" s="147" t="s">
        <v>633</v>
      </c>
      <c r="D1" s="147" t="s">
        <v>634</v>
      </c>
      <c r="E1" s="147" t="s">
        <v>824</v>
      </c>
      <c r="F1" s="147" t="s">
        <v>637</v>
      </c>
      <c r="G1" s="147" t="s">
        <v>638</v>
      </c>
      <c r="H1" s="147" t="s">
        <v>639</v>
      </c>
      <c r="I1" s="147" t="s">
        <v>640</v>
      </c>
      <c r="J1" s="147" t="s">
        <v>641</v>
      </c>
      <c r="K1" s="147" t="s">
        <v>642</v>
      </c>
      <c r="L1" s="147" t="s">
        <v>722</v>
      </c>
      <c r="M1" s="184" t="s">
        <v>723</v>
      </c>
      <c r="N1" s="184" t="s">
        <v>724</v>
      </c>
      <c r="O1" s="184" t="s">
        <v>725</v>
      </c>
      <c r="P1" s="321" t="s">
        <v>1324</v>
      </c>
      <c r="Q1" s="149"/>
      <c r="R1" s="149"/>
      <c r="S1" s="149"/>
      <c r="T1" s="149"/>
      <c r="U1" s="149"/>
      <c r="V1" s="149"/>
      <c r="W1" s="149"/>
      <c r="X1" s="149"/>
      <c r="Y1" s="149"/>
      <c r="Z1" s="149"/>
      <c r="AA1" s="149"/>
    </row>
    <row r="2" ht="15.75" customHeight="1">
      <c r="B2" s="156">
        <v>1.0</v>
      </c>
      <c r="C2" s="141" t="s">
        <v>1325</v>
      </c>
      <c r="D2" s="156" t="s">
        <v>1326</v>
      </c>
      <c r="E2" s="151" t="s">
        <v>728</v>
      </c>
      <c r="F2" s="138"/>
      <c r="G2" s="138"/>
      <c r="H2" s="138"/>
      <c r="I2" s="138"/>
      <c r="J2" s="138"/>
      <c r="K2" s="138"/>
      <c r="L2" s="138"/>
      <c r="M2" s="138"/>
      <c r="N2" s="138"/>
      <c r="O2" s="138"/>
    </row>
    <row r="3" ht="15.75" customHeight="1">
      <c r="B3" s="156">
        <v>2.0</v>
      </c>
      <c r="C3" s="141" t="s">
        <v>1327</v>
      </c>
      <c r="D3" s="156" t="s">
        <v>912</v>
      </c>
      <c r="E3" s="151" t="s">
        <v>728</v>
      </c>
      <c r="G3" s="138"/>
      <c r="H3" s="138"/>
      <c r="I3" s="138"/>
      <c r="J3" s="141" t="s">
        <v>1328</v>
      </c>
      <c r="K3" s="138"/>
      <c r="L3" s="138"/>
      <c r="M3" s="138"/>
      <c r="N3" s="138"/>
      <c r="O3" s="138"/>
    </row>
    <row r="4" ht="69.75" customHeight="1">
      <c r="B4" s="156">
        <v>3.0</v>
      </c>
      <c r="C4" s="141" t="s">
        <v>1329</v>
      </c>
      <c r="D4" s="156" t="s">
        <v>912</v>
      </c>
      <c r="E4" s="151" t="s">
        <v>728</v>
      </c>
      <c r="F4" s="138"/>
      <c r="G4" s="138"/>
      <c r="H4" s="141"/>
      <c r="I4" s="138"/>
      <c r="J4" s="141" t="s">
        <v>1330</v>
      </c>
      <c r="K4" s="138"/>
      <c r="L4" s="138"/>
      <c r="M4" s="138"/>
      <c r="N4" s="138"/>
      <c r="O4" s="138"/>
    </row>
    <row r="5" ht="15.75" customHeight="1">
      <c r="B5" s="156"/>
      <c r="C5" s="141" t="s">
        <v>1331</v>
      </c>
      <c r="D5" s="156" t="s">
        <v>646</v>
      </c>
      <c r="E5" s="156" t="s">
        <v>728</v>
      </c>
      <c r="F5" s="141" t="s">
        <v>1332</v>
      </c>
      <c r="G5" s="138"/>
      <c r="H5" s="141"/>
      <c r="I5" s="138"/>
      <c r="J5" s="138"/>
      <c r="K5" s="138"/>
      <c r="L5" s="138"/>
      <c r="M5" s="138"/>
      <c r="N5" s="138"/>
      <c r="O5" s="138"/>
    </row>
    <row r="6" ht="15.75" customHeight="1">
      <c r="B6" s="156">
        <v>4.0</v>
      </c>
      <c r="C6" s="138" t="s">
        <v>1333</v>
      </c>
      <c r="D6" s="156" t="s">
        <v>646</v>
      </c>
      <c r="E6" s="151" t="s">
        <v>728</v>
      </c>
      <c r="F6" s="138"/>
      <c r="G6" s="138"/>
      <c r="H6" s="141"/>
      <c r="I6" s="138"/>
      <c r="J6" s="138"/>
      <c r="K6" s="138"/>
      <c r="L6" s="138"/>
      <c r="M6" s="138"/>
      <c r="N6" s="138"/>
      <c r="O6" s="138"/>
    </row>
    <row r="7" ht="15.75" customHeight="1">
      <c r="B7" s="156">
        <v>5.0</v>
      </c>
      <c r="C7" s="138" t="s">
        <v>1334</v>
      </c>
      <c r="D7" s="151" t="s">
        <v>646</v>
      </c>
      <c r="E7" s="151" t="s">
        <v>728</v>
      </c>
      <c r="F7" s="138"/>
      <c r="G7" s="138"/>
      <c r="H7" s="138"/>
      <c r="I7" s="138"/>
      <c r="J7" s="138"/>
      <c r="K7" s="138"/>
      <c r="L7" s="138"/>
      <c r="M7" s="138"/>
      <c r="N7" s="138"/>
      <c r="O7" s="138"/>
    </row>
    <row r="8" ht="15.75" customHeight="1">
      <c r="B8" s="156">
        <v>6.0</v>
      </c>
      <c r="C8" s="136" t="s">
        <v>1335</v>
      </c>
      <c r="D8" s="44" t="s">
        <v>655</v>
      </c>
      <c r="E8" s="322" t="s">
        <v>647</v>
      </c>
      <c r="F8" s="44"/>
      <c r="G8" s="44"/>
      <c r="H8" s="44"/>
      <c r="I8" s="44"/>
      <c r="J8" s="44" t="s">
        <v>1336</v>
      </c>
      <c r="K8" s="44"/>
      <c r="L8" s="18"/>
      <c r="M8" s="18"/>
      <c r="N8" s="18"/>
      <c r="O8" s="18"/>
      <c r="P8" s="18"/>
      <c r="Q8" s="18"/>
      <c r="R8" s="18"/>
      <c r="S8" s="18"/>
      <c r="T8" s="18"/>
      <c r="U8" s="18"/>
      <c r="V8" s="18"/>
      <c r="W8" s="18"/>
      <c r="X8" s="18"/>
      <c r="Y8" s="18"/>
      <c r="Z8" s="18"/>
      <c r="AA8" s="18"/>
    </row>
    <row r="9" ht="15.75" customHeight="1">
      <c r="B9" s="156">
        <v>7.0</v>
      </c>
      <c r="C9" s="136" t="s">
        <v>1337</v>
      </c>
      <c r="D9" s="44" t="s">
        <v>1338</v>
      </c>
      <c r="E9" s="44"/>
      <c r="F9" s="238" t="s">
        <v>1339</v>
      </c>
      <c r="G9" s="44"/>
      <c r="H9" s="44"/>
      <c r="I9" s="44"/>
      <c r="J9" s="44"/>
      <c r="K9" s="44"/>
      <c r="L9" s="18"/>
      <c r="M9" s="18"/>
      <c r="N9" s="18"/>
      <c r="O9" s="18"/>
      <c r="P9" s="18"/>
      <c r="Q9" s="18"/>
      <c r="R9" s="18"/>
      <c r="S9" s="18"/>
      <c r="T9" s="18"/>
      <c r="U9" s="18"/>
      <c r="V9" s="18"/>
      <c r="W9" s="18"/>
      <c r="X9" s="18"/>
      <c r="Y9" s="18"/>
      <c r="Z9" s="18"/>
      <c r="AA9" s="18"/>
    </row>
    <row r="10" ht="15.75" customHeight="1">
      <c r="B10" s="156">
        <v>8.0</v>
      </c>
      <c r="C10" s="136" t="s">
        <v>1340</v>
      </c>
      <c r="D10" s="44" t="s">
        <v>649</v>
      </c>
      <c r="E10" s="322" t="s">
        <v>647</v>
      </c>
      <c r="F10" s="238" t="s">
        <v>1341</v>
      </c>
      <c r="G10" s="44"/>
      <c r="H10" s="44"/>
      <c r="I10" s="44"/>
      <c r="J10" s="44"/>
      <c r="K10" s="200" t="s">
        <v>1342</v>
      </c>
      <c r="L10" s="18"/>
      <c r="M10" s="18"/>
      <c r="N10" s="18"/>
      <c r="O10" s="18"/>
      <c r="P10" s="18"/>
      <c r="Q10" s="18"/>
      <c r="R10" s="18"/>
      <c r="S10" s="18"/>
      <c r="T10" s="18"/>
      <c r="U10" s="18"/>
      <c r="V10" s="18"/>
      <c r="W10" s="18"/>
      <c r="X10" s="18"/>
      <c r="Y10" s="18"/>
      <c r="Z10" s="18"/>
      <c r="AA10" s="18"/>
    </row>
    <row r="11" ht="15.75" customHeight="1">
      <c r="B11" s="156">
        <v>9.0</v>
      </c>
      <c r="C11" s="136" t="s">
        <v>1343</v>
      </c>
      <c r="D11" s="323" t="s">
        <v>1344</v>
      </c>
      <c r="E11" s="322" t="s">
        <v>647</v>
      </c>
      <c r="F11" s="44"/>
      <c r="G11" s="44"/>
      <c r="H11" s="44"/>
      <c r="I11" s="44"/>
      <c r="J11" s="200" t="s">
        <v>1345</v>
      </c>
      <c r="K11" s="44"/>
      <c r="L11" s="18"/>
      <c r="M11" s="18"/>
      <c r="N11" s="18"/>
      <c r="O11" s="18"/>
      <c r="P11" s="18"/>
      <c r="Q11" s="18"/>
      <c r="R11" s="18"/>
      <c r="S11" s="18"/>
      <c r="T11" s="18"/>
      <c r="U11" s="18"/>
      <c r="V11" s="18"/>
      <c r="W11" s="18"/>
      <c r="X11" s="18"/>
      <c r="Y11" s="18"/>
      <c r="Z11" s="18"/>
      <c r="AA11" s="18"/>
    </row>
    <row r="12" ht="15.75" customHeight="1">
      <c r="C12" s="42" t="s">
        <v>1346</v>
      </c>
      <c r="D12" s="42" t="s">
        <v>646</v>
      </c>
      <c r="E12" s="42" t="s">
        <v>647</v>
      </c>
      <c r="F12" s="42" t="s">
        <v>1347</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dataValidations>
    <dataValidation type="list" allowBlank="1" showErrorMessage="1" sqref="D2:D7">
      <formula1>"Text,Numeric,Image,Single Select,Multi select,Date,Subject"</formula1>
    </dataValidation>
    <dataValidation type="list" allowBlank="1" showErrorMessage="1" sqref="E2:E7">
      <formula1>"yes,no"</formula1>
    </dataValidation>
  </dataValidations>
  <printOptions/>
  <pageMargins bottom="0.75" footer="0.0" header="0.0" left="0.7" right="0.7" top="0.75"/>
  <pageSetup orientation="landscape"/>
  <drawing r:id="rId4"/>
  <legacy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3" max="3" width="56.25"/>
    <col customWidth="1" min="6" max="6" width="31.25"/>
  </cols>
  <sheetData>
    <row r="1" ht="15.75" customHeight="1">
      <c r="A1" s="147" t="s">
        <v>631</v>
      </c>
      <c r="B1" s="147" t="s">
        <v>632</v>
      </c>
      <c r="C1" s="147" t="s">
        <v>633</v>
      </c>
      <c r="D1" s="147" t="s">
        <v>634</v>
      </c>
      <c r="E1" s="147" t="s">
        <v>824</v>
      </c>
      <c r="F1" s="147" t="s">
        <v>637</v>
      </c>
      <c r="G1" s="147" t="s">
        <v>638</v>
      </c>
      <c r="H1" s="147" t="s">
        <v>639</v>
      </c>
      <c r="I1" s="147" t="s">
        <v>640</v>
      </c>
      <c r="J1" s="147" t="s">
        <v>641</v>
      </c>
      <c r="K1" s="147" t="s">
        <v>642</v>
      </c>
      <c r="L1" s="147" t="s">
        <v>722</v>
      </c>
      <c r="M1" s="184" t="s">
        <v>723</v>
      </c>
      <c r="N1" s="184" t="s">
        <v>724</v>
      </c>
      <c r="O1" s="184" t="s">
        <v>725</v>
      </c>
      <c r="P1" s="321" t="s">
        <v>1324</v>
      </c>
      <c r="Q1" s="149"/>
      <c r="R1" s="149"/>
      <c r="S1" s="149"/>
      <c r="T1" s="149"/>
      <c r="U1" s="149"/>
      <c r="V1" s="149"/>
      <c r="W1" s="149"/>
      <c r="X1" s="149"/>
      <c r="Y1" s="149"/>
      <c r="Z1" s="149"/>
      <c r="AA1" s="149"/>
    </row>
    <row r="2" ht="15.75" customHeight="1">
      <c r="B2" s="310"/>
      <c r="C2" s="136" t="s">
        <v>1348</v>
      </c>
      <c r="D2" s="44" t="s">
        <v>655</v>
      </c>
      <c r="E2" s="324" t="b">
        <v>1</v>
      </c>
      <c r="F2" s="44"/>
      <c r="G2" s="44"/>
      <c r="H2" s="44"/>
      <c r="I2" s="44"/>
      <c r="J2" s="44" t="s">
        <v>1349</v>
      </c>
      <c r="K2" s="44"/>
      <c r="L2" s="18"/>
      <c r="M2" s="18"/>
      <c r="N2" s="18"/>
      <c r="O2" s="18"/>
      <c r="P2" s="18"/>
      <c r="Q2" s="18"/>
      <c r="R2" s="18"/>
      <c r="S2" s="18"/>
      <c r="T2" s="18"/>
      <c r="U2" s="18"/>
      <c r="V2" s="18"/>
      <c r="W2" s="18"/>
      <c r="X2" s="18"/>
      <c r="Y2" s="18"/>
      <c r="Z2" s="18"/>
      <c r="AA2" s="18"/>
    </row>
    <row r="3" ht="15.75" customHeight="1">
      <c r="B3" s="151"/>
      <c r="C3" s="141" t="s">
        <v>1350</v>
      </c>
      <c r="D3" s="156" t="s">
        <v>649</v>
      </c>
      <c r="E3" s="151" t="s">
        <v>728</v>
      </c>
      <c r="F3" s="138"/>
      <c r="G3" s="204" t="s">
        <v>1351</v>
      </c>
      <c r="H3" s="138"/>
      <c r="I3" s="138"/>
      <c r="J3" s="138"/>
      <c r="K3" s="138"/>
      <c r="L3" s="138"/>
      <c r="M3" s="138"/>
      <c r="N3" s="138"/>
      <c r="O3" s="138"/>
    </row>
    <row r="4" ht="15.75" customHeight="1">
      <c r="B4" s="310"/>
      <c r="C4" s="137" t="s">
        <v>1352</v>
      </c>
      <c r="D4" s="200"/>
      <c r="E4" s="324"/>
      <c r="F4" s="141"/>
      <c r="G4" s="137" t="s">
        <v>1353</v>
      </c>
      <c r="H4" s="44"/>
      <c r="I4" s="44"/>
      <c r="J4" s="200"/>
      <c r="K4" s="44"/>
      <c r="L4" s="18"/>
      <c r="M4" s="18"/>
      <c r="N4" s="18"/>
      <c r="O4" s="18"/>
      <c r="P4" s="18"/>
      <c r="Q4" s="18"/>
      <c r="R4" s="18"/>
      <c r="S4" s="18"/>
      <c r="T4" s="18"/>
      <c r="U4" s="18"/>
      <c r="V4" s="18"/>
      <c r="W4" s="18"/>
      <c r="X4" s="18"/>
      <c r="Y4" s="18"/>
      <c r="Z4" s="18"/>
      <c r="AA4" s="18"/>
    </row>
    <row r="5" ht="15.75" customHeight="1">
      <c r="B5" s="310"/>
      <c r="C5" s="136" t="s">
        <v>1343</v>
      </c>
      <c r="D5" s="323" t="s">
        <v>1344</v>
      </c>
      <c r="E5" s="324" t="b">
        <v>1</v>
      </c>
      <c r="F5" s="141"/>
      <c r="G5" s="204" t="s">
        <v>1351</v>
      </c>
      <c r="H5" s="44"/>
      <c r="I5" s="44"/>
      <c r="J5" s="200" t="s">
        <v>1345</v>
      </c>
      <c r="K5" s="44"/>
      <c r="L5" s="18"/>
      <c r="M5" s="18"/>
      <c r="N5" s="18"/>
      <c r="O5" s="18"/>
      <c r="P5" s="18"/>
      <c r="Q5" s="18"/>
      <c r="R5" s="18"/>
      <c r="S5" s="18"/>
      <c r="T5" s="18"/>
      <c r="U5" s="18"/>
      <c r="V5" s="18"/>
      <c r="W5" s="18"/>
      <c r="X5" s="18"/>
      <c r="Y5" s="18"/>
      <c r="Z5" s="18"/>
      <c r="AA5" s="18"/>
    </row>
    <row r="6">
      <c r="C6" s="42" t="s">
        <v>1354</v>
      </c>
      <c r="F6" s="42" t="s">
        <v>1355</v>
      </c>
    </row>
    <row r="7" ht="15.75" customHeight="1">
      <c r="B7" s="138"/>
      <c r="C7" s="141" t="s">
        <v>1356</v>
      </c>
      <c r="D7" s="141" t="s">
        <v>646</v>
      </c>
      <c r="E7" s="156" t="s">
        <v>728</v>
      </c>
      <c r="G7" s="204" t="s">
        <v>1351</v>
      </c>
      <c r="H7" s="138"/>
      <c r="I7" s="138"/>
      <c r="J7" s="141"/>
      <c r="K7" s="138"/>
    </row>
    <row r="8" ht="15.75" customHeight="1">
      <c r="B8" s="138"/>
      <c r="C8" s="141" t="s">
        <v>1357</v>
      </c>
      <c r="D8" s="44" t="s">
        <v>655</v>
      </c>
      <c r="E8" s="151" t="s">
        <v>728</v>
      </c>
      <c r="G8" s="138"/>
      <c r="H8" s="138"/>
      <c r="I8" s="138"/>
      <c r="J8" s="141" t="s">
        <v>1358</v>
      </c>
      <c r="K8" s="138"/>
      <c r="L8" s="138"/>
      <c r="M8" s="138"/>
      <c r="N8" s="138"/>
      <c r="O8" s="138"/>
    </row>
    <row r="9" ht="15.75" customHeight="1">
      <c r="B9" s="310"/>
      <c r="C9" s="137" t="s">
        <v>1359</v>
      </c>
      <c r="D9" s="141" t="s">
        <v>646</v>
      </c>
      <c r="E9" s="156" t="s">
        <v>728</v>
      </c>
      <c r="F9" s="137" t="s">
        <v>1360</v>
      </c>
      <c r="H9" s="44"/>
      <c r="I9" s="44"/>
      <c r="J9" s="44"/>
      <c r="K9" s="44"/>
      <c r="L9" s="18"/>
      <c r="M9" s="18"/>
      <c r="N9" s="18"/>
      <c r="O9" s="18"/>
      <c r="P9" s="18"/>
      <c r="Q9" s="18"/>
      <c r="R9" s="18"/>
      <c r="S9" s="18"/>
      <c r="T9" s="18"/>
      <c r="U9" s="18"/>
      <c r="V9" s="18"/>
      <c r="W9" s="18"/>
      <c r="X9" s="18"/>
      <c r="Y9" s="18"/>
      <c r="Z9" s="18"/>
      <c r="AA9" s="18"/>
    </row>
    <row r="10" ht="15.75" customHeight="1">
      <c r="B10" s="310"/>
      <c r="C10" s="137" t="s">
        <v>1361</v>
      </c>
      <c r="D10" s="44"/>
      <c r="E10" s="324"/>
      <c r="F10" s="137" t="s">
        <v>1362</v>
      </c>
      <c r="G10" s="18"/>
      <c r="H10" s="44"/>
      <c r="I10" s="44"/>
      <c r="J10" s="44"/>
      <c r="K10" s="44"/>
      <c r="L10" s="18"/>
      <c r="M10" s="18"/>
      <c r="N10" s="18"/>
      <c r="O10" s="18"/>
      <c r="P10" s="18"/>
      <c r="Q10" s="18"/>
      <c r="R10" s="18"/>
      <c r="S10" s="18"/>
      <c r="T10" s="18"/>
      <c r="U10" s="18"/>
      <c r="V10" s="18"/>
      <c r="W10" s="18"/>
      <c r="X10" s="18"/>
      <c r="Y10" s="18"/>
      <c r="Z10" s="18"/>
      <c r="AA10" s="18"/>
    </row>
    <row r="11" ht="15.75" customHeight="1">
      <c r="B11" s="310"/>
      <c r="C11" s="136" t="s">
        <v>1335</v>
      </c>
      <c r="D11" s="44" t="s">
        <v>655</v>
      </c>
      <c r="E11" s="324" t="b">
        <v>1</v>
      </c>
      <c r="F11" s="141" t="s">
        <v>1363</v>
      </c>
      <c r="G11" s="44"/>
      <c r="H11" s="44"/>
      <c r="I11" s="44"/>
      <c r="J11" s="44" t="s">
        <v>1336</v>
      </c>
      <c r="K11" s="44"/>
      <c r="L11" s="18"/>
      <c r="M11" s="18"/>
      <c r="N11" s="18"/>
      <c r="O11" s="18"/>
      <c r="P11" s="18"/>
      <c r="Q11" s="18"/>
      <c r="R11" s="18"/>
      <c r="S11" s="18"/>
      <c r="T11" s="18"/>
      <c r="U11" s="18"/>
      <c r="V11" s="18"/>
      <c r="W11" s="18"/>
      <c r="X11" s="18"/>
      <c r="Y11" s="18"/>
      <c r="Z11" s="18"/>
      <c r="AA11" s="18"/>
    </row>
    <row r="12" ht="15.75" customHeight="1">
      <c r="A12" s="18"/>
      <c r="B12" s="187"/>
      <c r="C12" s="192" t="s">
        <v>1364</v>
      </c>
      <c r="D12" s="192" t="s">
        <v>912</v>
      </c>
      <c r="E12" s="187" t="s">
        <v>728</v>
      </c>
      <c r="F12" s="192" t="s">
        <v>1365</v>
      </c>
      <c r="G12" s="44"/>
      <c r="H12" s="44"/>
      <c r="I12" s="44"/>
      <c r="J12" s="192" t="s">
        <v>673</v>
      </c>
      <c r="K12" s="44"/>
      <c r="L12" s="44"/>
      <c r="M12" s="44"/>
      <c r="N12" s="44"/>
      <c r="O12" s="44"/>
      <c r="P12" s="18"/>
      <c r="Q12" s="18"/>
      <c r="R12" s="18"/>
      <c r="S12" s="18"/>
      <c r="T12" s="18"/>
      <c r="U12" s="18"/>
      <c r="V12" s="18"/>
      <c r="W12" s="18"/>
      <c r="X12" s="18"/>
      <c r="Y12" s="18"/>
      <c r="Z12" s="18"/>
      <c r="AA12" s="18"/>
    </row>
    <row r="13" ht="25.5" customHeight="1">
      <c r="A13" s="18"/>
      <c r="B13" s="44"/>
      <c r="C13" s="192" t="s">
        <v>1366</v>
      </c>
      <c r="D13" s="192" t="s">
        <v>1367</v>
      </c>
      <c r="E13" s="192" t="s">
        <v>728</v>
      </c>
      <c r="F13" s="44" t="s">
        <v>1368</v>
      </c>
      <c r="G13" s="44"/>
      <c r="H13" s="44"/>
      <c r="I13" s="44"/>
      <c r="J13" s="192"/>
      <c r="K13" s="44"/>
      <c r="L13" s="44"/>
      <c r="M13" s="44"/>
      <c r="N13" s="44"/>
      <c r="O13" s="44"/>
      <c r="P13" s="18"/>
      <c r="Q13" s="18"/>
      <c r="R13" s="18"/>
      <c r="S13" s="18"/>
      <c r="T13" s="18"/>
      <c r="U13" s="18"/>
      <c r="V13" s="18"/>
      <c r="W13" s="18"/>
      <c r="X13" s="18"/>
      <c r="Y13" s="18"/>
      <c r="Z13" s="18"/>
      <c r="AA13" s="18"/>
    </row>
    <row r="14">
      <c r="B14" s="138"/>
      <c r="C14" s="141" t="s">
        <v>1340</v>
      </c>
      <c r="D14" s="141" t="s">
        <v>649</v>
      </c>
      <c r="E14" s="141" t="s">
        <v>647</v>
      </c>
      <c r="F14" s="40" t="s">
        <v>1369</v>
      </c>
      <c r="G14" s="138"/>
      <c r="H14" s="138"/>
      <c r="I14" s="138"/>
      <c r="J14" s="138"/>
      <c r="K14" s="200" t="s">
        <v>1342</v>
      </c>
    </row>
  </sheetData>
  <dataValidations>
    <dataValidation type="list" allowBlank="1" showErrorMessage="1" sqref="D3">
      <formula1>"Text,Numeric,Image,Single Select,Multi select,Date,Subject"</formula1>
    </dataValidation>
    <dataValidation type="list" allowBlank="1" showErrorMessage="1" sqref="E3 E7:E9 E12:E13">
      <formula1>"yes,no"</formula1>
    </dataValidation>
    <dataValidation type="list" allowBlank="1" showErrorMessage="1" sqref="D12:D13">
      <formula1>"Text,Numeric,Image,Single Select,Multi select,File,Date,time,Autocapture"</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9" max="9" width="48.0"/>
  </cols>
  <sheetData>
    <row r="1">
      <c r="E1" s="5" t="s">
        <v>1370</v>
      </c>
      <c r="F1" s="5" t="s">
        <v>906</v>
      </c>
      <c r="G1" s="5" t="s">
        <v>634</v>
      </c>
      <c r="H1" s="5" t="s">
        <v>907</v>
      </c>
      <c r="I1" s="5" t="s">
        <v>641</v>
      </c>
      <c r="J1" s="5" t="s">
        <v>637</v>
      </c>
      <c r="K1" s="5" t="s">
        <v>638</v>
      </c>
      <c r="L1" s="5" t="s">
        <v>639</v>
      </c>
      <c r="M1" s="5" t="s">
        <v>908</v>
      </c>
      <c r="N1" s="5" t="s">
        <v>909</v>
      </c>
      <c r="O1" s="5" t="s">
        <v>643</v>
      </c>
      <c r="P1" s="5" t="s">
        <v>642</v>
      </c>
      <c r="Q1" s="5" t="s">
        <v>640</v>
      </c>
      <c r="R1" s="5" t="s">
        <v>910</v>
      </c>
      <c r="S1" s="18"/>
      <c r="T1" s="18"/>
      <c r="U1" s="18"/>
      <c r="V1" s="18"/>
      <c r="W1" s="18"/>
      <c r="X1" s="18"/>
      <c r="Y1" s="18"/>
      <c r="Z1" s="18"/>
      <c r="AA1" s="18"/>
      <c r="AB1" s="18"/>
      <c r="AC1" s="18"/>
      <c r="AD1" s="18"/>
    </row>
    <row r="2">
      <c r="E2" s="18"/>
      <c r="F2" s="18"/>
      <c r="G2" s="18"/>
      <c r="H2" s="18"/>
      <c r="I2" s="18"/>
      <c r="J2" s="18"/>
      <c r="K2" s="18"/>
      <c r="L2" s="18"/>
      <c r="M2" s="18"/>
      <c r="N2" s="18"/>
      <c r="O2" s="18"/>
      <c r="P2" s="18"/>
      <c r="Q2" s="18"/>
      <c r="R2" s="18"/>
      <c r="S2" s="18"/>
      <c r="T2" s="18"/>
      <c r="U2" s="18"/>
      <c r="V2" s="18"/>
      <c r="W2" s="18"/>
      <c r="X2" s="18"/>
      <c r="Y2" s="18"/>
      <c r="Z2" s="18"/>
      <c r="AA2" s="18"/>
      <c r="AB2" s="18"/>
      <c r="AC2" s="18"/>
      <c r="AD2" s="18"/>
    </row>
    <row r="3">
      <c r="E3" s="18"/>
      <c r="F3" s="18"/>
      <c r="G3" s="18"/>
      <c r="H3" s="18"/>
      <c r="I3" s="18"/>
      <c r="J3" s="18"/>
      <c r="K3" s="18"/>
      <c r="L3" s="18"/>
      <c r="M3" s="18"/>
      <c r="N3" s="18"/>
      <c r="O3" s="18"/>
      <c r="P3" s="18"/>
      <c r="Q3" s="18"/>
      <c r="R3" s="18"/>
      <c r="S3" s="18"/>
      <c r="T3" s="18"/>
      <c r="U3" s="18"/>
      <c r="V3" s="18"/>
      <c r="W3" s="18"/>
      <c r="X3" s="18"/>
      <c r="Y3" s="18"/>
      <c r="Z3" s="18"/>
      <c r="AA3" s="18"/>
      <c r="AB3" s="18"/>
      <c r="AC3" s="18"/>
      <c r="AD3" s="18"/>
    </row>
    <row r="4">
      <c r="F4" s="218" t="s">
        <v>911</v>
      </c>
      <c r="G4" s="218" t="s">
        <v>912</v>
      </c>
      <c r="H4" s="218" t="s">
        <v>728</v>
      </c>
      <c r="I4" s="219" t="s">
        <v>1217</v>
      </c>
      <c r="J4" s="218"/>
      <c r="K4" s="218"/>
      <c r="L4" s="218"/>
      <c r="M4" s="218"/>
      <c r="N4" s="218"/>
      <c r="O4" s="218"/>
      <c r="P4" s="218"/>
      <c r="Q4" s="218"/>
      <c r="R4" s="218"/>
      <c r="S4" s="218"/>
      <c r="T4" s="218"/>
      <c r="U4" s="218"/>
      <c r="V4" s="218"/>
      <c r="W4" s="218"/>
      <c r="X4" s="218"/>
      <c r="Y4" s="218"/>
      <c r="Z4" s="218"/>
      <c r="AA4" s="218"/>
      <c r="AB4" s="218"/>
      <c r="AC4" s="218"/>
      <c r="AD4" s="218"/>
    </row>
    <row r="5">
      <c r="F5" s="42" t="s">
        <v>914</v>
      </c>
      <c r="G5" s="42" t="s">
        <v>646</v>
      </c>
      <c r="H5" s="42" t="s">
        <v>728</v>
      </c>
      <c r="J5" s="42" t="s">
        <v>1001</v>
      </c>
    </row>
    <row r="6">
      <c r="F6" s="141" t="s">
        <v>1340</v>
      </c>
      <c r="G6" s="141" t="s">
        <v>649</v>
      </c>
      <c r="H6" s="141" t="s">
        <v>647</v>
      </c>
      <c r="I6" s="40"/>
      <c r="J6" s="138"/>
      <c r="K6" s="138"/>
      <c r="L6" s="138"/>
      <c r="M6" s="138"/>
      <c r="P6" s="200" t="s">
        <v>1342</v>
      </c>
    </row>
  </sheetData>
  <mergeCells count="1">
    <mergeCell ref="E3:E4"/>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sheetData>
    <row r="1" ht="15.75" customHeight="1">
      <c r="A1" s="147" t="s">
        <v>631</v>
      </c>
      <c r="B1" s="147" t="s">
        <v>632</v>
      </c>
      <c r="C1" s="147" t="s">
        <v>633</v>
      </c>
      <c r="D1" s="147" t="s">
        <v>634</v>
      </c>
      <c r="E1" s="147" t="s">
        <v>824</v>
      </c>
      <c r="F1" s="147" t="s">
        <v>637</v>
      </c>
      <c r="G1" s="147" t="s">
        <v>638</v>
      </c>
      <c r="H1" s="147" t="s">
        <v>639</v>
      </c>
      <c r="I1" s="147" t="s">
        <v>640</v>
      </c>
      <c r="J1" s="147" t="s">
        <v>641</v>
      </c>
      <c r="K1" s="147" t="s">
        <v>642</v>
      </c>
      <c r="L1" s="147" t="s">
        <v>722</v>
      </c>
      <c r="M1" s="184" t="s">
        <v>723</v>
      </c>
      <c r="N1" s="184" t="s">
        <v>724</v>
      </c>
      <c r="O1" s="184" t="s">
        <v>725</v>
      </c>
      <c r="P1" s="321" t="s">
        <v>1324</v>
      </c>
      <c r="Q1" s="149"/>
      <c r="R1" s="149"/>
      <c r="S1" s="149"/>
      <c r="T1" s="149"/>
      <c r="U1" s="149"/>
      <c r="V1" s="149"/>
      <c r="W1" s="149"/>
      <c r="X1" s="149"/>
      <c r="Y1" s="149"/>
      <c r="Z1" s="149"/>
      <c r="AA1" s="149"/>
    </row>
    <row r="2">
      <c r="C2" s="42" t="s">
        <v>1371</v>
      </c>
      <c r="D2" s="42" t="s">
        <v>912</v>
      </c>
      <c r="E2" s="42" t="s">
        <v>647</v>
      </c>
      <c r="J2" s="42" t="s">
        <v>1372</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2.63"/>
    <col customWidth="1" min="3" max="3" width="32.63"/>
    <col customWidth="1" min="4" max="6" width="12.63"/>
    <col customWidth="1" min="10" max="10" width="28.0"/>
  </cols>
  <sheetData>
    <row r="1" ht="15.75" customHeight="1">
      <c r="A1" s="147" t="s">
        <v>631</v>
      </c>
      <c r="B1" s="147" t="s">
        <v>632</v>
      </c>
      <c r="C1" s="147" t="s">
        <v>633</v>
      </c>
      <c r="D1" s="147" t="s">
        <v>634</v>
      </c>
      <c r="E1" s="147" t="s">
        <v>824</v>
      </c>
      <c r="F1" s="147" t="s">
        <v>637</v>
      </c>
      <c r="G1" s="147" t="s">
        <v>638</v>
      </c>
      <c r="H1" s="147" t="s">
        <v>639</v>
      </c>
      <c r="I1" s="147" t="s">
        <v>640</v>
      </c>
      <c r="J1" s="147" t="s">
        <v>641</v>
      </c>
      <c r="K1" s="147" t="s">
        <v>642</v>
      </c>
      <c r="L1" s="147" t="s">
        <v>722</v>
      </c>
      <c r="M1" s="184" t="s">
        <v>723</v>
      </c>
      <c r="N1" s="325" t="s">
        <v>724</v>
      </c>
      <c r="O1" s="325" t="s">
        <v>725</v>
      </c>
      <c r="P1" s="149"/>
      <c r="Q1" s="149"/>
      <c r="R1" s="149"/>
      <c r="S1" s="149"/>
      <c r="T1" s="149"/>
      <c r="U1" s="149"/>
      <c r="V1" s="149"/>
      <c r="W1" s="149"/>
      <c r="X1" s="149"/>
      <c r="Y1" s="149"/>
      <c r="Z1" s="149"/>
      <c r="AA1" s="149"/>
    </row>
    <row r="2">
      <c r="A2" s="326"/>
      <c r="B2" s="166"/>
      <c r="C2" s="178" t="s">
        <v>1373</v>
      </c>
      <c r="D2" s="171" t="s">
        <v>1326</v>
      </c>
      <c r="E2" s="171" t="s">
        <v>728</v>
      </c>
      <c r="F2" s="166"/>
      <c r="G2" s="166"/>
      <c r="H2" s="166"/>
      <c r="I2" s="166"/>
      <c r="J2" s="171"/>
      <c r="K2" s="171" t="s">
        <v>1374</v>
      </c>
      <c r="L2" s="166"/>
      <c r="M2" s="166"/>
      <c r="N2" s="205"/>
      <c r="O2" s="205"/>
      <c r="P2" s="170"/>
      <c r="Q2" s="170"/>
      <c r="R2" s="170"/>
      <c r="S2" s="170"/>
      <c r="T2" s="170"/>
      <c r="U2" s="170"/>
      <c r="V2" s="170"/>
      <c r="W2" s="170"/>
      <c r="X2" s="170"/>
      <c r="Y2" s="170"/>
      <c r="Z2" s="170"/>
      <c r="AA2" s="170"/>
    </row>
    <row r="3">
      <c r="A3" s="326"/>
      <c r="B3" s="166"/>
      <c r="C3" s="178" t="s">
        <v>1375</v>
      </c>
      <c r="D3" s="171" t="s">
        <v>649</v>
      </c>
      <c r="E3" s="171" t="s">
        <v>728</v>
      </c>
      <c r="F3" s="166"/>
      <c r="G3" s="166"/>
      <c r="H3" s="166"/>
      <c r="I3" s="166"/>
      <c r="J3" s="171"/>
      <c r="K3" s="166"/>
      <c r="L3" s="166"/>
      <c r="M3" s="166"/>
      <c r="N3" s="205"/>
      <c r="O3" s="205"/>
      <c r="P3" s="170"/>
      <c r="Q3" s="170"/>
      <c r="R3" s="170"/>
      <c r="S3" s="170"/>
      <c r="T3" s="170"/>
      <c r="U3" s="170"/>
      <c r="V3" s="170"/>
      <c r="W3" s="170"/>
      <c r="X3" s="170"/>
      <c r="Y3" s="170"/>
      <c r="Z3" s="170"/>
      <c r="AA3" s="170"/>
    </row>
    <row r="4">
      <c r="A4" s="326"/>
      <c r="B4" s="166"/>
      <c r="C4" s="178" t="s">
        <v>654</v>
      </c>
      <c r="D4" s="171" t="s">
        <v>912</v>
      </c>
      <c r="E4" s="171" t="s">
        <v>728</v>
      </c>
      <c r="F4" s="166"/>
      <c r="G4" s="166"/>
      <c r="H4" s="166"/>
      <c r="I4" s="166"/>
      <c r="J4" s="171"/>
      <c r="K4" s="166"/>
      <c r="L4" s="166"/>
      <c r="M4" s="166"/>
      <c r="N4" s="205"/>
      <c r="O4" s="205"/>
      <c r="P4" s="170"/>
      <c r="Q4" s="170"/>
      <c r="R4" s="170"/>
      <c r="S4" s="170"/>
      <c r="T4" s="170"/>
      <c r="U4" s="170"/>
      <c r="V4" s="170"/>
      <c r="W4" s="170"/>
      <c r="X4" s="170"/>
      <c r="Y4" s="170"/>
      <c r="Z4" s="170"/>
      <c r="AA4" s="170"/>
    </row>
    <row r="5">
      <c r="A5" s="326"/>
      <c r="B5" s="166"/>
      <c r="C5" s="178" t="s">
        <v>648</v>
      </c>
      <c r="D5" s="171" t="s">
        <v>649</v>
      </c>
      <c r="E5" s="171" t="s">
        <v>728</v>
      </c>
      <c r="F5" s="166"/>
      <c r="G5" s="166"/>
      <c r="H5" s="166"/>
      <c r="I5" s="166"/>
      <c r="J5" s="171"/>
      <c r="K5" s="166"/>
      <c r="L5" s="166"/>
      <c r="M5" s="166"/>
      <c r="N5" s="205"/>
      <c r="O5" s="205"/>
      <c r="P5" s="170"/>
      <c r="Q5" s="170"/>
      <c r="R5" s="170"/>
      <c r="S5" s="170"/>
      <c r="T5" s="170"/>
      <c r="U5" s="170"/>
      <c r="V5" s="170"/>
      <c r="W5" s="170"/>
      <c r="X5" s="170"/>
      <c r="Y5" s="170"/>
      <c r="Z5" s="170"/>
      <c r="AA5" s="170"/>
    </row>
    <row r="6">
      <c r="A6" s="326"/>
      <c r="B6" s="166"/>
      <c r="C6" s="178" t="s">
        <v>1376</v>
      </c>
      <c r="D6" s="171" t="s">
        <v>646</v>
      </c>
      <c r="E6" s="171" t="s">
        <v>728</v>
      </c>
      <c r="F6" s="166"/>
      <c r="G6" s="166"/>
      <c r="H6" s="166"/>
      <c r="I6" s="166"/>
      <c r="J6" s="171"/>
      <c r="K6" s="166"/>
      <c r="L6" s="166"/>
      <c r="M6" s="166"/>
      <c r="N6" s="205"/>
      <c r="O6" s="205"/>
      <c r="P6" s="170"/>
      <c r="Q6" s="170"/>
      <c r="R6" s="170"/>
      <c r="S6" s="170"/>
      <c r="T6" s="170"/>
      <c r="U6" s="170"/>
      <c r="V6" s="170"/>
      <c r="W6" s="170"/>
      <c r="X6" s="170"/>
      <c r="Y6" s="170"/>
      <c r="Z6" s="170"/>
      <c r="AA6" s="170"/>
    </row>
    <row r="7">
      <c r="A7" s="326"/>
      <c r="B7" s="166"/>
      <c r="C7" s="178" t="s">
        <v>1377</v>
      </c>
      <c r="D7" s="171" t="s">
        <v>646</v>
      </c>
      <c r="E7" s="171" t="s">
        <v>728</v>
      </c>
      <c r="F7" s="166"/>
      <c r="G7" s="166"/>
      <c r="H7" s="166"/>
      <c r="I7" s="166"/>
      <c r="J7" s="171"/>
      <c r="K7" s="166"/>
      <c r="L7" s="166"/>
      <c r="M7" s="166"/>
      <c r="N7" s="205"/>
      <c r="O7" s="205"/>
      <c r="P7" s="170"/>
      <c r="Q7" s="170"/>
      <c r="R7" s="170"/>
      <c r="S7" s="170"/>
      <c r="T7" s="170"/>
      <c r="U7" s="170"/>
      <c r="V7" s="170"/>
      <c r="W7" s="170"/>
      <c r="X7" s="170"/>
      <c r="Y7" s="170"/>
      <c r="Z7" s="170"/>
      <c r="AA7" s="170"/>
    </row>
    <row r="8">
      <c r="A8" s="326"/>
      <c r="B8" s="166"/>
      <c r="C8" s="178" t="s">
        <v>1378</v>
      </c>
      <c r="D8" s="171" t="s">
        <v>646</v>
      </c>
      <c r="E8" s="171" t="s">
        <v>728</v>
      </c>
      <c r="F8" s="166"/>
      <c r="G8" s="166"/>
      <c r="H8" s="166"/>
      <c r="I8" s="166"/>
      <c r="J8" s="171"/>
      <c r="K8" s="166"/>
      <c r="L8" s="166"/>
      <c r="M8" s="166"/>
      <c r="N8" s="205"/>
      <c r="O8" s="205"/>
      <c r="P8" s="170"/>
      <c r="Q8" s="170"/>
      <c r="R8" s="170"/>
      <c r="S8" s="170"/>
      <c r="T8" s="170"/>
      <c r="U8" s="170"/>
      <c r="V8" s="170"/>
      <c r="W8" s="170"/>
      <c r="X8" s="170"/>
      <c r="Y8" s="170"/>
      <c r="Z8" s="170"/>
      <c r="AA8" s="170"/>
    </row>
    <row r="9">
      <c r="A9" s="326"/>
      <c r="B9" s="166"/>
      <c r="C9" s="178" t="s">
        <v>1379</v>
      </c>
      <c r="D9" s="171" t="s">
        <v>646</v>
      </c>
      <c r="E9" s="171" t="s">
        <v>728</v>
      </c>
      <c r="F9" s="166"/>
      <c r="G9" s="166"/>
      <c r="H9" s="166"/>
      <c r="I9" s="166"/>
      <c r="J9" s="171"/>
      <c r="K9" s="166"/>
      <c r="L9" s="166"/>
      <c r="M9" s="166"/>
      <c r="N9" s="205"/>
      <c r="O9" s="205"/>
      <c r="P9" s="170"/>
      <c r="Q9" s="170"/>
      <c r="R9" s="170"/>
      <c r="S9" s="170"/>
      <c r="T9" s="170"/>
      <c r="U9" s="170"/>
      <c r="V9" s="170"/>
      <c r="W9" s="170"/>
      <c r="X9" s="170"/>
      <c r="Y9" s="170"/>
      <c r="Z9" s="170"/>
      <c r="AA9" s="170"/>
    </row>
    <row r="10">
      <c r="A10" s="326"/>
      <c r="B10" s="166"/>
      <c r="C10" s="178" t="s">
        <v>1380</v>
      </c>
      <c r="D10" s="171" t="s">
        <v>689</v>
      </c>
      <c r="E10" s="171" t="s">
        <v>728</v>
      </c>
      <c r="F10" s="166"/>
      <c r="G10" s="166"/>
      <c r="H10" s="166"/>
      <c r="I10" s="166"/>
      <c r="J10" s="171"/>
      <c r="K10" s="166"/>
      <c r="L10" s="166"/>
      <c r="M10" s="166"/>
      <c r="N10" s="205"/>
      <c r="O10" s="205"/>
      <c r="P10" s="170"/>
      <c r="Q10" s="170"/>
      <c r="R10" s="170"/>
      <c r="S10" s="170"/>
      <c r="T10" s="170"/>
      <c r="U10" s="170"/>
      <c r="V10" s="170"/>
      <c r="W10" s="170"/>
      <c r="X10" s="170"/>
      <c r="Y10" s="170"/>
      <c r="Z10" s="170"/>
      <c r="AA10" s="170"/>
    </row>
    <row r="11">
      <c r="A11" s="326"/>
      <c r="B11" s="166"/>
      <c r="C11" s="178" t="s">
        <v>101</v>
      </c>
      <c r="D11" s="171" t="s">
        <v>646</v>
      </c>
      <c r="E11" s="171" t="s">
        <v>728</v>
      </c>
      <c r="F11" s="166"/>
      <c r="G11" s="166"/>
      <c r="H11" s="166"/>
      <c r="I11" s="166"/>
      <c r="J11" s="171"/>
      <c r="K11" s="166"/>
      <c r="L11" s="166"/>
      <c r="M11" s="166"/>
      <c r="N11" s="205"/>
      <c r="O11" s="205"/>
      <c r="P11" s="170"/>
      <c r="Q11" s="170"/>
      <c r="R11" s="170"/>
      <c r="S11" s="170"/>
      <c r="T11" s="170"/>
      <c r="U11" s="170"/>
      <c r="V11" s="170"/>
      <c r="W11" s="170"/>
      <c r="X11" s="170"/>
      <c r="Y11" s="170"/>
      <c r="Z11" s="170"/>
      <c r="AA11" s="170"/>
    </row>
    <row r="12">
      <c r="A12" s="326"/>
      <c r="B12" s="166"/>
      <c r="C12" s="178" t="s">
        <v>228</v>
      </c>
      <c r="D12" s="171" t="s">
        <v>646</v>
      </c>
      <c r="E12" s="171" t="s">
        <v>728</v>
      </c>
      <c r="F12" s="166"/>
      <c r="G12" s="166"/>
      <c r="H12" s="166"/>
      <c r="I12" s="166"/>
      <c r="J12" s="171"/>
      <c r="K12" s="166"/>
      <c r="L12" s="166"/>
      <c r="M12" s="166"/>
      <c r="N12" s="205"/>
      <c r="O12" s="205"/>
      <c r="P12" s="170"/>
      <c r="Q12" s="170"/>
      <c r="R12" s="170"/>
      <c r="S12" s="170"/>
      <c r="T12" s="170"/>
      <c r="U12" s="170"/>
      <c r="V12" s="170"/>
      <c r="W12" s="170"/>
      <c r="X12" s="170"/>
      <c r="Y12" s="170"/>
      <c r="Z12" s="170"/>
      <c r="AA12" s="170"/>
    </row>
    <row r="13">
      <c r="A13" s="326"/>
      <c r="B13" s="166"/>
      <c r="C13" s="178" t="s">
        <v>1381</v>
      </c>
      <c r="D13" s="171" t="s">
        <v>646</v>
      </c>
      <c r="E13" s="171" t="s">
        <v>728</v>
      </c>
      <c r="F13" s="166"/>
      <c r="G13" s="166"/>
      <c r="H13" s="166"/>
      <c r="I13" s="166"/>
      <c r="J13" s="171"/>
      <c r="K13" s="166"/>
      <c r="L13" s="166"/>
      <c r="M13" s="166"/>
      <c r="N13" s="205"/>
      <c r="O13" s="205"/>
      <c r="P13" s="170"/>
      <c r="Q13" s="170"/>
      <c r="R13" s="170"/>
      <c r="S13" s="170"/>
      <c r="T13" s="170"/>
      <c r="U13" s="170"/>
      <c r="V13" s="170"/>
      <c r="W13" s="170"/>
      <c r="X13" s="170"/>
      <c r="Y13" s="170"/>
      <c r="Z13" s="170"/>
      <c r="AA13" s="170"/>
    </row>
    <row r="14">
      <c r="A14" s="326"/>
      <c r="B14" s="166"/>
      <c r="C14" s="178" t="s">
        <v>1382</v>
      </c>
      <c r="D14" s="171" t="s">
        <v>689</v>
      </c>
      <c r="E14" s="171" t="s">
        <v>728</v>
      </c>
      <c r="F14" s="166"/>
      <c r="G14" s="166"/>
      <c r="H14" s="166"/>
      <c r="I14" s="166"/>
      <c r="J14" s="171"/>
      <c r="K14" s="166"/>
      <c r="L14" s="166"/>
      <c r="M14" s="166"/>
      <c r="N14" s="205"/>
      <c r="O14" s="205"/>
      <c r="P14" s="170"/>
      <c r="Q14" s="170"/>
      <c r="R14" s="170"/>
      <c r="S14" s="170"/>
      <c r="T14" s="170"/>
      <c r="U14" s="170"/>
      <c r="V14" s="170"/>
      <c r="W14" s="170"/>
      <c r="X14" s="170"/>
      <c r="Y14" s="170"/>
      <c r="Z14" s="170"/>
      <c r="AA14" s="170"/>
    </row>
    <row r="15">
      <c r="A15" s="326"/>
      <c r="B15" s="166"/>
      <c r="C15" s="178" t="s">
        <v>1383</v>
      </c>
      <c r="D15" s="171" t="s">
        <v>689</v>
      </c>
      <c r="E15" s="171" t="s">
        <v>730</v>
      </c>
      <c r="F15" s="166"/>
      <c r="G15" s="166"/>
      <c r="H15" s="166"/>
      <c r="I15" s="166"/>
      <c r="J15" s="171"/>
      <c r="K15" s="166"/>
      <c r="L15" s="166"/>
      <c r="M15" s="166"/>
      <c r="N15" s="205"/>
      <c r="O15" s="205"/>
      <c r="P15" s="170"/>
      <c r="Q15" s="170"/>
      <c r="R15" s="170"/>
      <c r="S15" s="170"/>
      <c r="T15" s="170"/>
      <c r="U15" s="170"/>
      <c r="V15" s="170"/>
      <c r="W15" s="170"/>
      <c r="X15" s="170"/>
      <c r="Y15" s="170"/>
      <c r="Z15" s="170"/>
      <c r="AA15" s="170"/>
    </row>
    <row r="16">
      <c r="A16" s="327"/>
      <c r="B16" s="151"/>
      <c r="C16" s="141" t="s">
        <v>1384</v>
      </c>
      <c r="D16" s="156" t="s">
        <v>646</v>
      </c>
      <c r="E16" s="156" t="s">
        <v>728</v>
      </c>
      <c r="F16" s="151"/>
      <c r="G16" s="151"/>
      <c r="H16" s="151"/>
      <c r="I16" s="151"/>
      <c r="J16" s="156"/>
      <c r="K16" s="151"/>
      <c r="L16" s="151"/>
      <c r="M16" s="151"/>
      <c r="N16" s="194"/>
      <c r="O16" s="194"/>
    </row>
    <row r="17">
      <c r="A17" s="327"/>
      <c r="B17" s="151"/>
      <c r="C17" s="141" t="s">
        <v>1385</v>
      </c>
      <c r="D17" s="156" t="s">
        <v>646</v>
      </c>
      <c r="E17" s="156" t="s">
        <v>728</v>
      </c>
      <c r="F17" s="151"/>
      <c r="G17" s="151"/>
      <c r="H17" s="151"/>
      <c r="I17" s="151"/>
      <c r="J17" s="156"/>
      <c r="K17" s="151"/>
      <c r="L17" s="151"/>
      <c r="M17" s="151"/>
      <c r="N17" s="194"/>
      <c r="O17" s="194"/>
    </row>
    <row r="18">
      <c r="A18" s="327"/>
      <c r="B18" s="151"/>
      <c r="C18" s="141" t="s">
        <v>1386</v>
      </c>
      <c r="D18" s="156" t="s">
        <v>646</v>
      </c>
      <c r="E18" s="156" t="s">
        <v>730</v>
      </c>
      <c r="F18" s="151"/>
      <c r="G18" s="151"/>
      <c r="H18" s="151"/>
      <c r="I18" s="151"/>
      <c r="J18" s="156"/>
      <c r="K18" s="151"/>
      <c r="L18" s="151"/>
      <c r="M18" s="151"/>
      <c r="N18" s="194"/>
      <c r="O18" s="194"/>
    </row>
    <row r="19">
      <c r="A19" s="327"/>
      <c r="B19" s="151"/>
      <c r="C19" s="141" t="s">
        <v>1387</v>
      </c>
      <c r="D19" s="156" t="s">
        <v>912</v>
      </c>
      <c r="E19" s="156" t="s">
        <v>728</v>
      </c>
      <c r="F19" s="151"/>
      <c r="G19" s="151"/>
      <c r="H19" s="151"/>
      <c r="I19" s="151"/>
      <c r="J19" s="156" t="s">
        <v>1388</v>
      </c>
      <c r="K19" s="151"/>
      <c r="L19" s="151"/>
      <c r="M19" s="151"/>
      <c r="N19" s="194"/>
      <c r="O19" s="194"/>
    </row>
    <row r="20" ht="25.5" customHeight="1">
      <c r="A20" s="327"/>
      <c r="B20" s="151"/>
      <c r="C20" s="141" t="s">
        <v>1389</v>
      </c>
      <c r="D20" s="156" t="s">
        <v>646</v>
      </c>
      <c r="E20" s="156" t="s">
        <v>728</v>
      </c>
      <c r="F20" s="156" t="s">
        <v>1390</v>
      </c>
      <c r="G20" s="151"/>
      <c r="H20" s="151"/>
      <c r="I20" s="151"/>
      <c r="J20" s="156"/>
      <c r="K20" s="151"/>
      <c r="L20" s="151"/>
      <c r="M20" s="151"/>
      <c r="N20" s="194"/>
      <c r="O20" s="194"/>
    </row>
    <row r="21" ht="25.5" customHeight="1">
      <c r="A21" s="327"/>
      <c r="B21" s="151"/>
      <c r="C21" s="141" t="s">
        <v>1391</v>
      </c>
      <c r="D21" s="156" t="s">
        <v>646</v>
      </c>
      <c r="E21" s="156" t="s">
        <v>728</v>
      </c>
      <c r="F21" s="156" t="s">
        <v>1392</v>
      </c>
      <c r="G21" s="151"/>
      <c r="H21" s="151"/>
      <c r="I21" s="151"/>
      <c r="J21" s="156"/>
      <c r="K21" s="151"/>
      <c r="L21" s="151"/>
      <c r="M21" s="151"/>
      <c r="N21" s="194"/>
      <c r="O21" s="194"/>
    </row>
    <row r="22">
      <c r="A22" s="327"/>
      <c r="B22" s="151"/>
      <c r="C22" s="141" t="s">
        <v>1393</v>
      </c>
      <c r="D22" s="156" t="s">
        <v>912</v>
      </c>
      <c r="E22" s="156" t="s">
        <v>730</v>
      </c>
      <c r="F22" s="151"/>
      <c r="G22" s="151"/>
      <c r="H22" s="151"/>
      <c r="I22" s="151"/>
      <c r="J22" s="156" t="s">
        <v>673</v>
      </c>
      <c r="K22" s="151"/>
      <c r="L22" s="151"/>
      <c r="M22" s="151"/>
      <c r="N22" s="194"/>
      <c r="O22" s="194"/>
    </row>
    <row r="23" ht="110.25" customHeight="1">
      <c r="A23" s="328"/>
      <c r="B23" s="158"/>
      <c r="C23" s="292" t="s">
        <v>1394</v>
      </c>
      <c r="D23" s="162" t="s">
        <v>646</v>
      </c>
      <c r="E23" s="162"/>
      <c r="F23" s="162" t="s">
        <v>1395</v>
      </c>
      <c r="G23" s="158"/>
      <c r="H23" s="158"/>
      <c r="I23" s="158"/>
      <c r="J23" s="162"/>
      <c r="K23" s="158"/>
      <c r="L23" s="158"/>
      <c r="M23" s="158"/>
      <c r="N23" s="195"/>
      <c r="O23" s="195"/>
      <c r="P23" s="163"/>
      <c r="Q23" s="163"/>
      <c r="R23" s="163"/>
      <c r="S23" s="163"/>
      <c r="T23" s="163"/>
      <c r="U23" s="163"/>
      <c r="V23" s="163"/>
      <c r="W23" s="163"/>
      <c r="X23" s="163"/>
      <c r="Y23" s="163"/>
      <c r="Z23" s="163"/>
      <c r="AA23" s="163"/>
    </row>
    <row r="24">
      <c r="A24" s="327"/>
      <c r="B24" s="151"/>
      <c r="C24" s="141" t="s">
        <v>1396</v>
      </c>
      <c r="D24" s="156" t="s">
        <v>912</v>
      </c>
      <c r="E24" s="156" t="s">
        <v>728</v>
      </c>
      <c r="F24" s="151"/>
      <c r="G24" s="151"/>
      <c r="H24" s="151"/>
      <c r="I24" s="151"/>
      <c r="J24" s="156" t="s">
        <v>1397</v>
      </c>
      <c r="K24" s="151"/>
      <c r="L24" s="151"/>
      <c r="M24" s="151"/>
      <c r="N24" s="194"/>
      <c r="O24" s="194"/>
    </row>
    <row r="25" ht="25.5" customHeight="1">
      <c r="A25" s="327"/>
      <c r="B25" s="151"/>
      <c r="C25" s="141" t="s">
        <v>1398</v>
      </c>
      <c r="D25" s="156"/>
      <c r="E25" s="156"/>
      <c r="F25" s="156" t="s">
        <v>1399</v>
      </c>
      <c r="G25" s="151"/>
      <c r="H25" s="151"/>
      <c r="I25" s="151"/>
      <c r="J25" s="151"/>
      <c r="K25" s="151"/>
      <c r="L25" s="151"/>
      <c r="M25" s="151"/>
      <c r="N25" s="194"/>
      <c r="O25" s="194"/>
    </row>
    <row r="26" ht="25.5" customHeight="1">
      <c r="A26" s="327"/>
      <c r="B26" s="151"/>
      <c r="C26" s="141" t="s">
        <v>1400</v>
      </c>
      <c r="D26" s="156" t="s">
        <v>1367</v>
      </c>
      <c r="E26" s="156" t="s">
        <v>728</v>
      </c>
      <c r="F26" s="156"/>
      <c r="G26" s="151"/>
      <c r="H26" s="151"/>
      <c r="I26" s="151"/>
      <c r="J26" s="156"/>
      <c r="K26" s="151"/>
      <c r="L26" s="151"/>
      <c r="M26" s="151"/>
      <c r="N26" s="194"/>
      <c r="O26" s="194"/>
    </row>
    <row r="27" ht="25.5" customHeight="1">
      <c r="A27" s="327"/>
      <c r="B27" s="151"/>
      <c r="C27" s="141" t="s">
        <v>1401</v>
      </c>
      <c r="D27" s="156" t="s">
        <v>646</v>
      </c>
      <c r="E27" s="156" t="s">
        <v>728</v>
      </c>
      <c r="F27" s="151"/>
      <c r="G27" s="151"/>
      <c r="H27" s="151"/>
      <c r="I27" s="151"/>
      <c r="J27" s="151"/>
      <c r="K27" s="151"/>
      <c r="L27" s="151"/>
      <c r="M27" s="151"/>
      <c r="N27" s="194"/>
      <c r="O27" s="194"/>
    </row>
    <row r="28" ht="25.5" customHeight="1">
      <c r="A28" s="327"/>
      <c r="B28" s="151"/>
      <c r="C28" s="141" t="s">
        <v>1402</v>
      </c>
      <c r="D28" s="156" t="s">
        <v>646</v>
      </c>
      <c r="E28" s="151" t="s">
        <v>728</v>
      </c>
      <c r="F28" s="151"/>
      <c r="G28" s="151"/>
      <c r="H28" s="151"/>
      <c r="I28" s="151"/>
      <c r="J28" s="151"/>
      <c r="K28" s="151"/>
      <c r="L28" s="151"/>
      <c r="M28" s="151"/>
      <c r="N28" s="194"/>
      <c r="O28" s="194"/>
    </row>
    <row r="29">
      <c r="A29" s="26"/>
      <c r="B29" s="151"/>
      <c r="C29" s="141" t="s">
        <v>1403</v>
      </c>
      <c r="D29" s="156" t="s">
        <v>912</v>
      </c>
      <c r="E29" s="156" t="s">
        <v>728</v>
      </c>
      <c r="F29" s="151"/>
      <c r="G29" s="151"/>
      <c r="H29" s="151"/>
      <c r="I29" s="151"/>
      <c r="J29" s="156" t="s">
        <v>1404</v>
      </c>
      <c r="K29" s="151"/>
      <c r="L29" s="151"/>
      <c r="M29" s="151"/>
      <c r="N29" s="194"/>
      <c r="O29" s="194"/>
    </row>
    <row r="30" ht="15.75" customHeight="1">
      <c r="N30" s="180"/>
      <c r="O30" s="180"/>
    </row>
    <row r="31" ht="15.75" customHeight="1">
      <c r="C31" s="329"/>
      <c r="N31" s="180"/>
      <c r="O31" s="180"/>
    </row>
    <row r="32" ht="15.75" customHeight="1">
      <c r="C32" s="329"/>
      <c r="N32" s="180"/>
      <c r="O32" s="180"/>
    </row>
    <row r="33" ht="15.75" customHeight="1">
      <c r="N33" s="180"/>
      <c r="O33" s="180"/>
    </row>
    <row r="34" ht="15.75" customHeight="1">
      <c r="N34" s="180"/>
      <c r="O34" s="180"/>
    </row>
    <row r="35" ht="15.75" customHeight="1">
      <c r="N35" s="180"/>
      <c r="O35" s="180"/>
    </row>
    <row r="36" ht="15.75" customHeight="1">
      <c r="N36" s="180"/>
      <c r="O36" s="180"/>
    </row>
    <row r="37" ht="15.75" customHeight="1">
      <c r="N37" s="180"/>
      <c r="O37" s="180"/>
    </row>
    <row r="38" ht="15.75" customHeight="1">
      <c r="N38" s="180"/>
      <c r="O38" s="180"/>
    </row>
    <row r="39" ht="15.75" customHeight="1">
      <c r="N39" s="180"/>
      <c r="O39" s="180"/>
    </row>
    <row r="40" ht="15.75" customHeight="1">
      <c r="N40" s="180"/>
      <c r="O40" s="180"/>
    </row>
    <row r="41" ht="15.75" customHeight="1">
      <c r="N41" s="180"/>
      <c r="O41" s="180"/>
    </row>
    <row r="42" ht="15.75" customHeight="1">
      <c r="N42" s="180"/>
      <c r="O42" s="180"/>
    </row>
    <row r="43" ht="15.75" customHeight="1">
      <c r="N43" s="180"/>
      <c r="O43" s="180"/>
    </row>
    <row r="44" ht="15.75" customHeight="1">
      <c r="N44" s="180"/>
      <c r="O44" s="180"/>
    </row>
    <row r="45" ht="15.75" customHeight="1">
      <c r="N45" s="180"/>
      <c r="O45" s="180"/>
    </row>
    <row r="46" ht="15.75" customHeight="1">
      <c r="N46" s="180"/>
      <c r="O46" s="180"/>
    </row>
    <row r="47" ht="15.75" customHeight="1">
      <c r="N47" s="180"/>
      <c r="O47" s="180"/>
    </row>
    <row r="48" ht="15.75" customHeight="1">
      <c r="N48" s="180"/>
      <c r="O48" s="180"/>
    </row>
    <row r="49" ht="15.75" customHeight="1">
      <c r="N49" s="180"/>
      <c r="O49" s="180"/>
    </row>
    <row r="50" ht="15.75" customHeight="1">
      <c r="N50" s="180"/>
      <c r="O50" s="180"/>
    </row>
    <row r="51" ht="15.75" customHeight="1">
      <c r="N51" s="180"/>
      <c r="O51" s="180"/>
    </row>
    <row r="52" ht="15.75" customHeight="1">
      <c r="N52" s="180"/>
      <c r="O52" s="180"/>
    </row>
    <row r="53" ht="15.75" customHeight="1">
      <c r="N53" s="180"/>
      <c r="O53" s="180"/>
    </row>
    <row r="54" ht="15.75" customHeight="1">
      <c r="N54" s="180"/>
      <c r="O54" s="180"/>
    </row>
    <row r="55" ht="15.75" customHeight="1">
      <c r="N55" s="180"/>
      <c r="O55" s="180"/>
    </row>
    <row r="56" ht="15.75" customHeight="1">
      <c r="N56" s="180"/>
      <c r="O56" s="180"/>
    </row>
    <row r="57" ht="15.75" customHeight="1">
      <c r="N57" s="180"/>
      <c r="O57" s="180"/>
    </row>
    <row r="58" ht="15.75" customHeight="1">
      <c r="N58" s="180"/>
      <c r="O58" s="180"/>
    </row>
    <row r="59" ht="15.75" customHeight="1">
      <c r="N59" s="180"/>
      <c r="O59" s="180"/>
    </row>
    <row r="60" ht="15.75" customHeight="1">
      <c r="N60" s="180"/>
      <c r="O60" s="180"/>
    </row>
    <row r="61" ht="15.75" customHeight="1">
      <c r="N61" s="180"/>
      <c r="O61" s="180"/>
    </row>
    <row r="62" ht="15.75" customHeight="1">
      <c r="N62" s="180"/>
      <c r="O62" s="180"/>
    </row>
    <row r="63" ht="15.75" customHeight="1">
      <c r="N63" s="180"/>
      <c r="O63" s="180"/>
    </row>
    <row r="64" ht="15.75" customHeight="1">
      <c r="N64" s="180"/>
      <c r="O64" s="180"/>
    </row>
    <row r="65" ht="15.75" customHeight="1">
      <c r="N65" s="180"/>
      <c r="O65" s="180"/>
    </row>
    <row r="66" ht="15.75" customHeight="1">
      <c r="N66" s="180"/>
      <c r="O66" s="180"/>
    </row>
    <row r="67" ht="15.75" customHeight="1">
      <c r="N67" s="180"/>
      <c r="O67" s="180"/>
    </row>
    <row r="68" ht="15.75" customHeight="1">
      <c r="N68" s="180"/>
      <c r="O68" s="180"/>
    </row>
    <row r="69" ht="15.75" customHeight="1">
      <c r="N69" s="180"/>
      <c r="O69" s="180"/>
    </row>
    <row r="70" ht="15.75" customHeight="1">
      <c r="N70" s="180"/>
      <c r="O70" s="180"/>
    </row>
    <row r="71" ht="15.75" customHeight="1">
      <c r="N71" s="180"/>
      <c r="O71" s="180"/>
    </row>
    <row r="72" ht="15.75" customHeight="1">
      <c r="N72" s="180"/>
      <c r="O72" s="180"/>
    </row>
    <row r="73" ht="15.75" customHeight="1">
      <c r="N73" s="180"/>
      <c r="O73" s="180"/>
    </row>
    <row r="74" ht="15.75" customHeight="1">
      <c r="N74" s="180"/>
      <c r="O74" s="180"/>
    </row>
    <row r="75" ht="15.75" customHeight="1">
      <c r="N75" s="180"/>
      <c r="O75" s="180"/>
    </row>
    <row r="76" ht="15.75" customHeight="1">
      <c r="N76" s="180"/>
      <c r="O76" s="180"/>
    </row>
    <row r="77" ht="15.75" customHeight="1">
      <c r="N77" s="180"/>
      <c r="O77" s="180"/>
    </row>
    <row r="78" ht="15.75" customHeight="1">
      <c r="N78" s="180"/>
      <c r="O78" s="180"/>
    </row>
    <row r="79" ht="15.75" customHeight="1">
      <c r="N79" s="180"/>
      <c r="O79" s="180"/>
    </row>
    <row r="80" ht="15.75" customHeight="1">
      <c r="N80" s="180"/>
      <c r="O80" s="180"/>
    </row>
    <row r="81" ht="15.75" customHeight="1">
      <c r="N81" s="180"/>
      <c r="O81" s="180"/>
    </row>
    <row r="82" ht="15.75" customHeight="1">
      <c r="N82" s="180"/>
      <c r="O82" s="180"/>
    </row>
    <row r="83" ht="15.75" customHeight="1">
      <c r="N83" s="180"/>
      <c r="O83" s="180"/>
    </row>
    <row r="84" ht="15.75" customHeight="1">
      <c r="N84" s="180"/>
      <c r="O84" s="180"/>
    </row>
    <row r="85" ht="15.75" customHeight="1">
      <c r="N85" s="180"/>
      <c r="O85" s="180"/>
    </row>
    <row r="86" ht="15.75" customHeight="1">
      <c r="N86" s="180"/>
      <c r="O86" s="180"/>
    </row>
    <row r="87" ht="15.75" customHeight="1">
      <c r="N87" s="180"/>
      <c r="O87" s="180"/>
    </row>
    <row r="88" ht="15.75" customHeight="1">
      <c r="N88" s="180"/>
      <c r="O88" s="180"/>
    </row>
    <row r="89" ht="15.75" customHeight="1">
      <c r="N89" s="180"/>
      <c r="O89" s="180"/>
    </row>
    <row r="90" ht="15.75" customHeight="1">
      <c r="N90" s="180"/>
      <c r="O90" s="180"/>
    </row>
    <row r="91" ht="15.75" customHeight="1">
      <c r="N91" s="180"/>
      <c r="O91" s="180"/>
    </row>
    <row r="92" ht="15.75" customHeight="1">
      <c r="N92" s="180"/>
      <c r="O92" s="180"/>
    </row>
    <row r="93" ht="15.75" customHeight="1">
      <c r="N93" s="180"/>
      <c r="O93" s="180"/>
    </row>
    <row r="94" ht="15.75" customHeight="1">
      <c r="N94" s="180"/>
      <c r="O94" s="180"/>
    </row>
    <row r="95" ht="15.75" customHeight="1">
      <c r="N95" s="180"/>
      <c r="O95" s="180"/>
    </row>
    <row r="96" ht="15.75" customHeight="1">
      <c r="N96" s="180"/>
      <c r="O96" s="180"/>
    </row>
    <row r="97" ht="15.75" customHeight="1">
      <c r="N97" s="180"/>
      <c r="O97" s="180"/>
    </row>
    <row r="98" ht="15.75" customHeight="1">
      <c r="N98" s="180"/>
      <c r="O98" s="180"/>
    </row>
    <row r="99" ht="15.75" customHeight="1">
      <c r="N99" s="180"/>
      <c r="O99" s="180"/>
    </row>
    <row r="100" ht="15.75" customHeight="1">
      <c r="N100" s="180"/>
      <c r="O100" s="180"/>
    </row>
    <row r="101" ht="15.75" customHeight="1">
      <c r="N101" s="180"/>
      <c r="O101" s="180"/>
    </row>
    <row r="102" ht="15.75" customHeight="1">
      <c r="N102" s="180"/>
      <c r="O102" s="180"/>
    </row>
    <row r="103" ht="15.75" customHeight="1">
      <c r="N103" s="180"/>
      <c r="O103" s="180"/>
    </row>
    <row r="104" ht="15.75" customHeight="1">
      <c r="N104" s="180"/>
      <c r="O104" s="180"/>
    </row>
    <row r="105" ht="15.75" customHeight="1">
      <c r="N105" s="180"/>
      <c r="O105" s="180"/>
    </row>
    <row r="106" ht="15.75" customHeight="1">
      <c r="N106" s="180"/>
      <c r="O106" s="180"/>
    </row>
    <row r="107" ht="15.75" customHeight="1">
      <c r="N107" s="180"/>
      <c r="O107" s="180"/>
    </row>
    <row r="108" ht="15.75" customHeight="1">
      <c r="N108" s="180"/>
      <c r="O108" s="180"/>
    </row>
    <row r="109" ht="15.75" customHeight="1">
      <c r="N109" s="180"/>
      <c r="O109" s="180"/>
    </row>
    <row r="110" ht="15.75" customHeight="1">
      <c r="N110" s="180"/>
      <c r="O110" s="180"/>
    </row>
    <row r="111" ht="15.75" customHeight="1">
      <c r="N111" s="180"/>
      <c r="O111" s="180"/>
    </row>
    <row r="112" ht="15.75" customHeight="1">
      <c r="N112" s="180"/>
      <c r="O112" s="180"/>
    </row>
    <row r="113" ht="15.75" customHeight="1">
      <c r="N113" s="180"/>
      <c r="O113" s="180"/>
    </row>
    <row r="114" ht="15.75" customHeight="1">
      <c r="N114" s="180"/>
      <c r="O114" s="180"/>
    </row>
    <row r="115" ht="15.75" customHeight="1">
      <c r="N115" s="180"/>
      <c r="O115" s="180"/>
    </row>
    <row r="116" ht="15.75" customHeight="1">
      <c r="N116" s="180"/>
      <c r="O116" s="180"/>
    </row>
    <row r="117" ht="15.75" customHeight="1">
      <c r="N117" s="180"/>
      <c r="O117" s="180"/>
    </row>
    <row r="118" ht="15.75" customHeight="1">
      <c r="N118" s="180"/>
      <c r="O118" s="180"/>
    </row>
    <row r="119" ht="15.75" customHeight="1">
      <c r="N119" s="180"/>
      <c r="O119" s="180"/>
    </row>
    <row r="120" ht="15.75" customHeight="1">
      <c r="N120" s="180"/>
      <c r="O120" s="180"/>
    </row>
    <row r="121" ht="15.75" customHeight="1">
      <c r="N121" s="180"/>
      <c r="O121" s="180"/>
    </row>
    <row r="122" ht="15.75" customHeight="1">
      <c r="N122" s="180"/>
      <c r="O122" s="180"/>
    </row>
    <row r="123" ht="15.75" customHeight="1">
      <c r="N123" s="180"/>
      <c r="O123" s="180"/>
    </row>
    <row r="124" ht="15.75" customHeight="1">
      <c r="N124" s="180"/>
      <c r="O124" s="180"/>
    </row>
    <row r="125" ht="15.75" customHeight="1">
      <c r="N125" s="180"/>
      <c r="O125" s="180"/>
    </row>
    <row r="126" ht="15.75" customHeight="1">
      <c r="N126" s="180"/>
      <c r="O126" s="180"/>
    </row>
    <row r="127" ht="15.75" customHeight="1">
      <c r="N127" s="180"/>
      <c r="O127" s="180"/>
    </row>
    <row r="128" ht="15.75" customHeight="1">
      <c r="N128" s="180"/>
      <c r="O128" s="180"/>
    </row>
    <row r="129" ht="15.75" customHeight="1">
      <c r="N129" s="180"/>
      <c r="O129" s="180"/>
    </row>
    <row r="130" ht="15.75" customHeight="1">
      <c r="N130" s="180"/>
      <c r="O130" s="180"/>
    </row>
    <row r="131" ht="15.75" customHeight="1">
      <c r="N131" s="180"/>
      <c r="O131" s="180"/>
    </row>
    <row r="132" ht="15.75" customHeight="1">
      <c r="N132" s="180"/>
      <c r="O132" s="180"/>
    </row>
    <row r="133" ht="15.75" customHeight="1">
      <c r="N133" s="180"/>
      <c r="O133" s="180"/>
    </row>
    <row r="134" ht="15.75" customHeight="1">
      <c r="N134" s="180"/>
      <c r="O134" s="180"/>
    </row>
    <row r="135" ht="15.75" customHeight="1">
      <c r="N135" s="180"/>
      <c r="O135" s="180"/>
    </row>
    <row r="136" ht="15.75" customHeight="1">
      <c r="N136" s="180"/>
      <c r="O136" s="180"/>
    </row>
    <row r="137" ht="15.75" customHeight="1">
      <c r="N137" s="180"/>
      <c r="O137" s="180"/>
    </row>
    <row r="138" ht="15.75" customHeight="1">
      <c r="N138" s="180"/>
      <c r="O138" s="180"/>
    </row>
    <row r="139" ht="15.75" customHeight="1">
      <c r="N139" s="180"/>
      <c r="O139" s="180"/>
    </row>
    <row r="140" ht="15.75" customHeight="1">
      <c r="N140" s="180"/>
      <c r="O140" s="180"/>
    </row>
    <row r="141" ht="15.75" customHeight="1">
      <c r="N141" s="180"/>
      <c r="O141" s="180"/>
    </row>
    <row r="142" ht="15.75" customHeight="1">
      <c r="N142" s="180"/>
      <c r="O142" s="180"/>
    </row>
    <row r="143" ht="15.75" customHeight="1">
      <c r="N143" s="180"/>
      <c r="O143" s="180"/>
    </row>
    <row r="144" ht="15.75" customHeight="1">
      <c r="N144" s="180"/>
      <c r="O144" s="180"/>
    </row>
    <row r="145" ht="15.75" customHeight="1">
      <c r="N145" s="180"/>
      <c r="O145" s="180"/>
    </row>
    <row r="146" ht="15.75" customHeight="1">
      <c r="N146" s="180"/>
      <c r="O146" s="180"/>
    </row>
    <row r="147" ht="15.75" customHeight="1">
      <c r="N147" s="180"/>
      <c r="O147" s="180"/>
    </row>
    <row r="148" ht="15.75" customHeight="1">
      <c r="N148" s="180"/>
      <c r="O148" s="180"/>
    </row>
    <row r="149" ht="15.75" customHeight="1">
      <c r="N149" s="180"/>
      <c r="O149" s="180"/>
    </row>
    <row r="150" ht="15.75" customHeight="1">
      <c r="N150" s="180"/>
      <c r="O150" s="180"/>
    </row>
    <row r="151" ht="15.75" customHeight="1">
      <c r="N151" s="180"/>
      <c r="O151" s="180"/>
    </row>
    <row r="152" ht="15.75" customHeight="1">
      <c r="N152" s="180"/>
      <c r="O152" s="180"/>
    </row>
    <row r="153" ht="15.75" customHeight="1">
      <c r="N153" s="180"/>
      <c r="O153" s="180"/>
    </row>
    <row r="154" ht="15.75" customHeight="1">
      <c r="N154" s="180"/>
      <c r="O154" s="180"/>
    </row>
    <row r="155" ht="15.75" customHeight="1">
      <c r="N155" s="180"/>
      <c r="O155" s="180"/>
    </row>
    <row r="156" ht="15.75" customHeight="1">
      <c r="N156" s="180"/>
      <c r="O156" s="180"/>
    </row>
    <row r="157" ht="15.75" customHeight="1">
      <c r="N157" s="180"/>
      <c r="O157" s="180"/>
    </row>
    <row r="158" ht="15.75" customHeight="1">
      <c r="N158" s="180"/>
      <c r="O158" s="180"/>
    </row>
    <row r="159" ht="15.75" customHeight="1">
      <c r="N159" s="180"/>
      <c r="O159" s="180"/>
    </row>
    <row r="160" ht="15.75" customHeight="1">
      <c r="N160" s="180"/>
      <c r="O160" s="180"/>
    </row>
    <row r="161" ht="15.75" customHeight="1">
      <c r="N161" s="180"/>
      <c r="O161" s="180"/>
    </row>
    <row r="162" ht="15.75" customHeight="1">
      <c r="N162" s="180"/>
      <c r="O162" s="180"/>
    </row>
    <row r="163" ht="15.75" customHeight="1">
      <c r="N163" s="180"/>
      <c r="O163" s="180"/>
    </row>
    <row r="164" ht="15.75" customHeight="1">
      <c r="N164" s="180"/>
      <c r="O164" s="180"/>
    </row>
    <row r="165" ht="15.75" customHeight="1">
      <c r="N165" s="180"/>
      <c r="O165" s="180"/>
    </row>
    <row r="166" ht="15.75" customHeight="1">
      <c r="N166" s="180"/>
      <c r="O166" s="180"/>
    </row>
    <row r="167" ht="15.75" customHeight="1">
      <c r="N167" s="180"/>
      <c r="O167" s="180"/>
    </row>
    <row r="168" ht="15.75" customHeight="1">
      <c r="N168" s="180"/>
      <c r="O168" s="180"/>
    </row>
    <row r="169" ht="15.75" customHeight="1">
      <c r="N169" s="180"/>
      <c r="O169" s="180"/>
    </row>
    <row r="170" ht="15.75" customHeight="1">
      <c r="N170" s="180"/>
      <c r="O170" s="180"/>
    </row>
    <row r="171" ht="15.75" customHeight="1">
      <c r="N171" s="180"/>
      <c r="O171" s="180"/>
    </row>
    <row r="172" ht="15.75" customHeight="1">
      <c r="N172" s="180"/>
      <c r="O172" s="180"/>
    </row>
    <row r="173" ht="15.75" customHeight="1">
      <c r="N173" s="180"/>
      <c r="O173" s="180"/>
    </row>
    <row r="174" ht="15.75" customHeight="1">
      <c r="N174" s="180"/>
      <c r="O174" s="180"/>
    </row>
    <row r="175" ht="15.75" customHeight="1">
      <c r="N175" s="180"/>
      <c r="O175" s="180"/>
    </row>
    <row r="176" ht="15.75" customHeight="1">
      <c r="N176" s="180"/>
      <c r="O176" s="180"/>
    </row>
    <row r="177" ht="15.75" customHeight="1">
      <c r="N177" s="180"/>
      <c r="O177" s="180"/>
    </row>
    <row r="178" ht="15.75" customHeight="1">
      <c r="N178" s="180"/>
      <c r="O178" s="180"/>
    </row>
    <row r="179" ht="15.75" customHeight="1">
      <c r="N179" s="180"/>
      <c r="O179" s="180"/>
    </row>
    <row r="180" ht="15.75" customHeight="1">
      <c r="N180" s="180"/>
      <c r="O180" s="180"/>
    </row>
    <row r="181" ht="15.75" customHeight="1">
      <c r="N181" s="180"/>
      <c r="O181" s="180"/>
    </row>
    <row r="182" ht="15.75" customHeight="1">
      <c r="N182" s="180"/>
      <c r="O182" s="180"/>
    </row>
    <row r="183" ht="15.75" customHeight="1">
      <c r="N183" s="180"/>
      <c r="O183" s="180"/>
    </row>
    <row r="184" ht="15.75" customHeight="1">
      <c r="N184" s="180"/>
      <c r="O184" s="180"/>
    </row>
    <row r="185" ht="15.75" customHeight="1">
      <c r="N185" s="180"/>
      <c r="O185" s="180"/>
    </row>
    <row r="186" ht="15.75" customHeight="1">
      <c r="N186" s="180"/>
      <c r="O186" s="180"/>
    </row>
    <row r="187" ht="15.75" customHeight="1">
      <c r="N187" s="180"/>
      <c r="O187" s="180"/>
    </row>
    <row r="188" ht="15.75" customHeight="1">
      <c r="N188" s="180"/>
      <c r="O188" s="180"/>
    </row>
    <row r="189" ht="15.75" customHeight="1">
      <c r="N189" s="180"/>
      <c r="O189" s="180"/>
    </row>
    <row r="190" ht="15.75" customHeight="1">
      <c r="N190" s="180"/>
      <c r="O190" s="180"/>
    </row>
    <row r="191" ht="15.75" customHeight="1">
      <c r="N191" s="180"/>
      <c r="O191" s="180"/>
    </row>
    <row r="192" ht="15.75" customHeight="1">
      <c r="N192" s="180"/>
      <c r="O192" s="180"/>
    </row>
    <row r="193" ht="15.75" customHeight="1">
      <c r="N193" s="180"/>
      <c r="O193" s="180"/>
    </row>
    <row r="194" ht="15.75" customHeight="1">
      <c r="N194" s="180"/>
      <c r="O194" s="180"/>
    </row>
    <row r="195" ht="15.75" customHeight="1">
      <c r="N195" s="180"/>
      <c r="O195" s="180"/>
    </row>
    <row r="196" ht="15.75" customHeight="1">
      <c r="N196" s="180"/>
      <c r="O196" s="180"/>
    </row>
    <row r="197" ht="15.75" customHeight="1">
      <c r="N197" s="180"/>
      <c r="O197" s="180"/>
    </row>
    <row r="198" ht="15.75" customHeight="1">
      <c r="N198" s="180"/>
      <c r="O198" s="180"/>
    </row>
    <row r="199" ht="15.75" customHeight="1">
      <c r="N199" s="180"/>
      <c r="O199" s="180"/>
    </row>
    <row r="200" ht="15.75" customHeight="1">
      <c r="N200" s="180"/>
      <c r="O200" s="180"/>
    </row>
    <row r="201" ht="15.75" customHeight="1">
      <c r="N201" s="180"/>
      <c r="O201" s="180"/>
    </row>
    <row r="202" ht="15.75" customHeight="1">
      <c r="N202" s="180"/>
      <c r="O202" s="180"/>
    </row>
    <row r="203" ht="15.75" customHeight="1">
      <c r="N203" s="180"/>
      <c r="O203" s="180"/>
    </row>
    <row r="204" ht="15.75" customHeight="1">
      <c r="N204" s="180"/>
      <c r="O204" s="180"/>
    </row>
    <row r="205" ht="15.75" customHeight="1">
      <c r="N205" s="180"/>
      <c r="O205" s="180"/>
    </row>
    <row r="206" ht="15.75" customHeight="1">
      <c r="N206" s="180"/>
      <c r="O206" s="180"/>
    </row>
    <row r="207" ht="15.75" customHeight="1">
      <c r="N207" s="180"/>
      <c r="O207" s="180"/>
    </row>
    <row r="208" ht="15.75" customHeight="1">
      <c r="N208" s="180"/>
      <c r="O208" s="180"/>
    </row>
    <row r="209" ht="15.75" customHeight="1">
      <c r="N209" s="180"/>
      <c r="O209" s="180"/>
    </row>
    <row r="210" ht="15.75" customHeight="1">
      <c r="N210" s="180"/>
      <c r="O210" s="180"/>
    </row>
    <row r="211" ht="15.75" customHeight="1">
      <c r="N211" s="180"/>
      <c r="O211" s="180"/>
    </row>
    <row r="212" ht="15.75" customHeight="1">
      <c r="N212" s="180"/>
      <c r="O212" s="180"/>
    </row>
    <row r="213" ht="15.75" customHeight="1">
      <c r="N213" s="180"/>
      <c r="O213" s="180"/>
    </row>
    <row r="214" ht="15.75" customHeight="1">
      <c r="N214" s="180"/>
      <c r="O214" s="180"/>
    </row>
    <row r="215" ht="15.75" customHeight="1">
      <c r="N215" s="180"/>
      <c r="O215" s="180"/>
    </row>
    <row r="216" ht="15.75" customHeight="1">
      <c r="N216" s="180"/>
      <c r="O216" s="180"/>
    </row>
    <row r="217" ht="15.75" customHeight="1">
      <c r="N217" s="180"/>
      <c r="O217" s="180"/>
    </row>
    <row r="218" ht="15.75" customHeight="1">
      <c r="N218" s="180"/>
      <c r="O218" s="180"/>
    </row>
    <row r="219" ht="15.75" customHeight="1">
      <c r="N219" s="180"/>
      <c r="O219" s="180"/>
    </row>
    <row r="220" ht="15.75" customHeight="1">
      <c r="N220" s="180"/>
      <c r="O220" s="180"/>
    </row>
    <row r="221" ht="15.75" customHeight="1">
      <c r="N221" s="180"/>
      <c r="O221" s="180"/>
    </row>
    <row r="222" ht="15.75" customHeight="1">
      <c r="N222" s="180"/>
      <c r="O222" s="180"/>
    </row>
    <row r="223" ht="15.75" customHeight="1">
      <c r="N223" s="180"/>
      <c r="O223" s="180"/>
    </row>
    <row r="224" ht="15.75" customHeight="1">
      <c r="N224" s="180"/>
      <c r="O224" s="180"/>
    </row>
    <row r="225" ht="15.75" customHeight="1">
      <c r="N225" s="180"/>
      <c r="O225" s="180"/>
    </row>
    <row r="226" ht="15.75" customHeight="1">
      <c r="N226" s="180"/>
      <c r="O226" s="180"/>
    </row>
    <row r="227" ht="15.75" customHeight="1">
      <c r="N227" s="180"/>
      <c r="O227" s="180"/>
    </row>
    <row r="228" ht="15.75" customHeight="1">
      <c r="N228" s="180"/>
      <c r="O228" s="180"/>
    </row>
    <row r="229" ht="15.75" customHeight="1">
      <c r="N229" s="180"/>
      <c r="O229" s="180"/>
    </row>
    <row r="230" ht="15.75" customHeight="1">
      <c r="N230" s="180"/>
      <c r="O230" s="180"/>
    </row>
    <row r="231" ht="15.75" customHeight="1">
      <c r="N231" s="180"/>
      <c r="O231" s="180"/>
    </row>
    <row r="232" ht="15.75" customHeight="1">
      <c r="N232" s="180"/>
      <c r="O232" s="180"/>
    </row>
    <row r="233" ht="15.75" customHeight="1">
      <c r="N233" s="180"/>
      <c r="O233" s="180"/>
    </row>
    <row r="234" ht="15.75" customHeight="1">
      <c r="N234" s="180"/>
      <c r="O234" s="180"/>
    </row>
    <row r="235" ht="15.75" customHeight="1">
      <c r="N235" s="180"/>
      <c r="O235" s="180"/>
    </row>
    <row r="236" ht="15.75" customHeight="1">
      <c r="N236" s="180"/>
      <c r="O236" s="180"/>
    </row>
    <row r="237" ht="15.75" customHeight="1">
      <c r="N237" s="180"/>
      <c r="O237" s="180"/>
    </row>
    <row r="238" ht="15.75" customHeight="1">
      <c r="N238" s="180"/>
      <c r="O238" s="180"/>
    </row>
    <row r="239" ht="15.75" customHeight="1">
      <c r="N239" s="180"/>
      <c r="O239" s="180"/>
    </row>
    <row r="240" ht="15.75" customHeight="1">
      <c r="N240" s="180"/>
      <c r="O240" s="180"/>
    </row>
    <row r="241" ht="15.75" customHeight="1">
      <c r="N241" s="180"/>
      <c r="O241" s="180"/>
    </row>
    <row r="242" ht="15.75" customHeight="1">
      <c r="N242" s="180"/>
      <c r="O242" s="180"/>
    </row>
    <row r="243" ht="15.75" customHeight="1">
      <c r="N243" s="180"/>
      <c r="O243" s="180"/>
    </row>
    <row r="244" ht="15.75" customHeight="1">
      <c r="N244" s="180"/>
      <c r="O244" s="180"/>
    </row>
    <row r="245" ht="15.75" customHeight="1">
      <c r="N245" s="180"/>
      <c r="O245" s="180"/>
    </row>
    <row r="246" ht="15.75" customHeight="1">
      <c r="N246" s="180"/>
      <c r="O246" s="180"/>
    </row>
    <row r="247" ht="15.75" customHeight="1">
      <c r="N247" s="180"/>
      <c r="O247" s="180"/>
    </row>
    <row r="248" ht="15.75" customHeight="1">
      <c r="N248" s="180"/>
      <c r="O248" s="180"/>
    </row>
    <row r="249" ht="15.75" customHeight="1">
      <c r="N249" s="180"/>
      <c r="O249" s="180"/>
    </row>
    <row r="250" ht="15.75" customHeight="1">
      <c r="N250" s="180"/>
      <c r="O250" s="180"/>
    </row>
    <row r="251" ht="15.75" customHeight="1">
      <c r="N251" s="180"/>
      <c r="O251" s="180"/>
    </row>
    <row r="252" ht="15.75" customHeight="1">
      <c r="N252" s="180"/>
      <c r="O252" s="180"/>
    </row>
    <row r="253" ht="15.75" customHeight="1">
      <c r="N253" s="180"/>
      <c r="O253" s="180"/>
    </row>
    <row r="254" ht="15.75" customHeight="1">
      <c r="N254" s="180"/>
      <c r="O254" s="180"/>
    </row>
    <row r="255" ht="15.75" customHeight="1">
      <c r="N255" s="180"/>
      <c r="O255" s="180"/>
    </row>
    <row r="256" ht="15.75" customHeight="1">
      <c r="N256" s="180"/>
      <c r="O256" s="180"/>
    </row>
    <row r="257" ht="15.75" customHeight="1">
      <c r="N257" s="180"/>
      <c r="O257" s="180"/>
    </row>
    <row r="258" ht="15.75" customHeight="1">
      <c r="N258" s="180"/>
      <c r="O258" s="180"/>
    </row>
    <row r="259" ht="15.75" customHeight="1">
      <c r="N259" s="180"/>
      <c r="O259" s="180"/>
    </row>
    <row r="260" ht="15.75" customHeight="1">
      <c r="N260" s="180"/>
      <c r="O260" s="180"/>
    </row>
    <row r="261" ht="15.75" customHeight="1">
      <c r="N261" s="180"/>
      <c r="O261" s="180"/>
    </row>
    <row r="262" ht="15.75" customHeight="1">
      <c r="N262" s="180"/>
      <c r="O262" s="180"/>
    </row>
    <row r="263" ht="15.75" customHeight="1">
      <c r="N263" s="180"/>
      <c r="O263" s="180"/>
    </row>
    <row r="264" ht="15.75" customHeight="1">
      <c r="N264" s="180"/>
      <c r="O264" s="180"/>
    </row>
    <row r="265" ht="15.75" customHeight="1">
      <c r="N265" s="180"/>
      <c r="O265" s="180"/>
    </row>
    <row r="266" ht="15.75" customHeight="1">
      <c r="N266" s="180"/>
      <c r="O266" s="180"/>
    </row>
    <row r="267" ht="15.75" customHeight="1">
      <c r="N267" s="180"/>
      <c r="O267" s="180"/>
    </row>
    <row r="268" ht="15.75" customHeight="1">
      <c r="N268" s="180"/>
      <c r="O268" s="180"/>
    </row>
    <row r="269" ht="15.75" customHeight="1">
      <c r="N269" s="180"/>
      <c r="O269" s="180"/>
    </row>
    <row r="270" ht="15.75" customHeight="1">
      <c r="N270" s="180"/>
      <c r="O270" s="180"/>
    </row>
    <row r="271" ht="15.75" customHeight="1">
      <c r="N271" s="180"/>
      <c r="O271" s="180"/>
    </row>
    <row r="272" ht="15.75" customHeight="1">
      <c r="N272" s="180"/>
      <c r="O272" s="180"/>
    </row>
    <row r="273" ht="15.75" customHeight="1">
      <c r="N273" s="180"/>
      <c r="O273" s="180"/>
    </row>
    <row r="274" ht="15.75" customHeight="1">
      <c r="N274" s="180"/>
      <c r="O274" s="180"/>
    </row>
    <row r="275" ht="15.75" customHeight="1">
      <c r="N275" s="180"/>
      <c r="O275" s="180"/>
    </row>
    <row r="276" ht="15.75" customHeight="1">
      <c r="N276" s="180"/>
      <c r="O276" s="180"/>
    </row>
    <row r="277" ht="15.75" customHeight="1">
      <c r="N277" s="180"/>
      <c r="O277" s="180"/>
    </row>
    <row r="278" ht="15.75" customHeight="1">
      <c r="N278" s="180"/>
      <c r="O278" s="180"/>
    </row>
    <row r="279" ht="15.75" customHeight="1">
      <c r="N279" s="180"/>
      <c r="O279" s="180"/>
    </row>
    <row r="280" ht="15.75" customHeight="1">
      <c r="N280" s="180"/>
      <c r="O280" s="180"/>
    </row>
    <row r="281" ht="15.75" customHeight="1">
      <c r="N281" s="180"/>
      <c r="O281" s="180"/>
    </row>
    <row r="282" ht="15.75" customHeight="1">
      <c r="N282" s="180"/>
      <c r="O282" s="180"/>
    </row>
    <row r="283" ht="15.75" customHeight="1">
      <c r="N283" s="180"/>
      <c r="O283" s="180"/>
    </row>
    <row r="284" ht="15.75" customHeight="1">
      <c r="N284" s="180"/>
      <c r="O284" s="180"/>
    </row>
    <row r="285" ht="15.75" customHeight="1">
      <c r="N285" s="180"/>
      <c r="O285" s="180"/>
    </row>
    <row r="286" ht="15.75" customHeight="1">
      <c r="N286" s="180"/>
      <c r="O286" s="180"/>
    </row>
    <row r="287" ht="15.75" customHeight="1">
      <c r="N287" s="180"/>
      <c r="O287" s="180"/>
    </row>
    <row r="288" ht="15.75" customHeight="1">
      <c r="N288" s="180"/>
      <c r="O288" s="180"/>
    </row>
    <row r="289" ht="15.75" customHeight="1">
      <c r="N289" s="180"/>
      <c r="O289" s="180"/>
    </row>
    <row r="290" ht="15.75" customHeight="1">
      <c r="N290" s="180"/>
      <c r="O290" s="180"/>
    </row>
    <row r="291" ht="15.75" customHeight="1">
      <c r="N291" s="180"/>
      <c r="O291" s="180"/>
    </row>
    <row r="292" ht="15.75" customHeight="1">
      <c r="N292" s="180"/>
      <c r="O292" s="180"/>
    </row>
    <row r="293" ht="15.75" customHeight="1">
      <c r="N293" s="180"/>
      <c r="O293" s="180"/>
    </row>
    <row r="294" ht="15.75" customHeight="1">
      <c r="N294" s="180"/>
      <c r="O294" s="180"/>
    </row>
    <row r="295" ht="15.75" customHeight="1">
      <c r="N295" s="180"/>
      <c r="O295" s="180"/>
    </row>
    <row r="296" ht="15.75" customHeight="1">
      <c r="N296" s="180"/>
      <c r="O296" s="180"/>
    </row>
    <row r="297" ht="15.75" customHeight="1">
      <c r="N297" s="180"/>
      <c r="O297" s="180"/>
    </row>
    <row r="298" ht="15.75" customHeight="1">
      <c r="N298" s="180"/>
      <c r="O298" s="180"/>
    </row>
    <row r="299" ht="15.75" customHeight="1">
      <c r="N299" s="180"/>
      <c r="O299" s="180"/>
    </row>
    <row r="300" ht="15.75" customHeight="1">
      <c r="N300" s="180"/>
      <c r="O300" s="180"/>
    </row>
    <row r="301" ht="15.75" customHeight="1">
      <c r="N301" s="180"/>
      <c r="O301" s="180"/>
    </row>
    <row r="302" ht="15.75" customHeight="1">
      <c r="N302" s="180"/>
      <c r="O302" s="180"/>
    </row>
    <row r="303" ht="15.75" customHeight="1">
      <c r="N303" s="180"/>
      <c r="O303" s="180"/>
    </row>
    <row r="304" ht="15.75" customHeight="1">
      <c r="N304" s="180"/>
      <c r="O304" s="180"/>
    </row>
    <row r="305" ht="15.75" customHeight="1">
      <c r="N305" s="180"/>
      <c r="O305" s="180"/>
    </row>
    <row r="306" ht="15.75" customHeight="1">
      <c r="N306" s="180"/>
      <c r="O306" s="180"/>
    </row>
    <row r="307" ht="15.75" customHeight="1">
      <c r="N307" s="180"/>
      <c r="O307" s="180"/>
    </row>
    <row r="308" ht="15.75" customHeight="1">
      <c r="N308" s="180"/>
      <c r="O308" s="180"/>
    </row>
    <row r="309" ht="15.75" customHeight="1">
      <c r="N309" s="180"/>
      <c r="O309" s="180"/>
    </row>
    <row r="310" ht="15.75" customHeight="1">
      <c r="N310" s="180"/>
      <c r="O310" s="180"/>
    </row>
    <row r="311" ht="15.75" customHeight="1">
      <c r="N311" s="180"/>
      <c r="O311" s="180"/>
    </row>
    <row r="312" ht="15.75" customHeight="1">
      <c r="N312" s="180"/>
      <c r="O312" s="180"/>
    </row>
    <row r="313" ht="15.75" customHeight="1">
      <c r="N313" s="180"/>
      <c r="O313" s="180"/>
    </row>
    <row r="314" ht="15.75" customHeight="1">
      <c r="N314" s="180"/>
      <c r="O314" s="180"/>
    </row>
    <row r="315" ht="15.75" customHeight="1">
      <c r="N315" s="180"/>
      <c r="O315" s="180"/>
    </row>
    <row r="316" ht="15.75" customHeight="1">
      <c r="N316" s="180"/>
      <c r="O316" s="180"/>
    </row>
    <row r="317" ht="15.75" customHeight="1">
      <c r="N317" s="180"/>
      <c r="O317" s="180"/>
    </row>
    <row r="318" ht="15.75" customHeight="1">
      <c r="N318" s="180"/>
      <c r="O318" s="180"/>
    </row>
    <row r="319" ht="15.75" customHeight="1">
      <c r="N319" s="180"/>
      <c r="O319" s="180"/>
    </row>
    <row r="320" ht="15.75" customHeight="1">
      <c r="N320" s="180"/>
      <c r="O320" s="180"/>
    </row>
    <row r="321" ht="15.75" customHeight="1">
      <c r="N321" s="180"/>
      <c r="O321" s="180"/>
    </row>
    <row r="322" ht="15.75" customHeight="1">
      <c r="N322" s="180"/>
      <c r="O322" s="180"/>
    </row>
    <row r="323" ht="15.75" customHeight="1">
      <c r="N323" s="180"/>
      <c r="O323" s="180"/>
    </row>
    <row r="324" ht="15.75" customHeight="1">
      <c r="N324" s="180"/>
      <c r="O324" s="180"/>
    </row>
    <row r="325" ht="15.75" customHeight="1">
      <c r="N325" s="180"/>
      <c r="O325" s="180"/>
    </row>
    <row r="326" ht="15.75" customHeight="1">
      <c r="N326" s="180"/>
      <c r="O326" s="180"/>
    </row>
    <row r="327" ht="15.75" customHeight="1">
      <c r="N327" s="180"/>
      <c r="O327" s="180"/>
    </row>
    <row r="328" ht="15.75" customHeight="1">
      <c r="N328" s="180"/>
      <c r="O328" s="180"/>
    </row>
    <row r="329" ht="15.75" customHeight="1">
      <c r="N329" s="180"/>
      <c r="O329" s="180"/>
    </row>
    <row r="330" ht="15.75" customHeight="1">
      <c r="N330" s="180"/>
      <c r="O330" s="180"/>
    </row>
    <row r="331" ht="15.75" customHeight="1">
      <c r="N331" s="180"/>
      <c r="O331" s="180"/>
    </row>
    <row r="332" ht="15.75" customHeight="1">
      <c r="N332" s="180"/>
      <c r="O332" s="180"/>
    </row>
    <row r="333" ht="15.75" customHeight="1">
      <c r="N333" s="180"/>
      <c r="O333" s="180"/>
    </row>
    <row r="334" ht="15.75" customHeight="1">
      <c r="N334" s="180"/>
      <c r="O334" s="180"/>
    </row>
    <row r="335" ht="15.75" customHeight="1">
      <c r="N335" s="180"/>
      <c r="O335" s="180"/>
    </row>
    <row r="336" ht="15.75" customHeight="1">
      <c r="N336" s="180"/>
      <c r="O336" s="180"/>
    </row>
    <row r="337" ht="15.75" customHeight="1">
      <c r="N337" s="180"/>
      <c r="O337" s="180"/>
    </row>
    <row r="338" ht="15.75" customHeight="1">
      <c r="N338" s="180"/>
      <c r="O338" s="180"/>
    </row>
    <row r="339" ht="15.75" customHeight="1">
      <c r="N339" s="180"/>
      <c r="O339" s="180"/>
    </row>
    <row r="340" ht="15.75" customHeight="1">
      <c r="N340" s="180"/>
      <c r="O340" s="180"/>
    </row>
    <row r="341" ht="15.75" customHeight="1">
      <c r="N341" s="180"/>
      <c r="O341" s="180"/>
    </row>
    <row r="342" ht="15.75" customHeight="1">
      <c r="N342" s="180"/>
      <c r="O342" s="180"/>
    </row>
    <row r="343" ht="15.75" customHeight="1">
      <c r="N343" s="180"/>
      <c r="O343" s="180"/>
    </row>
    <row r="344" ht="15.75" customHeight="1">
      <c r="N344" s="180"/>
      <c r="O344" s="180"/>
    </row>
    <row r="345" ht="15.75" customHeight="1">
      <c r="N345" s="180"/>
      <c r="O345" s="180"/>
    </row>
    <row r="346" ht="15.75" customHeight="1">
      <c r="N346" s="180"/>
      <c r="O346" s="180"/>
    </row>
    <row r="347" ht="15.75" customHeight="1">
      <c r="N347" s="180"/>
      <c r="O347" s="180"/>
    </row>
    <row r="348" ht="15.75" customHeight="1">
      <c r="N348" s="180"/>
      <c r="O348" s="180"/>
    </row>
    <row r="349" ht="15.75" customHeight="1">
      <c r="N349" s="180"/>
      <c r="O349" s="180"/>
    </row>
    <row r="350" ht="15.75" customHeight="1">
      <c r="N350" s="180"/>
      <c r="O350" s="180"/>
    </row>
    <row r="351" ht="15.75" customHeight="1">
      <c r="N351" s="180"/>
      <c r="O351" s="180"/>
    </row>
    <row r="352" ht="15.75" customHeight="1">
      <c r="N352" s="180"/>
      <c r="O352" s="180"/>
    </row>
    <row r="353" ht="15.75" customHeight="1">
      <c r="N353" s="180"/>
      <c r="O353" s="180"/>
    </row>
    <row r="354" ht="15.75" customHeight="1">
      <c r="N354" s="180"/>
      <c r="O354" s="180"/>
    </row>
    <row r="355" ht="15.75" customHeight="1">
      <c r="N355" s="180"/>
      <c r="O355" s="180"/>
    </row>
    <row r="356" ht="15.75" customHeight="1">
      <c r="N356" s="180"/>
      <c r="O356" s="180"/>
    </row>
    <row r="357" ht="15.75" customHeight="1">
      <c r="N357" s="180"/>
      <c r="O357" s="180"/>
    </row>
    <row r="358" ht="15.75" customHeight="1">
      <c r="N358" s="180"/>
      <c r="O358" s="180"/>
    </row>
    <row r="359" ht="15.75" customHeight="1">
      <c r="N359" s="180"/>
      <c r="O359" s="180"/>
    </row>
    <row r="360" ht="15.75" customHeight="1">
      <c r="N360" s="180"/>
      <c r="O360" s="180"/>
    </row>
    <row r="361" ht="15.75" customHeight="1">
      <c r="N361" s="180"/>
      <c r="O361" s="180"/>
    </row>
    <row r="362" ht="15.75" customHeight="1">
      <c r="N362" s="180"/>
      <c r="O362" s="180"/>
    </row>
    <row r="363" ht="15.75" customHeight="1">
      <c r="N363" s="180"/>
      <c r="O363" s="180"/>
    </row>
    <row r="364" ht="15.75" customHeight="1">
      <c r="N364" s="180"/>
      <c r="O364" s="180"/>
    </row>
    <row r="365" ht="15.75" customHeight="1">
      <c r="N365" s="180"/>
      <c r="O365" s="180"/>
    </row>
    <row r="366" ht="15.75" customHeight="1">
      <c r="N366" s="180"/>
      <c r="O366" s="180"/>
    </row>
    <row r="367" ht="15.75" customHeight="1">
      <c r="N367" s="180"/>
      <c r="O367" s="180"/>
    </row>
    <row r="368" ht="15.75" customHeight="1">
      <c r="N368" s="180"/>
      <c r="O368" s="180"/>
    </row>
    <row r="369" ht="15.75" customHeight="1">
      <c r="N369" s="180"/>
      <c r="O369" s="180"/>
    </row>
    <row r="370" ht="15.75" customHeight="1">
      <c r="N370" s="180"/>
      <c r="O370" s="180"/>
    </row>
    <row r="371" ht="15.75" customHeight="1">
      <c r="N371" s="180"/>
      <c r="O371" s="180"/>
    </row>
    <row r="372" ht="15.75" customHeight="1">
      <c r="N372" s="180"/>
      <c r="O372" s="180"/>
    </row>
    <row r="373" ht="15.75" customHeight="1">
      <c r="N373" s="180"/>
      <c r="O373" s="180"/>
    </row>
    <row r="374" ht="15.75" customHeight="1">
      <c r="N374" s="180"/>
      <c r="O374" s="180"/>
    </row>
    <row r="375" ht="15.75" customHeight="1">
      <c r="N375" s="180"/>
      <c r="O375" s="180"/>
    </row>
    <row r="376" ht="15.75" customHeight="1">
      <c r="N376" s="180"/>
      <c r="O376" s="180"/>
    </row>
    <row r="377" ht="15.75" customHeight="1">
      <c r="N377" s="180"/>
      <c r="O377" s="180"/>
    </row>
    <row r="378" ht="15.75" customHeight="1">
      <c r="N378" s="180"/>
      <c r="O378" s="180"/>
    </row>
    <row r="379" ht="15.75" customHeight="1">
      <c r="N379" s="180"/>
      <c r="O379" s="180"/>
    </row>
    <row r="380" ht="15.75" customHeight="1">
      <c r="N380" s="180"/>
      <c r="O380" s="180"/>
    </row>
    <row r="381" ht="15.75" customHeight="1">
      <c r="N381" s="180"/>
      <c r="O381" s="180"/>
    </row>
    <row r="382" ht="15.75" customHeight="1">
      <c r="N382" s="180"/>
      <c r="O382" s="180"/>
    </row>
    <row r="383" ht="15.75" customHeight="1">
      <c r="N383" s="180"/>
      <c r="O383" s="180"/>
    </row>
    <row r="384" ht="15.75" customHeight="1">
      <c r="N384" s="180"/>
      <c r="O384" s="180"/>
    </row>
    <row r="385" ht="15.75" customHeight="1">
      <c r="N385" s="180"/>
      <c r="O385" s="180"/>
    </row>
    <row r="386" ht="15.75" customHeight="1">
      <c r="N386" s="180"/>
      <c r="O386" s="180"/>
    </row>
    <row r="387" ht="15.75" customHeight="1">
      <c r="N387" s="180"/>
      <c r="O387" s="180"/>
    </row>
    <row r="388" ht="15.75" customHeight="1">
      <c r="N388" s="180"/>
      <c r="O388" s="180"/>
    </row>
    <row r="389" ht="15.75" customHeight="1">
      <c r="N389" s="180"/>
      <c r="O389" s="180"/>
    </row>
    <row r="390" ht="15.75" customHeight="1">
      <c r="N390" s="180"/>
      <c r="O390" s="180"/>
    </row>
    <row r="391" ht="15.75" customHeight="1">
      <c r="N391" s="180"/>
      <c r="O391" s="180"/>
    </row>
    <row r="392" ht="15.75" customHeight="1">
      <c r="N392" s="180"/>
      <c r="O392" s="180"/>
    </row>
    <row r="393" ht="15.75" customHeight="1">
      <c r="N393" s="180"/>
      <c r="O393" s="180"/>
    </row>
    <row r="394" ht="15.75" customHeight="1">
      <c r="N394" s="180"/>
      <c r="O394" s="180"/>
    </row>
    <row r="395" ht="15.75" customHeight="1">
      <c r="N395" s="180"/>
      <c r="O395" s="180"/>
    </row>
    <row r="396" ht="15.75" customHeight="1">
      <c r="N396" s="180"/>
      <c r="O396" s="180"/>
    </row>
    <row r="397" ht="15.75" customHeight="1">
      <c r="N397" s="180"/>
      <c r="O397" s="180"/>
    </row>
    <row r="398" ht="15.75" customHeight="1">
      <c r="N398" s="180"/>
      <c r="O398" s="180"/>
    </row>
    <row r="399" ht="15.75" customHeight="1">
      <c r="N399" s="180"/>
      <c r="O399" s="180"/>
    </row>
    <row r="400" ht="15.75" customHeight="1">
      <c r="N400" s="180"/>
      <c r="O400" s="180"/>
    </row>
    <row r="401" ht="15.75" customHeight="1">
      <c r="N401" s="180"/>
      <c r="O401" s="180"/>
    </row>
    <row r="402" ht="15.75" customHeight="1">
      <c r="N402" s="180"/>
      <c r="O402" s="180"/>
    </row>
    <row r="403" ht="15.75" customHeight="1">
      <c r="N403" s="180"/>
      <c r="O403" s="180"/>
    </row>
    <row r="404" ht="15.75" customHeight="1">
      <c r="N404" s="180"/>
      <c r="O404" s="180"/>
    </row>
    <row r="405" ht="15.75" customHeight="1">
      <c r="N405" s="180"/>
      <c r="O405" s="180"/>
    </row>
    <row r="406" ht="15.75" customHeight="1">
      <c r="N406" s="180"/>
      <c r="O406" s="180"/>
    </row>
    <row r="407" ht="15.75" customHeight="1">
      <c r="N407" s="180"/>
      <c r="O407" s="180"/>
    </row>
    <row r="408" ht="15.75" customHeight="1">
      <c r="N408" s="180"/>
      <c r="O408" s="180"/>
    </row>
    <row r="409" ht="15.75" customHeight="1">
      <c r="N409" s="180"/>
      <c r="O409" s="180"/>
    </row>
    <row r="410" ht="15.75" customHeight="1">
      <c r="N410" s="180"/>
      <c r="O410" s="180"/>
    </row>
    <row r="411" ht="15.75" customHeight="1">
      <c r="N411" s="180"/>
      <c r="O411" s="180"/>
    </row>
    <row r="412" ht="15.75" customHeight="1">
      <c r="N412" s="180"/>
      <c r="O412" s="180"/>
    </row>
    <row r="413" ht="15.75" customHeight="1">
      <c r="N413" s="180"/>
      <c r="O413" s="180"/>
    </row>
    <row r="414" ht="15.75" customHeight="1">
      <c r="N414" s="180"/>
      <c r="O414" s="180"/>
    </row>
    <row r="415" ht="15.75" customHeight="1">
      <c r="N415" s="180"/>
      <c r="O415" s="180"/>
    </row>
    <row r="416" ht="15.75" customHeight="1">
      <c r="N416" s="180"/>
      <c r="O416" s="180"/>
    </row>
    <row r="417" ht="15.75" customHeight="1">
      <c r="N417" s="180"/>
      <c r="O417" s="180"/>
    </row>
    <row r="418" ht="15.75" customHeight="1">
      <c r="N418" s="180"/>
      <c r="O418" s="180"/>
    </row>
    <row r="419" ht="15.75" customHeight="1">
      <c r="N419" s="180"/>
      <c r="O419" s="180"/>
    </row>
    <row r="420" ht="15.75" customHeight="1">
      <c r="N420" s="180"/>
      <c r="O420" s="180"/>
    </row>
    <row r="421" ht="15.75" customHeight="1">
      <c r="N421" s="180"/>
      <c r="O421" s="180"/>
    </row>
    <row r="422" ht="15.75" customHeight="1">
      <c r="N422" s="180"/>
      <c r="O422" s="180"/>
    </row>
    <row r="423" ht="15.75" customHeight="1">
      <c r="N423" s="180"/>
      <c r="O423" s="180"/>
    </row>
    <row r="424" ht="15.75" customHeight="1">
      <c r="N424" s="180"/>
      <c r="O424" s="180"/>
    </row>
    <row r="425" ht="15.75" customHeight="1">
      <c r="N425" s="180"/>
      <c r="O425" s="180"/>
    </row>
    <row r="426" ht="15.75" customHeight="1">
      <c r="N426" s="180"/>
      <c r="O426" s="180"/>
    </row>
    <row r="427" ht="15.75" customHeight="1">
      <c r="N427" s="180"/>
      <c r="O427" s="180"/>
    </row>
    <row r="428" ht="15.75" customHeight="1">
      <c r="N428" s="180"/>
      <c r="O428" s="180"/>
    </row>
    <row r="429" ht="15.75" customHeight="1">
      <c r="N429" s="180"/>
      <c r="O429" s="180"/>
    </row>
    <row r="430" ht="15.75" customHeight="1">
      <c r="N430" s="180"/>
      <c r="O430" s="180"/>
    </row>
    <row r="431" ht="15.75" customHeight="1">
      <c r="N431" s="180"/>
      <c r="O431" s="180"/>
    </row>
    <row r="432" ht="15.75" customHeight="1">
      <c r="N432" s="180"/>
      <c r="O432" s="180"/>
    </row>
    <row r="433" ht="15.75" customHeight="1">
      <c r="N433" s="180"/>
      <c r="O433" s="180"/>
    </row>
    <row r="434" ht="15.75" customHeight="1">
      <c r="N434" s="180"/>
      <c r="O434" s="180"/>
    </row>
    <row r="435" ht="15.75" customHeight="1">
      <c r="N435" s="180"/>
      <c r="O435" s="180"/>
    </row>
    <row r="436" ht="15.75" customHeight="1">
      <c r="N436" s="180"/>
      <c r="O436" s="180"/>
    </row>
    <row r="437" ht="15.75" customHeight="1">
      <c r="N437" s="180"/>
      <c r="O437" s="180"/>
    </row>
    <row r="438" ht="15.75" customHeight="1">
      <c r="N438" s="180"/>
      <c r="O438" s="180"/>
    </row>
    <row r="439" ht="15.75" customHeight="1">
      <c r="N439" s="180"/>
      <c r="O439" s="180"/>
    </row>
    <row r="440" ht="15.75" customHeight="1">
      <c r="N440" s="180"/>
      <c r="O440" s="180"/>
    </row>
    <row r="441" ht="15.75" customHeight="1">
      <c r="N441" s="180"/>
      <c r="O441" s="180"/>
    </row>
    <row r="442" ht="15.75" customHeight="1">
      <c r="N442" s="180"/>
      <c r="O442" s="180"/>
    </row>
    <row r="443" ht="15.75" customHeight="1">
      <c r="N443" s="180"/>
      <c r="O443" s="180"/>
    </row>
    <row r="444" ht="15.75" customHeight="1">
      <c r="N444" s="180"/>
      <c r="O444" s="180"/>
    </row>
    <row r="445" ht="15.75" customHeight="1">
      <c r="N445" s="180"/>
      <c r="O445" s="180"/>
    </row>
    <row r="446" ht="15.75" customHeight="1">
      <c r="N446" s="180"/>
      <c r="O446" s="180"/>
    </row>
    <row r="447" ht="15.75" customHeight="1">
      <c r="N447" s="180"/>
      <c r="O447" s="180"/>
    </row>
    <row r="448" ht="15.75" customHeight="1">
      <c r="N448" s="180"/>
      <c r="O448" s="180"/>
    </row>
    <row r="449" ht="15.75" customHeight="1">
      <c r="N449" s="180"/>
      <c r="O449" s="180"/>
    </row>
    <row r="450" ht="15.75" customHeight="1">
      <c r="N450" s="180"/>
      <c r="O450" s="180"/>
    </row>
    <row r="451" ht="15.75" customHeight="1">
      <c r="N451" s="180"/>
      <c r="O451" s="180"/>
    </row>
    <row r="452" ht="15.75" customHeight="1">
      <c r="N452" s="180"/>
      <c r="O452" s="180"/>
    </row>
    <row r="453" ht="15.75" customHeight="1">
      <c r="N453" s="180"/>
      <c r="O453" s="180"/>
    </row>
    <row r="454" ht="15.75" customHeight="1">
      <c r="N454" s="180"/>
      <c r="O454" s="180"/>
    </row>
    <row r="455" ht="15.75" customHeight="1">
      <c r="N455" s="180"/>
      <c r="O455" s="180"/>
    </row>
    <row r="456" ht="15.75" customHeight="1">
      <c r="N456" s="180"/>
      <c r="O456" s="180"/>
    </row>
    <row r="457" ht="15.75" customHeight="1">
      <c r="N457" s="180"/>
      <c r="O457" s="180"/>
    </row>
    <row r="458" ht="15.75" customHeight="1">
      <c r="N458" s="180"/>
      <c r="O458" s="180"/>
    </row>
    <row r="459" ht="15.75" customHeight="1">
      <c r="N459" s="180"/>
      <c r="O459" s="180"/>
    </row>
    <row r="460" ht="15.75" customHeight="1">
      <c r="N460" s="180"/>
      <c r="O460" s="180"/>
    </row>
    <row r="461" ht="15.75" customHeight="1">
      <c r="N461" s="180"/>
      <c r="O461" s="180"/>
    </row>
    <row r="462" ht="15.75" customHeight="1">
      <c r="N462" s="180"/>
      <c r="O462" s="180"/>
    </row>
    <row r="463" ht="15.75" customHeight="1">
      <c r="N463" s="180"/>
      <c r="O463" s="180"/>
    </row>
    <row r="464" ht="15.75" customHeight="1">
      <c r="N464" s="180"/>
      <c r="O464" s="180"/>
    </row>
    <row r="465" ht="15.75" customHeight="1">
      <c r="N465" s="180"/>
      <c r="O465" s="180"/>
    </row>
    <row r="466" ht="15.75" customHeight="1">
      <c r="N466" s="180"/>
      <c r="O466" s="180"/>
    </row>
    <row r="467" ht="15.75" customHeight="1">
      <c r="N467" s="180"/>
      <c r="O467" s="180"/>
    </row>
    <row r="468" ht="15.75" customHeight="1">
      <c r="N468" s="180"/>
      <c r="O468" s="180"/>
    </row>
    <row r="469" ht="15.75" customHeight="1">
      <c r="N469" s="180"/>
      <c r="O469" s="180"/>
    </row>
    <row r="470" ht="15.75" customHeight="1">
      <c r="N470" s="180"/>
      <c r="O470" s="180"/>
    </row>
    <row r="471" ht="15.75" customHeight="1">
      <c r="N471" s="180"/>
      <c r="O471" s="180"/>
    </row>
    <row r="472" ht="15.75" customHeight="1">
      <c r="N472" s="180"/>
      <c r="O472" s="180"/>
    </row>
    <row r="473" ht="15.75" customHeight="1">
      <c r="N473" s="180"/>
      <c r="O473" s="180"/>
    </row>
    <row r="474" ht="15.75" customHeight="1">
      <c r="N474" s="180"/>
      <c r="O474" s="180"/>
    </row>
    <row r="475" ht="15.75" customHeight="1">
      <c r="N475" s="180"/>
      <c r="O475" s="180"/>
    </row>
    <row r="476" ht="15.75" customHeight="1">
      <c r="N476" s="180"/>
      <c r="O476" s="180"/>
    </row>
    <row r="477" ht="15.75" customHeight="1">
      <c r="N477" s="180"/>
      <c r="O477" s="180"/>
    </row>
    <row r="478" ht="15.75" customHeight="1">
      <c r="N478" s="180"/>
      <c r="O478" s="180"/>
    </row>
    <row r="479" ht="15.75" customHeight="1">
      <c r="N479" s="180"/>
      <c r="O479" s="180"/>
    </row>
    <row r="480" ht="15.75" customHeight="1">
      <c r="N480" s="180"/>
      <c r="O480" s="180"/>
    </row>
    <row r="481" ht="15.75" customHeight="1">
      <c r="N481" s="180"/>
      <c r="O481" s="180"/>
    </row>
    <row r="482" ht="15.75" customHeight="1">
      <c r="N482" s="180"/>
      <c r="O482" s="180"/>
    </row>
    <row r="483" ht="15.75" customHeight="1">
      <c r="N483" s="180"/>
      <c r="O483" s="180"/>
    </row>
    <row r="484" ht="15.75" customHeight="1">
      <c r="N484" s="180"/>
      <c r="O484" s="180"/>
    </row>
    <row r="485" ht="15.75" customHeight="1">
      <c r="N485" s="180"/>
      <c r="O485" s="180"/>
    </row>
    <row r="486" ht="15.75" customHeight="1">
      <c r="N486" s="180"/>
      <c r="O486" s="180"/>
    </row>
    <row r="487" ht="15.75" customHeight="1">
      <c r="N487" s="180"/>
      <c r="O487" s="180"/>
    </row>
    <row r="488" ht="15.75" customHeight="1">
      <c r="N488" s="180"/>
      <c r="O488" s="180"/>
    </row>
    <row r="489" ht="15.75" customHeight="1">
      <c r="N489" s="180"/>
      <c r="O489" s="180"/>
    </row>
    <row r="490" ht="15.75" customHeight="1">
      <c r="N490" s="180"/>
      <c r="O490" s="180"/>
    </row>
    <row r="491" ht="15.75" customHeight="1">
      <c r="N491" s="180"/>
      <c r="O491" s="180"/>
    </row>
    <row r="492" ht="15.75" customHeight="1">
      <c r="N492" s="180"/>
      <c r="O492" s="180"/>
    </row>
    <row r="493" ht="15.75" customHeight="1">
      <c r="N493" s="180"/>
      <c r="O493" s="180"/>
    </row>
    <row r="494" ht="15.75" customHeight="1">
      <c r="N494" s="180"/>
      <c r="O494" s="180"/>
    </row>
    <row r="495" ht="15.75" customHeight="1">
      <c r="N495" s="180"/>
      <c r="O495" s="180"/>
    </row>
    <row r="496" ht="15.75" customHeight="1">
      <c r="N496" s="180"/>
      <c r="O496" s="180"/>
    </row>
    <row r="497" ht="15.75" customHeight="1">
      <c r="N497" s="180"/>
      <c r="O497" s="180"/>
    </row>
    <row r="498" ht="15.75" customHeight="1">
      <c r="N498" s="180"/>
      <c r="O498" s="180"/>
    </row>
    <row r="499" ht="15.75" customHeight="1">
      <c r="N499" s="180"/>
      <c r="O499" s="180"/>
    </row>
    <row r="500" ht="15.75" customHeight="1">
      <c r="N500" s="180"/>
      <c r="O500" s="180"/>
    </row>
    <row r="501" ht="15.75" customHeight="1">
      <c r="N501" s="180"/>
      <c r="O501" s="180"/>
    </row>
    <row r="502" ht="15.75" customHeight="1">
      <c r="N502" s="180"/>
      <c r="O502" s="180"/>
    </row>
    <row r="503" ht="15.75" customHeight="1">
      <c r="N503" s="180"/>
      <c r="O503" s="180"/>
    </row>
    <row r="504" ht="15.75" customHeight="1">
      <c r="N504" s="180"/>
      <c r="O504" s="180"/>
    </row>
    <row r="505" ht="15.75" customHeight="1">
      <c r="N505" s="180"/>
      <c r="O505" s="180"/>
    </row>
    <row r="506" ht="15.75" customHeight="1">
      <c r="N506" s="180"/>
      <c r="O506" s="180"/>
    </row>
    <row r="507" ht="15.75" customHeight="1">
      <c r="N507" s="180"/>
      <c r="O507" s="180"/>
    </row>
    <row r="508" ht="15.75" customHeight="1">
      <c r="N508" s="180"/>
      <c r="O508" s="180"/>
    </row>
    <row r="509" ht="15.75" customHeight="1">
      <c r="N509" s="180"/>
      <c r="O509" s="180"/>
    </row>
    <row r="510" ht="15.75" customHeight="1">
      <c r="N510" s="180"/>
      <c r="O510" s="180"/>
    </row>
    <row r="511" ht="15.75" customHeight="1">
      <c r="N511" s="180"/>
      <c r="O511" s="180"/>
    </row>
    <row r="512" ht="15.75" customHeight="1">
      <c r="N512" s="180"/>
      <c r="O512" s="180"/>
    </row>
    <row r="513" ht="15.75" customHeight="1">
      <c r="N513" s="180"/>
      <c r="O513" s="180"/>
    </row>
    <row r="514" ht="15.75" customHeight="1">
      <c r="N514" s="180"/>
      <c r="O514" s="180"/>
    </row>
    <row r="515" ht="15.75" customHeight="1">
      <c r="N515" s="180"/>
      <c r="O515" s="180"/>
    </row>
    <row r="516" ht="15.75" customHeight="1">
      <c r="N516" s="180"/>
      <c r="O516" s="180"/>
    </row>
    <row r="517" ht="15.75" customHeight="1">
      <c r="N517" s="180"/>
      <c r="O517" s="180"/>
    </row>
    <row r="518" ht="15.75" customHeight="1">
      <c r="N518" s="180"/>
      <c r="O518" s="180"/>
    </row>
    <row r="519" ht="15.75" customHeight="1">
      <c r="N519" s="180"/>
      <c r="O519" s="180"/>
    </row>
    <row r="520" ht="15.75" customHeight="1">
      <c r="N520" s="180"/>
      <c r="O520" s="180"/>
    </row>
    <row r="521" ht="15.75" customHeight="1">
      <c r="N521" s="180"/>
      <c r="O521" s="180"/>
    </row>
    <row r="522" ht="15.75" customHeight="1">
      <c r="N522" s="180"/>
      <c r="O522" s="180"/>
    </row>
    <row r="523" ht="15.75" customHeight="1">
      <c r="N523" s="180"/>
      <c r="O523" s="180"/>
    </row>
    <row r="524" ht="15.75" customHeight="1">
      <c r="N524" s="180"/>
      <c r="O524" s="180"/>
    </row>
    <row r="525" ht="15.75" customHeight="1">
      <c r="N525" s="180"/>
      <c r="O525" s="180"/>
    </row>
    <row r="526" ht="15.75" customHeight="1">
      <c r="N526" s="180"/>
      <c r="O526" s="180"/>
    </row>
    <row r="527" ht="15.75" customHeight="1">
      <c r="N527" s="180"/>
      <c r="O527" s="180"/>
    </row>
    <row r="528" ht="15.75" customHeight="1">
      <c r="N528" s="180"/>
      <c r="O528" s="180"/>
    </row>
    <row r="529" ht="15.75" customHeight="1">
      <c r="N529" s="180"/>
      <c r="O529" s="180"/>
    </row>
    <row r="530" ht="15.75" customHeight="1">
      <c r="N530" s="180"/>
      <c r="O530" s="180"/>
    </row>
    <row r="531" ht="15.75" customHeight="1">
      <c r="N531" s="180"/>
      <c r="O531" s="180"/>
    </row>
    <row r="532" ht="15.75" customHeight="1">
      <c r="N532" s="180"/>
      <c r="O532" s="180"/>
    </row>
    <row r="533" ht="15.75" customHeight="1">
      <c r="N533" s="180"/>
      <c r="O533" s="180"/>
    </row>
    <row r="534" ht="15.75" customHeight="1">
      <c r="N534" s="180"/>
      <c r="O534" s="180"/>
    </row>
    <row r="535" ht="15.75" customHeight="1">
      <c r="N535" s="180"/>
      <c r="O535" s="180"/>
    </row>
    <row r="536" ht="15.75" customHeight="1">
      <c r="N536" s="180"/>
      <c r="O536" s="180"/>
    </row>
    <row r="537" ht="15.75" customHeight="1">
      <c r="N537" s="180"/>
      <c r="O537" s="180"/>
    </row>
    <row r="538" ht="15.75" customHeight="1">
      <c r="N538" s="180"/>
      <c r="O538" s="180"/>
    </row>
    <row r="539" ht="15.75" customHeight="1">
      <c r="N539" s="180"/>
      <c r="O539" s="180"/>
    </row>
    <row r="540" ht="15.75" customHeight="1">
      <c r="N540" s="180"/>
      <c r="O540" s="180"/>
    </row>
    <row r="541" ht="15.75" customHeight="1">
      <c r="N541" s="180"/>
      <c r="O541" s="180"/>
    </row>
    <row r="542" ht="15.75" customHeight="1">
      <c r="N542" s="180"/>
      <c r="O542" s="180"/>
    </row>
    <row r="543" ht="15.75" customHeight="1">
      <c r="N543" s="180"/>
      <c r="O543" s="180"/>
    </row>
    <row r="544" ht="15.75" customHeight="1">
      <c r="N544" s="180"/>
      <c r="O544" s="180"/>
    </row>
    <row r="545" ht="15.75" customHeight="1">
      <c r="N545" s="180"/>
      <c r="O545" s="180"/>
    </row>
    <row r="546" ht="15.75" customHeight="1">
      <c r="N546" s="180"/>
      <c r="O546" s="180"/>
    </row>
    <row r="547" ht="15.75" customHeight="1">
      <c r="N547" s="180"/>
      <c r="O547" s="180"/>
    </row>
    <row r="548" ht="15.75" customHeight="1">
      <c r="N548" s="180"/>
      <c r="O548" s="180"/>
    </row>
    <row r="549" ht="15.75" customHeight="1">
      <c r="N549" s="180"/>
      <c r="O549" s="180"/>
    </row>
    <row r="550" ht="15.75" customHeight="1">
      <c r="N550" s="180"/>
      <c r="O550" s="180"/>
    </row>
    <row r="551" ht="15.75" customHeight="1">
      <c r="N551" s="180"/>
      <c r="O551" s="180"/>
    </row>
    <row r="552" ht="15.75" customHeight="1">
      <c r="N552" s="180"/>
      <c r="O552" s="180"/>
    </row>
    <row r="553" ht="15.75" customHeight="1">
      <c r="N553" s="180"/>
      <c r="O553" s="180"/>
    </row>
    <row r="554" ht="15.75" customHeight="1">
      <c r="N554" s="180"/>
      <c r="O554" s="180"/>
    </row>
    <row r="555" ht="15.75" customHeight="1">
      <c r="N555" s="180"/>
      <c r="O555" s="180"/>
    </row>
    <row r="556" ht="15.75" customHeight="1">
      <c r="N556" s="180"/>
      <c r="O556" s="180"/>
    </row>
    <row r="557" ht="15.75" customHeight="1">
      <c r="N557" s="180"/>
      <c r="O557" s="180"/>
    </row>
    <row r="558" ht="15.75" customHeight="1">
      <c r="N558" s="180"/>
      <c r="O558" s="180"/>
    </row>
    <row r="559" ht="15.75" customHeight="1">
      <c r="N559" s="180"/>
      <c r="O559" s="180"/>
    </row>
    <row r="560" ht="15.75" customHeight="1">
      <c r="N560" s="180"/>
      <c r="O560" s="180"/>
    </row>
    <row r="561" ht="15.75" customHeight="1">
      <c r="N561" s="180"/>
      <c r="O561" s="180"/>
    </row>
    <row r="562" ht="15.75" customHeight="1">
      <c r="N562" s="180"/>
      <c r="O562" s="180"/>
    </row>
    <row r="563" ht="15.75" customHeight="1">
      <c r="N563" s="180"/>
      <c r="O563" s="180"/>
    </row>
    <row r="564" ht="15.75" customHeight="1">
      <c r="N564" s="180"/>
      <c r="O564" s="180"/>
    </row>
    <row r="565" ht="15.75" customHeight="1">
      <c r="N565" s="180"/>
      <c r="O565" s="180"/>
    </row>
    <row r="566" ht="15.75" customHeight="1">
      <c r="N566" s="180"/>
      <c r="O566" s="180"/>
    </row>
    <row r="567" ht="15.75" customHeight="1">
      <c r="N567" s="180"/>
      <c r="O567" s="180"/>
    </row>
    <row r="568" ht="15.75" customHeight="1">
      <c r="N568" s="180"/>
      <c r="O568" s="180"/>
    </row>
    <row r="569" ht="15.75" customHeight="1">
      <c r="N569" s="180"/>
      <c r="O569" s="180"/>
    </row>
    <row r="570" ht="15.75" customHeight="1">
      <c r="N570" s="180"/>
      <c r="O570" s="180"/>
    </row>
    <row r="571" ht="15.75" customHeight="1">
      <c r="N571" s="180"/>
      <c r="O571" s="180"/>
    </row>
    <row r="572" ht="15.75" customHeight="1">
      <c r="N572" s="180"/>
      <c r="O572" s="180"/>
    </row>
    <row r="573" ht="15.75" customHeight="1">
      <c r="N573" s="180"/>
      <c r="O573" s="180"/>
    </row>
    <row r="574" ht="15.75" customHeight="1">
      <c r="N574" s="180"/>
      <c r="O574" s="180"/>
    </row>
    <row r="575" ht="15.75" customHeight="1">
      <c r="N575" s="180"/>
      <c r="O575" s="180"/>
    </row>
    <row r="576" ht="15.75" customHeight="1">
      <c r="N576" s="180"/>
      <c r="O576" s="180"/>
    </row>
    <row r="577" ht="15.75" customHeight="1">
      <c r="N577" s="180"/>
      <c r="O577" s="180"/>
    </row>
    <row r="578" ht="15.75" customHeight="1">
      <c r="N578" s="180"/>
      <c r="O578" s="180"/>
    </row>
    <row r="579" ht="15.75" customHeight="1">
      <c r="N579" s="180"/>
      <c r="O579" s="180"/>
    </row>
    <row r="580" ht="15.75" customHeight="1">
      <c r="N580" s="180"/>
      <c r="O580" s="180"/>
    </row>
    <row r="581" ht="15.75" customHeight="1">
      <c r="N581" s="180"/>
      <c r="O581" s="180"/>
    </row>
    <row r="582" ht="15.75" customHeight="1">
      <c r="N582" s="180"/>
      <c r="O582" s="180"/>
    </row>
    <row r="583" ht="15.75" customHeight="1">
      <c r="N583" s="180"/>
      <c r="O583" s="180"/>
    </row>
    <row r="584" ht="15.75" customHeight="1">
      <c r="N584" s="180"/>
      <c r="O584" s="180"/>
    </row>
    <row r="585" ht="15.75" customHeight="1">
      <c r="N585" s="180"/>
      <c r="O585" s="180"/>
    </row>
    <row r="586" ht="15.75" customHeight="1">
      <c r="N586" s="180"/>
      <c r="O586" s="180"/>
    </row>
    <row r="587" ht="15.75" customHeight="1">
      <c r="N587" s="180"/>
      <c r="O587" s="180"/>
    </row>
    <row r="588" ht="15.75" customHeight="1">
      <c r="N588" s="180"/>
      <c r="O588" s="180"/>
    </row>
    <row r="589" ht="15.75" customHeight="1">
      <c r="N589" s="180"/>
      <c r="O589" s="180"/>
    </row>
    <row r="590" ht="15.75" customHeight="1">
      <c r="N590" s="180"/>
      <c r="O590" s="180"/>
    </row>
    <row r="591" ht="15.75" customHeight="1">
      <c r="N591" s="180"/>
      <c r="O591" s="180"/>
    </row>
    <row r="592" ht="15.75" customHeight="1">
      <c r="N592" s="180"/>
      <c r="O592" s="180"/>
    </row>
    <row r="593" ht="15.75" customHeight="1">
      <c r="N593" s="180"/>
      <c r="O593" s="180"/>
    </row>
    <row r="594" ht="15.75" customHeight="1">
      <c r="N594" s="180"/>
      <c r="O594" s="180"/>
    </row>
    <row r="595" ht="15.75" customHeight="1">
      <c r="N595" s="180"/>
      <c r="O595" s="180"/>
    </row>
    <row r="596" ht="15.75" customHeight="1">
      <c r="N596" s="180"/>
      <c r="O596" s="180"/>
    </row>
    <row r="597" ht="15.75" customHeight="1">
      <c r="N597" s="180"/>
      <c r="O597" s="180"/>
    </row>
    <row r="598" ht="15.75" customHeight="1">
      <c r="N598" s="180"/>
      <c r="O598" s="180"/>
    </row>
    <row r="599" ht="15.75" customHeight="1">
      <c r="N599" s="180"/>
      <c r="O599" s="180"/>
    </row>
    <row r="600" ht="15.75" customHeight="1">
      <c r="N600" s="180"/>
      <c r="O600" s="180"/>
    </row>
    <row r="601" ht="15.75" customHeight="1">
      <c r="N601" s="180"/>
      <c r="O601" s="180"/>
    </row>
    <row r="602" ht="15.75" customHeight="1">
      <c r="N602" s="180"/>
      <c r="O602" s="180"/>
    </row>
    <row r="603" ht="15.75" customHeight="1">
      <c r="N603" s="180"/>
      <c r="O603" s="180"/>
    </row>
    <row r="604" ht="15.75" customHeight="1">
      <c r="N604" s="180"/>
      <c r="O604" s="180"/>
    </row>
    <row r="605" ht="15.75" customHeight="1">
      <c r="N605" s="180"/>
      <c r="O605" s="180"/>
    </row>
    <row r="606" ht="15.75" customHeight="1">
      <c r="N606" s="180"/>
      <c r="O606" s="180"/>
    </row>
    <row r="607" ht="15.75" customHeight="1">
      <c r="N607" s="180"/>
      <c r="O607" s="180"/>
    </row>
    <row r="608" ht="15.75" customHeight="1">
      <c r="N608" s="180"/>
      <c r="O608" s="180"/>
    </row>
    <row r="609" ht="15.75" customHeight="1">
      <c r="N609" s="180"/>
      <c r="O609" s="180"/>
    </row>
    <row r="610" ht="15.75" customHeight="1">
      <c r="N610" s="180"/>
      <c r="O610" s="180"/>
    </row>
    <row r="611" ht="15.75" customHeight="1">
      <c r="N611" s="180"/>
      <c r="O611" s="180"/>
    </row>
    <row r="612" ht="15.75" customHeight="1">
      <c r="N612" s="180"/>
      <c r="O612" s="180"/>
    </row>
    <row r="613" ht="15.75" customHeight="1">
      <c r="N613" s="180"/>
      <c r="O613" s="180"/>
    </row>
    <row r="614" ht="15.75" customHeight="1">
      <c r="N614" s="180"/>
      <c r="O614" s="180"/>
    </row>
    <row r="615" ht="15.75" customHeight="1">
      <c r="N615" s="180"/>
      <c r="O615" s="180"/>
    </row>
    <row r="616" ht="15.75" customHeight="1">
      <c r="N616" s="180"/>
      <c r="O616" s="180"/>
    </row>
    <row r="617" ht="15.75" customHeight="1">
      <c r="N617" s="180"/>
      <c r="O617" s="180"/>
    </row>
    <row r="618" ht="15.75" customHeight="1">
      <c r="N618" s="180"/>
      <c r="O618" s="180"/>
    </row>
    <row r="619" ht="15.75" customHeight="1">
      <c r="N619" s="180"/>
      <c r="O619" s="180"/>
    </row>
    <row r="620" ht="15.75" customHeight="1">
      <c r="N620" s="180"/>
      <c r="O620" s="180"/>
    </row>
    <row r="621" ht="15.75" customHeight="1">
      <c r="N621" s="180"/>
      <c r="O621" s="180"/>
    </row>
    <row r="622" ht="15.75" customHeight="1">
      <c r="N622" s="180"/>
      <c r="O622" s="180"/>
    </row>
    <row r="623" ht="15.75" customHeight="1">
      <c r="N623" s="180"/>
      <c r="O623" s="180"/>
    </row>
    <row r="624" ht="15.75" customHeight="1">
      <c r="N624" s="180"/>
      <c r="O624" s="180"/>
    </row>
    <row r="625" ht="15.75" customHeight="1">
      <c r="N625" s="180"/>
      <c r="O625" s="180"/>
    </row>
    <row r="626" ht="15.75" customHeight="1">
      <c r="N626" s="180"/>
      <c r="O626" s="180"/>
    </row>
    <row r="627" ht="15.75" customHeight="1">
      <c r="N627" s="180"/>
      <c r="O627" s="180"/>
    </row>
    <row r="628" ht="15.75" customHeight="1">
      <c r="N628" s="180"/>
      <c r="O628" s="180"/>
    </row>
    <row r="629" ht="15.75" customHeight="1">
      <c r="N629" s="180"/>
      <c r="O629" s="180"/>
    </row>
    <row r="630" ht="15.75" customHeight="1">
      <c r="N630" s="180"/>
      <c r="O630" s="180"/>
    </row>
    <row r="631" ht="15.75" customHeight="1">
      <c r="N631" s="180"/>
      <c r="O631" s="180"/>
    </row>
    <row r="632" ht="15.75" customHeight="1">
      <c r="N632" s="180"/>
      <c r="O632" s="180"/>
    </row>
    <row r="633" ht="15.75" customHeight="1">
      <c r="N633" s="180"/>
      <c r="O633" s="180"/>
    </row>
    <row r="634" ht="15.75" customHeight="1">
      <c r="N634" s="180"/>
      <c r="O634" s="180"/>
    </row>
    <row r="635" ht="15.75" customHeight="1">
      <c r="N635" s="180"/>
      <c r="O635" s="180"/>
    </row>
    <row r="636" ht="15.75" customHeight="1">
      <c r="N636" s="180"/>
      <c r="O636" s="180"/>
    </row>
    <row r="637" ht="15.75" customHeight="1">
      <c r="N637" s="180"/>
      <c r="O637" s="180"/>
    </row>
    <row r="638" ht="15.75" customHeight="1">
      <c r="N638" s="180"/>
      <c r="O638" s="180"/>
    </row>
    <row r="639" ht="15.75" customHeight="1">
      <c r="N639" s="180"/>
      <c r="O639" s="180"/>
    </row>
    <row r="640" ht="15.75" customHeight="1">
      <c r="N640" s="180"/>
      <c r="O640" s="180"/>
    </row>
    <row r="641" ht="15.75" customHeight="1">
      <c r="N641" s="180"/>
      <c r="O641" s="180"/>
    </row>
    <row r="642" ht="15.75" customHeight="1">
      <c r="N642" s="180"/>
      <c r="O642" s="180"/>
    </row>
    <row r="643" ht="15.75" customHeight="1">
      <c r="N643" s="180"/>
      <c r="O643" s="180"/>
    </row>
    <row r="644" ht="15.75" customHeight="1">
      <c r="N644" s="180"/>
      <c r="O644" s="180"/>
    </row>
    <row r="645" ht="15.75" customHeight="1">
      <c r="N645" s="180"/>
      <c r="O645" s="180"/>
    </row>
    <row r="646" ht="15.75" customHeight="1">
      <c r="N646" s="180"/>
      <c r="O646" s="180"/>
    </row>
    <row r="647" ht="15.75" customHeight="1">
      <c r="N647" s="180"/>
      <c r="O647" s="180"/>
    </row>
    <row r="648" ht="15.75" customHeight="1">
      <c r="N648" s="180"/>
      <c r="O648" s="180"/>
    </row>
    <row r="649" ht="15.75" customHeight="1">
      <c r="N649" s="180"/>
      <c r="O649" s="180"/>
    </row>
    <row r="650" ht="15.75" customHeight="1">
      <c r="N650" s="180"/>
      <c r="O650" s="180"/>
    </row>
    <row r="651" ht="15.75" customHeight="1">
      <c r="N651" s="180"/>
      <c r="O651" s="180"/>
    </row>
    <row r="652" ht="15.75" customHeight="1">
      <c r="N652" s="180"/>
      <c r="O652" s="180"/>
    </row>
    <row r="653" ht="15.75" customHeight="1">
      <c r="N653" s="180"/>
      <c r="O653" s="180"/>
    </row>
    <row r="654" ht="15.75" customHeight="1">
      <c r="N654" s="180"/>
      <c r="O654" s="180"/>
    </row>
    <row r="655" ht="15.75" customHeight="1">
      <c r="N655" s="180"/>
      <c r="O655" s="180"/>
    </row>
    <row r="656" ht="15.75" customHeight="1">
      <c r="N656" s="180"/>
      <c r="O656" s="180"/>
    </row>
    <row r="657" ht="15.75" customHeight="1">
      <c r="N657" s="180"/>
      <c r="O657" s="180"/>
    </row>
    <row r="658" ht="15.75" customHeight="1">
      <c r="N658" s="180"/>
      <c r="O658" s="180"/>
    </row>
    <row r="659" ht="15.75" customHeight="1">
      <c r="N659" s="180"/>
      <c r="O659" s="180"/>
    </row>
    <row r="660" ht="15.75" customHeight="1">
      <c r="N660" s="180"/>
      <c r="O660" s="180"/>
    </row>
    <row r="661" ht="15.75" customHeight="1">
      <c r="N661" s="180"/>
      <c r="O661" s="180"/>
    </row>
    <row r="662" ht="15.75" customHeight="1">
      <c r="N662" s="180"/>
      <c r="O662" s="180"/>
    </row>
    <row r="663" ht="15.75" customHeight="1">
      <c r="N663" s="180"/>
      <c r="O663" s="180"/>
    </row>
    <row r="664" ht="15.75" customHeight="1">
      <c r="N664" s="180"/>
      <c r="O664" s="180"/>
    </row>
    <row r="665" ht="15.75" customHeight="1">
      <c r="N665" s="180"/>
      <c r="O665" s="180"/>
    </row>
    <row r="666" ht="15.75" customHeight="1">
      <c r="N666" s="180"/>
      <c r="O666" s="180"/>
    </row>
    <row r="667" ht="15.75" customHeight="1">
      <c r="N667" s="180"/>
      <c r="O667" s="180"/>
    </row>
    <row r="668" ht="15.75" customHeight="1">
      <c r="N668" s="180"/>
      <c r="O668" s="180"/>
    </row>
    <row r="669" ht="15.75" customHeight="1">
      <c r="N669" s="180"/>
      <c r="O669" s="180"/>
    </row>
    <row r="670" ht="15.75" customHeight="1">
      <c r="N670" s="180"/>
      <c r="O670" s="180"/>
    </row>
    <row r="671" ht="15.75" customHeight="1">
      <c r="N671" s="180"/>
      <c r="O671" s="180"/>
    </row>
    <row r="672" ht="15.75" customHeight="1">
      <c r="N672" s="180"/>
      <c r="O672" s="180"/>
    </row>
    <row r="673" ht="15.75" customHeight="1">
      <c r="N673" s="180"/>
      <c r="O673" s="180"/>
    </row>
    <row r="674" ht="15.75" customHeight="1">
      <c r="N674" s="180"/>
      <c r="O674" s="180"/>
    </row>
    <row r="675" ht="15.75" customHeight="1">
      <c r="N675" s="180"/>
      <c r="O675" s="180"/>
    </row>
    <row r="676" ht="15.75" customHeight="1">
      <c r="N676" s="180"/>
      <c r="O676" s="180"/>
    </row>
    <row r="677" ht="15.75" customHeight="1">
      <c r="N677" s="180"/>
      <c r="O677" s="180"/>
    </row>
    <row r="678" ht="15.75" customHeight="1">
      <c r="N678" s="180"/>
      <c r="O678" s="180"/>
    </row>
    <row r="679" ht="15.75" customHeight="1">
      <c r="N679" s="180"/>
      <c r="O679" s="180"/>
    </row>
    <row r="680" ht="15.75" customHeight="1">
      <c r="N680" s="180"/>
      <c r="O680" s="180"/>
    </row>
    <row r="681" ht="15.75" customHeight="1">
      <c r="N681" s="180"/>
      <c r="O681" s="180"/>
    </row>
    <row r="682" ht="15.75" customHeight="1">
      <c r="N682" s="180"/>
      <c r="O682" s="180"/>
    </row>
    <row r="683" ht="15.75" customHeight="1">
      <c r="N683" s="180"/>
      <c r="O683" s="180"/>
    </row>
    <row r="684" ht="15.75" customHeight="1">
      <c r="N684" s="180"/>
      <c r="O684" s="180"/>
    </row>
    <row r="685" ht="15.75" customHeight="1">
      <c r="N685" s="180"/>
      <c r="O685" s="180"/>
    </row>
    <row r="686" ht="15.75" customHeight="1">
      <c r="N686" s="180"/>
      <c r="O686" s="180"/>
    </row>
    <row r="687" ht="15.75" customHeight="1">
      <c r="N687" s="180"/>
      <c r="O687" s="180"/>
    </row>
    <row r="688" ht="15.75" customHeight="1">
      <c r="N688" s="180"/>
      <c r="O688" s="180"/>
    </row>
    <row r="689" ht="15.75" customHeight="1">
      <c r="N689" s="180"/>
      <c r="O689" s="180"/>
    </row>
    <row r="690" ht="15.75" customHeight="1">
      <c r="N690" s="180"/>
      <c r="O690" s="180"/>
    </row>
    <row r="691" ht="15.75" customHeight="1">
      <c r="N691" s="180"/>
      <c r="O691" s="180"/>
    </row>
    <row r="692" ht="15.75" customHeight="1">
      <c r="N692" s="180"/>
      <c r="O692" s="180"/>
    </row>
    <row r="693" ht="15.75" customHeight="1">
      <c r="N693" s="180"/>
      <c r="O693" s="180"/>
    </row>
    <row r="694" ht="15.75" customHeight="1">
      <c r="N694" s="180"/>
      <c r="O694" s="180"/>
    </row>
    <row r="695" ht="15.75" customHeight="1">
      <c r="N695" s="180"/>
      <c r="O695" s="180"/>
    </row>
    <row r="696" ht="15.75" customHeight="1">
      <c r="N696" s="180"/>
      <c r="O696" s="180"/>
    </row>
    <row r="697" ht="15.75" customHeight="1">
      <c r="N697" s="180"/>
      <c r="O697" s="180"/>
    </row>
    <row r="698" ht="15.75" customHeight="1">
      <c r="N698" s="180"/>
      <c r="O698" s="180"/>
    </row>
    <row r="699" ht="15.75" customHeight="1">
      <c r="N699" s="180"/>
      <c r="O699" s="180"/>
    </row>
    <row r="700" ht="15.75" customHeight="1">
      <c r="N700" s="180"/>
      <c r="O700" s="180"/>
    </row>
    <row r="701" ht="15.75" customHeight="1">
      <c r="N701" s="180"/>
      <c r="O701" s="180"/>
    </row>
    <row r="702" ht="15.75" customHeight="1">
      <c r="N702" s="180"/>
      <c r="O702" s="180"/>
    </row>
    <row r="703" ht="15.75" customHeight="1">
      <c r="N703" s="180"/>
      <c r="O703" s="180"/>
    </row>
    <row r="704" ht="15.75" customHeight="1">
      <c r="N704" s="180"/>
      <c r="O704" s="180"/>
    </row>
    <row r="705" ht="15.75" customHeight="1">
      <c r="N705" s="180"/>
      <c r="O705" s="180"/>
    </row>
    <row r="706" ht="15.75" customHeight="1">
      <c r="N706" s="180"/>
      <c r="O706" s="180"/>
    </row>
    <row r="707" ht="15.75" customHeight="1">
      <c r="N707" s="180"/>
      <c r="O707" s="180"/>
    </row>
    <row r="708" ht="15.75" customHeight="1">
      <c r="N708" s="180"/>
      <c r="O708" s="180"/>
    </row>
    <row r="709" ht="15.75" customHeight="1">
      <c r="N709" s="180"/>
      <c r="O709" s="180"/>
    </row>
    <row r="710" ht="15.75" customHeight="1">
      <c r="N710" s="180"/>
      <c r="O710" s="180"/>
    </row>
    <row r="711" ht="15.75" customHeight="1">
      <c r="N711" s="180"/>
      <c r="O711" s="180"/>
    </row>
    <row r="712" ht="15.75" customHeight="1">
      <c r="N712" s="180"/>
      <c r="O712" s="180"/>
    </row>
    <row r="713" ht="15.75" customHeight="1">
      <c r="N713" s="180"/>
      <c r="O713" s="180"/>
    </row>
    <row r="714" ht="15.75" customHeight="1">
      <c r="N714" s="180"/>
      <c r="O714" s="180"/>
    </row>
    <row r="715" ht="15.75" customHeight="1">
      <c r="N715" s="180"/>
      <c r="O715" s="180"/>
    </row>
    <row r="716" ht="15.75" customHeight="1">
      <c r="N716" s="180"/>
      <c r="O716" s="180"/>
    </row>
    <row r="717" ht="15.75" customHeight="1">
      <c r="N717" s="180"/>
      <c r="O717" s="180"/>
    </row>
    <row r="718" ht="15.75" customHeight="1">
      <c r="N718" s="180"/>
      <c r="O718" s="180"/>
    </row>
    <row r="719" ht="15.75" customHeight="1">
      <c r="N719" s="180"/>
      <c r="O719" s="180"/>
    </row>
    <row r="720" ht="15.75" customHeight="1">
      <c r="N720" s="180"/>
      <c r="O720" s="180"/>
    </row>
    <row r="721" ht="15.75" customHeight="1">
      <c r="N721" s="180"/>
      <c r="O721" s="180"/>
    </row>
    <row r="722" ht="15.75" customHeight="1">
      <c r="N722" s="180"/>
      <c r="O722" s="180"/>
    </row>
    <row r="723" ht="15.75" customHeight="1">
      <c r="N723" s="180"/>
      <c r="O723" s="180"/>
    </row>
    <row r="724" ht="15.75" customHeight="1">
      <c r="N724" s="180"/>
      <c r="O724" s="180"/>
    </row>
    <row r="725" ht="15.75" customHeight="1">
      <c r="N725" s="180"/>
      <c r="O725" s="180"/>
    </row>
    <row r="726" ht="15.75" customHeight="1">
      <c r="N726" s="180"/>
      <c r="O726" s="180"/>
    </row>
    <row r="727" ht="15.75" customHeight="1">
      <c r="N727" s="180"/>
      <c r="O727" s="180"/>
    </row>
    <row r="728" ht="15.75" customHeight="1">
      <c r="N728" s="180"/>
      <c r="O728" s="180"/>
    </row>
    <row r="729" ht="15.75" customHeight="1">
      <c r="N729" s="180"/>
      <c r="O729" s="180"/>
    </row>
    <row r="730" ht="15.75" customHeight="1">
      <c r="N730" s="180"/>
      <c r="O730" s="180"/>
    </row>
    <row r="731" ht="15.75" customHeight="1">
      <c r="N731" s="180"/>
      <c r="O731" s="180"/>
    </row>
    <row r="732" ht="15.75" customHeight="1">
      <c r="N732" s="180"/>
      <c r="O732" s="180"/>
    </row>
    <row r="733" ht="15.75" customHeight="1">
      <c r="N733" s="180"/>
      <c r="O733" s="180"/>
    </row>
    <row r="734" ht="15.75" customHeight="1">
      <c r="N734" s="180"/>
      <c r="O734" s="180"/>
    </row>
    <row r="735" ht="15.75" customHeight="1">
      <c r="N735" s="180"/>
      <c r="O735" s="180"/>
    </row>
    <row r="736" ht="15.75" customHeight="1">
      <c r="N736" s="180"/>
      <c r="O736" s="180"/>
    </row>
    <row r="737" ht="15.75" customHeight="1">
      <c r="N737" s="180"/>
      <c r="O737" s="180"/>
    </row>
    <row r="738" ht="15.75" customHeight="1">
      <c r="N738" s="180"/>
      <c r="O738" s="180"/>
    </row>
    <row r="739" ht="15.75" customHeight="1">
      <c r="N739" s="180"/>
      <c r="O739" s="180"/>
    </row>
    <row r="740" ht="15.75" customHeight="1">
      <c r="N740" s="180"/>
      <c r="O740" s="180"/>
    </row>
    <row r="741" ht="15.75" customHeight="1">
      <c r="N741" s="180"/>
      <c r="O741" s="180"/>
    </row>
    <row r="742" ht="15.75" customHeight="1">
      <c r="N742" s="180"/>
      <c r="O742" s="180"/>
    </row>
    <row r="743" ht="15.75" customHeight="1">
      <c r="N743" s="180"/>
      <c r="O743" s="180"/>
    </row>
    <row r="744" ht="15.75" customHeight="1">
      <c r="N744" s="180"/>
      <c r="O744" s="180"/>
    </row>
    <row r="745" ht="15.75" customHeight="1">
      <c r="N745" s="180"/>
      <c r="O745" s="180"/>
    </row>
    <row r="746" ht="15.75" customHeight="1">
      <c r="N746" s="180"/>
      <c r="O746" s="180"/>
    </row>
    <row r="747" ht="15.75" customHeight="1">
      <c r="N747" s="180"/>
      <c r="O747" s="180"/>
    </row>
    <row r="748" ht="15.75" customHeight="1">
      <c r="N748" s="180"/>
      <c r="O748" s="180"/>
    </row>
    <row r="749" ht="15.75" customHeight="1">
      <c r="N749" s="180"/>
      <c r="O749" s="180"/>
    </row>
    <row r="750" ht="15.75" customHeight="1">
      <c r="N750" s="180"/>
      <c r="O750" s="180"/>
    </row>
    <row r="751" ht="15.75" customHeight="1">
      <c r="N751" s="180"/>
      <c r="O751" s="180"/>
    </row>
    <row r="752" ht="15.75" customHeight="1">
      <c r="N752" s="180"/>
      <c r="O752" s="180"/>
    </row>
    <row r="753" ht="15.75" customHeight="1">
      <c r="N753" s="180"/>
      <c r="O753" s="180"/>
    </row>
    <row r="754" ht="15.75" customHeight="1">
      <c r="N754" s="180"/>
      <c r="O754" s="180"/>
    </row>
    <row r="755" ht="15.75" customHeight="1">
      <c r="N755" s="180"/>
      <c r="O755" s="180"/>
    </row>
    <row r="756" ht="15.75" customHeight="1">
      <c r="N756" s="180"/>
      <c r="O756" s="180"/>
    </row>
    <row r="757" ht="15.75" customHeight="1">
      <c r="N757" s="180"/>
      <c r="O757" s="180"/>
    </row>
    <row r="758" ht="15.75" customHeight="1">
      <c r="N758" s="180"/>
      <c r="O758" s="180"/>
    </row>
    <row r="759" ht="15.75" customHeight="1">
      <c r="N759" s="180"/>
      <c r="O759" s="180"/>
    </row>
    <row r="760" ht="15.75" customHeight="1">
      <c r="N760" s="180"/>
      <c r="O760" s="180"/>
    </row>
    <row r="761" ht="15.75" customHeight="1">
      <c r="N761" s="180"/>
      <c r="O761" s="180"/>
    </row>
    <row r="762" ht="15.75" customHeight="1">
      <c r="N762" s="180"/>
      <c r="O762" s="180"/>
    </row>
    <row r="763" ht="15.75" customHeight="1">
      <c r="N763" s="180"/>
      <c r="O763" s="180"/>
    </row>
    <row r="764" ht="15.75" customHeight="1">
      <c r="N764" s="180"/>
      <c r="O764" s="180"/>
    </row>
    <row r="765" ht="15.75" customHeight="1">
      <c r="N765" s="180"/>
      <c r="O765" s="180"/>
    </row>
    <row r="766" ht="15.75" customHeight="1">
      <c r="N766" s="180"/>
      <c r="O766" s="180"/>
    </row>
    <row r="767" ht="15.75" customHeight="1">
      <c r="N767" s="180"/>
      <c r="O767" s="180"/>
    </row>
    <row r="768" ht="15.75" customHeight="1">
      <c r="N768" s="180"/>
      <c r="O768" s="180"/>
    </row>
    <row r="769" ht="15.75" customHeight="1">
      <c r="N769" s="180"/>
      <c r="O769" s="180"/>
    </row>
    <row r="770" ht="15.75" customHeight="1">
      <c r="N770" s="180"/>
      <c r="O770" s="180"/>
    </row>
    <row r="771" ht="15.75" customHeight="1">
      <c r="N771" s="180"/>
      <c r="O771" s="180"/>
    </row>
    <row r="772" ht="15.75" customHeight="1">
      <c r="N772" s="180"/>
      <c r="O772" s="180"/>
    </row>
    <row r="773" ht="15.75" customHeight="1">
      <c r="N773" s="180"/>
      <c r="O773" s="180"/>
    </row>
    <row r="774" ht="15.75" customHeight="1">
      <c r="N774" s="180"/>
      <c r="O774" s="180"/>
    </row>
    <row r="775" ht="15.75" customHeight="1">
      <c r="N775" s="180"/>
      <c r="O775" s="180"/>
    </row>
    <row r="776" ht="15.75" customHeight="1">
      <c r="N776" s="180"/>
      <c r="O776" s="180"/>
    </row>
    <row r="777" ht="15.75" customHeight="1">
      <c r="N777" s="180"/>
      <c r="O777" s="180"/>
    </row>
    <row r="778" ht="15.75" customHeight="1">
      <c r="N778" s="180"/>
      <c r="O778" s="180"/>
    </row>
    <row r="779" ht="15.75" customHeight="1">
      <c r="N779" s="180"/>
      <c r="O779" s="180"/>
    </row>
    <row r="780" ht="15.75" customHeight="1">
      <c r="N780" s="180"/>
      <c r="O780" s="180"/>
    </row>
    <row r="781" ht="15.75" customHeight="1">
      <c r="N781" s="180"/>
      <c r="O781" s="180"/>
    </row>
    <row r="782" ht="15.75" customHeight="1">
      <c r="N782" s="180"/>
      <c r="O782" s="180"/>
    </row>
    <row r="783" ht="15.75" customHeight="1">
      <c r="N783" s="180"/>
      <c r="O783" s="180"/>
    </row>
    <row r="784" ht="15.75" customHeight="1">
      <c r="N784" s="180"/>
      <c r="O784" s="180"/>
    </row>
    <row r="785" ht="15.75" customHeight="1">
      <c r="N785" s="180"/>
      <c r="O785" s="180"/>
    </row>
    <row r="786" ht="15.75" customHeight="1">
      <c r="N786" s="180"/>
      <c r="O786" s="180"/>
    </row>
    <row r="787" ht="15.75" customHeight="1">
      <c r="N787" s="180"/>
      <c r="O787" s="180"/>
    </row>
    <row r="788" ht="15.75" customHeight="1">
      <c r="N788" s="180"/>
      <c r="O788" s="180"/>
    </row>
    <row r="789" ht="15.75" customHeight="1">
      <c r="N789" s="180"/>
      <c r="O789" s="180"/>
    </row>
    <row r="790" ht="15.75" customHeight="1">
      <c r="N790" s="180"/>
      <c r="O790" s="180"/>
    </row>
    <row r="791" ht="15.75" customHeight="1">
      <c r="N791" s="180"/>
      <c r="O791" s="180"/>
    </row>
    <row r="792" ht="15.75" customHeight="1">
      <c r="N792" s="180"/>
      <c r="O792" s="180"/>
    </row>
    <row r="793" ht="15.75" customHeight="1">
      <c r="N793" s="180"/>
      <c r="O793" s="180"/>
    </row>
    <row r="794" ht="15.75" customHeight="1">
      <c r="N794" s="180"/>
      <c r="O794" s="180"/>
    </row>
    <row r="795" ht="15.75" customHeight="1">
      <c r="N795" s="180"/>
      <c r="O795" s="180"/>
    </row>
    <row r="796" ht="15.75" customHeight="1">
      <c r="N796" s="180"/>
      <c r="O796" s="180"/>
    </row>
    <row r="797" ht="15.75" customHeight="1">
      <c r="N797" s="180"/>
      <c r="O797" s="180"/>
    </row>
    <row r="798" ht="15.75" customHeight="1">
      <c r="N798" s="180"/>
      <c r="O798" s="180"/>
    </row>
    <row r="799" ht="15.75" customHeight="1">
      <c r="N799" s="180"/>
      <c r="O799" s="180"/>
    </row>
    <row r="800" ht="15.75" customHeight="1">
      <c r="N800" s="180"/>
      <c r="O800" s="180"/>
    </row>
    <row r="801" ht="15.75" customHeight="1">
      <c r="N801" s="180"/>
      <c r="O801" s="180"/>
    </row>
    <row r="802" ht="15.75" customHeight="1">
      <c r="N802" s="180"/>
      <c r="O802" s="180"/>
    </row>
    <row r="803" ht="15.75" customHeight="1">
      <c r="N803" s="180"/>
      <c r="O803" s="180"/>
    </row>
    <row r="804" ht="15.75" customHeight="1">
      <c r="N804" s="180"/>
      <c r="O804" s="180"/>
    </row>
    <row r="805" ht="15.75" customHeight="1">
      <c r="N805" s="180"/>
      <c r="O805" s="180"/>
    </row>
    <row r="806" ht="15.75" customHeight="1">
      <c r="N806" s="180"/>
      <c r="O806" s="180"/>
    </row>
    <row r="807" ht="15.75" customHeight="1">
      <c r="N807" s="180"/>
      <c r="O807" s="180"/>
    </row>
    <row r="808" ht="15.75" customHeight="1">
      <c r="N808" s="180"/>
      <c r="O808" s="180"/>
    </row>
    <row r="809" ht="15.75" customHeight="1">
      <c r="N809" s="180"/>
      <c r="O809" s="180"/>
    </row>
    <row r="810" ht="15.75" customHeight="1">
      <c r="N810" s="180"/>
      <c r="O810" s="180"/>
    </row>
    <row r="811" ht="15.75" customHeight="1">
      <c r="N811" s="180"/>
      <c r="O811" s="180"/>
    </row>
    <row r="812" ht="15.75" customHeight="1">
      <c r="N812" s="180"/>
      <c r="O812" s="180"/>
    </row>
    <row r="813" ht="15.75" customHeight="1">
      <c r="N813" s="180"/>
      <c r="O813" s="180"/>
    </row>
    <row r="814" ht="15.75" customHeight="1">
      <c r="N814" s="180"/>
      <c r="O814" s="180"/>
    </row>
    <row r="815" ht="15.75" customHeight="1">
      <c r="N815" s="180"/>
      <c r="O815" s="180"/>
    </row>
    <row r="816" ht="15.75" customHeight="1">
      <c r="N816" s="180"/>
      <c r="O816" s="180"/>
    </row>
    <row r="817" ht="15.75" customHeight="1">
      <c r="N817" s="180"/>
      <c r="O817" s="180"/>
    </row>
    <row r="818" ht="15.75" customHeight="1">
      <c r="N818" s="180"/>
      <c r="O818" s="180"/>
    </row>
    <row r="819" ht="15.75" customHeight="1">
      <c r="N819" s="180"/>
      <c r="O819" s="180"/>
    </row>
    <row r="820" ht="15.75" customHeight="1">
      <c r="N820" s="180"/>
      <c r="O820" s="180"/>
    </row>
    <row r="821" ht="15.75" customHeight="1">
      <c r="N821" s="180"/>
      <c r="O821" s="180"/>
    </row>
    <row r="822" ht="15.75" customHeight="1">
      <c r="N822" s="180"/>
      <c r="O822" s="180"/>
    </row>
    <row r="823" ht="15.75" customHeight="1">
      <c r="N823" s="180"/>
      <c r="O823" s="180"/>
    </row>
    <row r="824" ht="15.75" customHeight="1">
      <c r="N824" s="180"/>
      <c r="O824" s="180"/>
    </row>
    <row r="825" ht="15.75" customHeight="1">
      <c r="N825" s="180"/>
      <c r="O825" s="180"/>
    </row>
    <row r="826" ht="15.75" customHeight="1">
      <c r="N826" s="180"/>
      <c r="O826" s="180"/>
    </row>
    <row r="827" ht="15.75" customHeight="1">
      <c r="N827" s="180"/>
      <c r="O827" s="180"/>
    </row>
    <row r="828" ht="15.75" customHeight="1">
      <c r="N828" s="180"/>
      <c r="O828" s="180"/>
    </row>
    <row r="829" ht="15.75" customHeight="1">
      <c r="N829" s="180"/>
      <c r="O829" s="180"/>
    </row>
    <row r="830" ht="15.75" customHeight="1">
      <c r="N830" s="180"/>
      <c r="O830" s="180"/>
    </row>
    <row r="831" ht="15.75" customHeight="1">
      <c r="N831" s="180"/>
      <c r="O831" s="180"/>
    </row>
    <row r="832" ht="15.75" customHeight="1">
      <c r="N832" s="180"/>
      <c r="O832" s="180"/>
    </row>
    <row r="833" ht="15.75" customHeight="1">
      <c r="N833" s="180"/>
      <c r="O833" s="180"/>
    </row>
    <row r="834" ht="15.75" customHeight="1">
      <c r="N834" s="180"/>
      <c r="O834" s="180"/>
    </row>
    <row r="835" ht="15.75" customHeight="1">
      <c r="N835" s="180"/>
      <c r="O835" s="180"/>
    </row>
    <row r="836" ht="15.75" customHeight="1">
      <c r="N836" s="180"/>
      <c r="O836" s="180"/>
    </row>
    <row r="837" ht="15.75" customHeight="1">
      <c r="N837" s="180"/>
      <c r="O837" s="180"/>
    </row>
    <row r="838" ht="15.75" customHeight="1">
      <c r="N838" s="180"/>
      <c r="O838" s="180"/>
    </row>
    <row r="839" ht="15.75" customHeight="1">
      <c r="N839" s="180"/>
      <c r="O839" s="180"/>
    </row>
    <row r="840" ht="15.75" customHeight="1">
      <c r="N840" s="180"/>
      <c r="O840" s="180"/>
    </row>
    <row r="841" ht="15.75" customHeight="1">
      <c r="N841" s="180"/>
      <c r="O841" s="180"/>
    </row>
    <row r="842" ht="15.75" customHeight="1">
      <c r="N842" s="180"/>
      <c r="O842" s="180"/>
    </row>
    <row r="843" ht="15.75" customHeight="1">
      <c r="N843" s="180"/>
      <c r="O843" s="180"/>
    </row>
    <row r="844" ht="15.75" customHeight="1">
      <c r="N844" s="180"/>
      <c r="O844" s="180"/>
    </row>
    <row r="845" ht="15.75" customHeight="1">
      <c r="N845" s="180"/>
      <c r="O845" s="180"/>
    </row>
    <row r="846" ht="15.75" customHeight="1">
      <c r="N846" s="180"/>
      <c r="O846" s="180"/>
    </row>
    <row r="847" ht="15.75" customHeight="1">
      <c r="N847" s="180"/>
      <c r="O847" s="180"/>
    </row>
    <row r="848" ht="15.75" customHeight="1">
      <c r="N848" s="180"/>
      <c r="O848" s="180"/>
    </row>
    <row r="849" ht="15.75" customHeight="1">
      <c r="N849" s="180"/>
      <c r="O849" s="180"/>
    </row>
    <row r="850" ht="15.75" customHeight="1">
      <c r="N850" s="180"/>
      <c r="O850" s="180"/>
    </row>
    <row r="851" ht="15.75" customHeight="1">
      <c r="N851" s="180"/>
      <c r="O851" s="180"/>
    </row>
    <row r="852" ht="15.75" customHeight="1">
      <c r="N852" s="180"/>
      <c r="O852" s="180"/>
    </row>
    <row r="853" ht="15.75" customHeight="1">
      <c r="N853" s="180"/>
      <c r="O853" s="180"/>
    </row>
    <row r="854" ht="15.75" customHeight="1">
      <c r="N854" s="180"/>
      <c r="O854" s="180"/>
    </row>
    <row r="855" ht="15.75" customHeight="1">
      <c r="N855" s="180"/>
      <c r="O855" s="180"/>
    </row>
    <row r="856" ht="15.75" customHeight="1">
      <c r="N856" s="180"/>
      <c r="O856" s="180"/>
    </row>
    <row r="857" ht="15.75" customHeight="1">
      <c r="N857" s="180"/>
      <c r="O857" s="180"/>
    </row>
    <row r="858" ht="15.75" customHeight="1">
      <c r="N858" s="180"/>
      <c r="O858" s="180"/>
    </row>
    <row r="859" ht="15.75" customHeight="1">
      <c r="N859" s="180"/>
      <c r="O859" s="180"/>
    </row>
    <row r="860" ht="15.75" customHeight="1">
      <c r="N860" s="180"/>
      <c r="O860" s="180"/>
    </row>
    <row r="861" ht="15.75" customHeight="1">
      <c r="N861" s="180"/>
      <c r="O861" s="180"/>
    </row>
    <row r="862" ht="15.75" customHeight="1">
      <c r="N862" s="180"/>
      <c r="O862" s="180"/>
    </row>
    <row r="863" ht="15.75" customHeight="1">
      <c r="N863" s="180"/>
      <c r="O863" s="180"/>
    </row>
    <row r="864" ht="15.75" customHeight="1">
      <c r="N864" s="180"/>
      <c r="O864" s="180"/>
    </row>
    <row r="865" ht="15.75" customHeight="1">
      <c r="N865" s="180"/>
      <c r="O865" s="180"/>
    </row>
    <row r="866" ht="15.75" customHeight="1">
      <c r="N866" s="180"/>
      <c r="O866" s="180"/>
    </row>
    <row r="867" ht="15.75" customHeight="1">
      <c r="N867" s="180"/>
      <c r="O867" s="180"/>
    </row>
    <row r="868" ht="15.75" customHeight="1">
      <c r="N868" s="180"/>
      <c r="O868" s="180"/>
    </row>
    <row r="869" ht="15.75" customHeight="1">
      <c r="N869" s="180"/>
      <c r="O869" s="180"/>
    </row>
    <row r="870" ht="15.75" customHeight="1">
      <c r="N870" s="180"/>
      <c r="O870" s="180"/>
    </row>
    <row r="871" ht="15.75" customHeight="1">
      <c r="N871" s="180"/>
      <c r="O871" s="180"/>
    </row>
    <row r="872" ht="15.75" customHeight="1">
      <c r="N872" s="180"/>
      <c r="O872" s="180"/>
    </row>
    <row r="873" ht="15.75" customHeight="1">
      <c r="N873" s="180"/>
      <c r="O873" s="180"/>
    </row>
    <row r="874" ht="15.75" customHeight="1">
      <c r="N874" s="180"/>
      <c r="O874" s="180"/>
    </row>
    <row r="875" ht="15.75" customHeight="1">
      <c r="N875" s="180"/>
      <c r="O875" s="180"/>
    </row>
    <row r="876" ht="15.75" customHeight="1">
      <c r="N876" s="180"/>
      <c r="O876" s="180"/>
    </row>
    <row r="877" ht="15.75" customHeight="1">
      <c r="N877" s="180"/>
      <c r="O877" s="180"/>
    </row>
    <row r="878" ht="15.75" customHeight="1">
      <c r="N878" s="180"/>
      <c r="O878" s="180"/>
    </row>
    <row r="879" ht="15.75" customHeight="1">
      <c r="N879" s="180"/>
      <c r="O879" s="180"/>
    </row>
    <row r="880" ht="15.75" customHeight="1">
      <c r="N880" s="180"/>
      <c r="O880" s="180"/>
    </row>
    <row r="881" ht="15.75" customHeight="1">
      <c r="N881" s="180"/>
      <c r="O881" s="180"/>
    </row>
    <row r="882" ht="15.75" customHeight="1">
      <c r="N882" s="180"/>
      <c r="O882" s="180"/>
    </row>
    <row r="883" ht="15.75" customHeight="1">
      <c r="N883" s="180"/>
      <c r="O883" s="180"/>
    </row>
    <row r="884" ht="15.75" customHeight="1">
      <c r="N884" s="180"/>
      <c r="O884" s="180"/>
    </row>
    <row r="885" ht="15.75" customHeight="1">
      <c r="N885" s="180"/>
      <c r="O885" s="180"/>
    </row>
    <row r="886" ht="15.75" customHeight="1">
      <c r="N886" s="180"/>
      <c r="O886" s="180"/>
    </row>
    <row r="887" ht="15.75" customHeight="1">
      <c r="N887" s="180"/>
      <c r="O887" s="180"/>
    </row>
    <row r="888" ht="15.75" customHeight="1">
      <c r="N888" s="180"/>
      <c r="O888" s="180"/>
    </row>
    <row r="889" ht="15.75" customHeight="1">
      <c r="N889" s="180"/>
      <c r="O889" s="180"/>
    </row>
    <row r="890" ht="15.75" customHeight="1">
      <c r="N890" s="180"/>
      <c r="O890" s="180"/>
    </row>
    <row r="891" ht="15.75" customHeight="1">
      <c r="N891" s="180"/>
      <c r="O891" s="180"/>
    </row>
    <row r="892" ht="15.75" customHeight="1">
      <c r="N892" s="180"/>
      <c r="O892" s="180"/>
    </row>
    <row r="893" ht="15.75" customHeight="1">
      <c r="N893" s="180"/>
      <c r="O893" s="180"/>
    </row>
    <row r="894" ht="15.75" customHeight="1">
      <c r="N894" s="180"/>
      <c r="O894" s="180"/>
    </row>
    <row r="895" ht="15.75" customHeight="1">
      <c r="N895" s="180"/>
      <c r="O895" s="180"/>
    </row>
    <row r="896" ht="15.75" customHeight="1">
      <c r="N896" s="180"/>
      <c r="O896" s="180"/>
    </row>
    <row r="897" ht="15.75" customHeight="1">
      <c r="N897" s="180"/>
      <c r="O897" s="180"/>
    </row>
    <row r="898" ht="15.75" customHeight="1">
      <c r="N898" s="180"/>
      <c r="O898" s="180"/>
    </row>
    <row r="899" ht="15.75" customHeight="1">
      <c r="N899" s="180"/>
      <c r="O899" s="180"/>
    </row>
    <row r="900" ht="15.75" customHeight="1">
      <c r="N900" s="180"/>
      <c r="O900" s="180"/>
    </row>
    <row r="901" ht="15.75" customHeight="1">
      <c r="N901" s="180"/>
      <c r="O901" s="180"/>
    </row>
    <row r="902" ht="15.75" customHeight="1">
      <c r="N902" s="180"/>
      <c r="O902" s="180"/>
    </row>
    <row r="903" ht="15.75" customHeight="1">
      <c r="N903" s="180"/>
      <c r="O903" s="180"/>
    </row>
    <row r="904" ht="15.75" customHeight="1">
      <c r="N904" s="180"/>
      <c r="O904" s="180"/>
    </row>
    <row r="905" ht="15.75" customHeight="1">
      <c r="N905" s="180"/>
      <c r="O905" s="180"/>
    </row>
    <row r="906" ht="15.75" customHeight="1">
      <c r="N906" s="180"/>
      <c r="O906" s="180"/>
    </row>
    <row r="907" ht="15.75" customHeight="1">
      <c r="N907" s="180"/>
      <c r="O907" s="180"/>
    </row>
    <row r="908" ht="15.75" customHeight="1">
      <c r="N908" s="180"/>
      <c r="O908" s="180"/>
    </row>
    <row r="909" ht="15.75" customHeight="1">
      <c r="N909" s="180"/>
      <c r="O909" s="180"/>
    </row>
    <row r="910" ht="15.75" customHeight="1">
      <c r="N910" s="180"/>
      <c r="O910" s="180"/>
    </row>
    <row r="911" ht="15.75" customHeight="1">
      <c r="N911" s="180"/>
      <c r="O911" s="180"/>
    </row>
    <row r="912" ht="15.75" customHeight="1">
      <c r="N912" s="180"/>
      <c r="O912" s="180"/>
    </row>
    <row r="913" ht="15.75" customHeight="1">
      <c r="N913" s="180"/>
      <c r="O913" s="180"/>
    </row>
    <row r="914" ht="15.75" customHeight="1">
      <c r="N914" s="180"/>
      <c r="O914" s="180"/>
    </row>
    <row r="915" ht="15.75" customHeight="1">
      <c r="N915" s="180"/>
      <c r="O915" s="180"/>
    </row>
    <row r="916" ht="15.75" customHeight="1">
      <c r="N916" s="180"/>
      <c r="O916" s="180"/>
    </row>
    <row r="917" ht="15.75" customHeight="1">
      <c r="N917" s="180"/>
      <c r="O917" s="180"/>
    </row>
    <row r="918" ht="15.75" customHeight="1">
      <c r="N918" s="180"/>
      <c r="O918" s="180"/>
    </row>
    <row r="919" ht="15.75" customHeight="1">
      <c r="N919" s="180"/>
      <c r="O919" s="180"/>
    </row>
    <row r="920" ht="15.75" customHeight="1">
      <c r="N920" s="180"/>
      <c r="O920" s="180"/>
    </row>
    <row r="921" ht="15.75" customHeight="1">
      <c r="N921" s="180"/>
      <c r="O921" s="180"/>
    </row>
    <row r="922" ht="15.75" customHeight="1">
      <c r="N922" s="180"/>
      <c r="O922" s="180"/>
    </row>
    <row r="923" ht="15.75" customHeight="1">
      <c r="N923" s="180"/>
      <c r="O923" s="180"/>
    </row>
    <row r="924" ht="15.75" customHeight="1">
      <c r="N924" s="180"/>
      <c r="O924" s="180"/>
    </row>
    <row r="925" ht="15.75" customHeight="1">
      <c r="N925" s="180"/>
      <c r="O925" s="180"/>
    </row>
    <row r="926" ht="15.75" customHeight="1">
      <c r="N926" s="180"/>
      <c r="O926" s="180"/>
    </row>
    <row r="927" ht="15.75" customHeight="1">
      <c r="N927" s="180"/>
      <c r="O927" s="180"/>
    </row>
    <row r="928" ht="15.75" customHeight="1">
      <c r="N928" s="180"/>
      <c r="O928" s="180"/>
    </row>
    <row r="929" ht="15.75" customHeight="1">
      <c r="N929" s="180"/>
      <c r="O929" s="180"/>
    </row>
    <row r="930" ht="15.75" customHeight="1">
      <c r="N930" s="180"/>
      <c r="O930" s="180"/>
    </row>
    <row r="931" ht="15.75" customHeight="1">
      <c r="N931" s="180"/>
      <c r="O931" s="180"/>
    </row>
    <row r="932" ht="15.75" customHeight="1">
      <c r="N932" s="180"/>
      <c r="O932" s="180"/>
    </row>
    <row r="933" ht="15.75" customHeight="1">
      <c r="N933" s="180"/>
      <c r="O933" s="180"/>
    </row>
    <row r="934" ht="15.75" customHeight="1">
      <c r="N934" s="180"/>
      <c r="O934" s="180"/>
    </row>
    <row r="935" ht="15.75" customHeight="1">
      <c r="N935" s="180"/>
      <c r="O935" s="180"/>
    </row>
    <row r="936" ht="15.75" customHeight="1">
      <c r="N936" s="180"/>
      <c r="O936" s="180"/>
    </row>
    <row r="937" ht="15.75" customHeight="1">
      <c r="N937" s="180"/>
      <c r="O937" s="180"/>
    </row>
    <row r="938" ht="15.75" customHeight="1">
      <c r="N938" s="180"/>
      <c r="O938" s="180"/>
    </row>
    <row r="939" ht="15.75" customHeight="1">
      <c r="N939" s="180"/>
      <c r="O939" s="180"/>
    </row>
    <row r="940" ht="15.75" customHeight="1">
      <c r="N940" s="180"/>
      <c r="O940" s="180"/>
    </row>
    <row r="941" ht="15.75" customHeight="1">
      <c r="N941" s="180"/>
      <c r="O941" s="180"/>
    </row>
    <row r="942" ht="15.75" customHeight="1">
      <c r="N942" s="180"/>
      <c r="O942" s="180"/>
    </row>
    <row r="943" ht="15.75" customHeight="1">
      <c r="N943" s="180"/>
      <c r="O943" s="180"/>
    </row>
    <row r="944" ht="15.75" customHeight="1">
      <c r="N944" s="180"/>
      <c r="O944" s="180"/>
    </row>
    <row r="945" ht="15.75" customHeight="1">
      <c r="N945" s="180"/>
      <c r="O945" s="180"/>
    </row>
    <row r="946" ht="15.75" customHeight="1">
      <c r="N946" s="180"/>
      <c r="O946" s="180"/>
    </row>
    <row r="947" ht="15.75" customHeight="1">
      <c r="N947" s="180"/>
      <c r="O947" s="180"/>
    </row>
    <row r="948" ht="15.75" customHeight="1">
      <c r="N948" s="180"/>
      <c r="O948" s="180"/>
    </row>
    <row r="949" ht="15.75" customHeight="1">
      <c r="N949" s="180"/>
      <c r="O949" s="180"/>
    </row>
    <row r="950" ht="15.75" customHeight="1">
      <c r="N950" s="180"/>
      <c r="O950" s="180"/>
    </row>
    <row r="951" ht="15.75" customHeight="1">
      <c r="N951" s="180"/>
      <c r="O951" s="180"/>
    </row>
    <row r="952" ht="15.75" customHeight="1">
      <c r="N952" s="180"/>
      <c r="O952" s="180"/>
    </row>
    <row r="953" ht="15.75" customHeight="1">
      <c r="N953" s="180"/>
      <c r="O953" s="180"/>
    </row>
    <row r="954" ht="15.75" customHeight="1">
      <c r="N954" s="180"/>
      <c r="O954" s="180"/>
    </row>
    <row r="955" ht="15.75" customHeight="1">
      <c r="N955" s="180"/>
      <c r="O955" s="180"/>
    </row>
    <row r="956" ht="15.75" customHeight="1">
      <c r="N956" s="180"/>
      <c r="O956" s="180"/>
    </row>
    <row r="957" ht="15.75" customHeight="1">
      <c r="N957" s="180"/>
      <c r="O957" s="180"/>
    </row>
    <row r="958" ht="15.75" customHeight="1">
      <c r="N958" s="180"/>
      <c r="O958" s="180"/>
    </row>
    <row r="959" ht="15.75" customHeight="1">
      <c r="N959" s="180"/>
      <c r="O959" s="180"/>
    </row>
    <row r="960" ht="15.75" customHeight="1">
      <c r="N960" s="180"/>
      <c r="O960" s="180"/>
    </row>
    <row r="961" ht="15.75" customHeight="1">
      <c r="N961" s="180"/>
      <c r="O961" s="180"/>
    </row>
    <row r="962" ht="15.75" customHeight="1">
      <c r="N962" s="180"/>
      <c r="O962" s="180"/>
    </row>
    <row r="963" ht="15.75" customHeight="1">
      <c r="N963" s="180"/>
      <c r="O963" s="180"/>
    </row>
    <row r="964" ht="15.75" customHeight="1">
      <c r="N964" s="180"/>
      <c r="O964" s="180"/>
    </row>
    <row r="965" ht="15.75" customHeight="1">
      <c r="N965" s="180"/>
      <c r="O965" s="180"/>
    </row>
    <row r="966" ht="15.75" customHeight="1">
      <c r="N966" s="180"/>
      <c r="O966" s="180"/>
    </row>
    <row r="967" ht="15.75" customHeight="1">
      <c r="N967" s="180"/>
      <c r="O967" s="180"/>
    </row>
    <row r="968" ht="15.75" customHeight="1">
      <c r="N968" s="180"/>
      <c r="O968" s="180"/>
    </row>
    <row r="969" ht="15.75" customHeight="1">
      <c r="N969" s="180"/>
      <c r="O969" s="180"/>
    </row>
    <row r="970" ht="15.75" customHeight="1">
      <c r="N970" s="180"/>
      <c r="O970" s="180"/>
    </row>
    <row r="971" ht="15.75" customHeight="1">
      <c r="N971" s="180"/>
      <c r="O971" s="180"/>
    </row>
    <row r="972" ht="15.75" customHeight="1">
      <c r="N972" s="180"/>
      <c r="O972" s="180"/>
    </row>
    <row r="973" ht="15.75" customHeight="1">
      <c r="N973" s="180"/>
      <c r="O973" s="180"/>
    </row>
    <row r="974" ht="15.75" customHeight="1">
      <c r="N974" s="180"/>
      <c r="O974" s="180"/>
    </row>
    <row r="975" ht="15.75" customHeight="1">
      <c r="N975" s="180"/>
      <c r="O975" s="180"/>
    </row>
    <row r="976" ht="15.75" customHeight="1">
      <c r="N976" s="180"/>
      <c r="O976" s="180"/>
    </row>
    <row r="977" ht="15.75" customHeight="1">
      <c r="N977" s="180"/>
      <c r="O977" s="180"/>
    </row>
    <row r="978" ht="15.75" customHeight="1">
      <c r="N978" s="180"/>
      <c r="O978" s="180"/>
    </row>
    <row r="979" ht="15.75" customHeight="1">
      <c r="N979" s="180"/>
      <c r="O979" s="180"/>
    </row>
    <row r="980" ht="15.75" customHeight="1">
      <c r="N980" s="180"/>
      <c r="O980" s="180"/>
    </row>
    <row r="981" ht="15.75" customHeight="1">
      <c r="N981" s="180"/>
      <c r="O981" s="180"/>
    </row>
    <row r="982" ht="15.75" customHeight="1">
      <c r="N982" s="180"/>
      <c r="O982" s="180"/>
    </row>
    <row r="983" ht="15.75" customHeight="1">
      <c r="N983" s="180"/>
      <c r="O983" s="180"/>
    </row>
    <row r="984" ht="15.75" customHeight="1">
      <c r="N984" s="180"/>
      <c r="O984" s="180"/>
    </row>
    <row r="985" ht="15.75" customHeight="1">
      <c r="N985" s="180"/>
      <c r="O985" s="180"/>
    </row>
  </sheetData>
  <mergeCells count="1">
    <mergeCell ref="A28:A29"/>
  </mergeCells>
  <dataValidations>
    <dataValidation type="list" allowBlank="1" showErrorMessage="1" sqref="D2:D29">
      <formula1>"Text,Numeric,Image,Single Select,Multi select,Date,File,Subject"</formula1>
    </dataValidation>
    <dataValidation type="list" allowBlank="1" showErrorMessage="1" sqref="E2:E29">
      <formula1>"yes,no"</formula1>
    </dataValidation>
  </dataValidations>
  <printOptions/>
  <pageMargins bottom="0.75" footer="0.0" header="0.0" left="0.7" right="0.7" top="0.75"/>
  <pageSetup orientation="landscape"/>
  <drawing r:id="rId4"/>
  <legacyDrawing r:id="rId5"/>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9.0"/>
    <col customWidth="1" min="2" max="2" width="40.5"/>
    <col customWidth="1" min="3" max="3" width="23.75"/>
    <col customWidth="1" min="4" max="4" width="12.63"/>
    <col customWidth="1" min="5" max="5" width="19.25"/>
    <col customWidth="1" min="6" max="6" width="12.63"/>
    <col customWidth="1" min="10" max="10" width="33.25"/>
  </cols>
  <sheetData>
    <row r="1" ht="15.75" customHeight="1">
      <c r="A1" s="147" t="s">
        <v>632</v>
      </c>
      <c r="B1" s="147" t="s">
        <v>633</v>
      </c>
      <c r="C1" s="147" t="s">
        <v>634</v>
      </c>
      <c r="D1" s="147" t="s">
        <v>907</v>
      </c>
      <c r="E1" s="147" t="s">
        <v>637</v>
      </c>
      <c r="F1" s="147" t="s">
        <v>638</v>
      </c>
      <c r="G1" s="147" t="s">
        <v>639</v>
      </c>
      <c r="H1" s="147" t="s">
        <v>640</v>
      </c>
      <c r="I1" s="147" t="s">
        <v>641</v>
      </c>
      <c r="J1" s="147" t="s">
        <v>642</v>
      </c>
      <c r="K1" s="149"/>
      <c r="L1" s="149"/>
      <c r="M1" s="149"/>
      <c r="N1" s="149"/>
      <c r="O1" s="149"/>
      <c r="P1" s="149"/>
      <c r="Q1" s="149"/>
      <c r="R1" s="149"/>
      <c r="S1" s="149"/>
      <c r="T1" s="149"/>
      <c r="U1" s="149"/>
    </row>
    <row r="2" ht="15.75" customHeight="1">
      <c r="A2" s="330">
        <v>1.0</v>
      </c>
      <c r="B2" s="178" t="s">
        <v>1405</v>
      </c>
      <c r="C2" s="171" t="s">
        <v>649</v>
      </c>
      <c r="D2" s="171" t="s">
        <v>728</v>
      </c>
      <c r="E2" s="331"/>
      <c r="F2" s="331"/>
      <c r="G2" s="331"/>
      <c r="H2" s="331"/>
      <c r="I2" s="332"/>
      <c r="J2" s="331"/>
      <c r="K2" s="170"/>
      <c r="L2" s="170"/>
      <c r="M2" s="170"/>
      <c r="N2" s="170"/>
      <c r="O2" s="170"/>
      <c r="P2" s="170"/>
      <c r="Q2" s="170"/>
      <c r="R2" s="170"/>
      <c r="S2" s="170"/>
      <c r="T2" s="170"/>
      <c r="U2" s="170"/>
    </row>
    <row r="3" ht="15.75" customHeight="1">
      <c r="A3" s="333">
        <v>2.0</v>
      </c>
      <c r="B3" s="141" t="s">
        <v>1406</v>
      </c>
      <c r="C3" s="156" t="s">
        <v>912</v>
      </c>
      <c r="D3" s="156" t="s">
        <v>728</v>
      </c>
      <c r="E3" s="271"/>
      <c r="F3" s="271"/>
      <c r="G3" s="271"/>
      <c r="H3" s="271"/>
      <c r="I3" s="140" t="s">
        <v>1407</v>
      </c>
      <c r="J3" s="271"/>
    </row>
    <row r="4" ht="15.75" customHeight="1">
      <c r="A4" s="333">
        <v>3.0</v>
      </c>
      <c r="B4" s="141" t="s">
        <v>1408</v>
      </c>
      <c r="C4" s="156" t="s">
        <v>646</v>
      </c>
      <c r="D4" s="156" t="s">
        <v>728</v>
      </c>
      <c r="E4" s="271"/>
      <c r="F4" s="271"/>
      <c r="G4" s="271"/>
      <c r="H4" s="271"/>
      <c r="I4" s="271"/>
      <c r="J4" s="271"/>
    </row>
    <row r="5" ht="15.75" customHeight="1">
      <c r="A5" s="333">
        <v>4.0</v>
      </c>
      <c r="B5" s="141" t="s">
        <v>1409</v>
      </c>
      <c r="C5" s="156" t="s">
        <v>646</v>
      </c>
      <c r="D5" s="156" t="s">
        <v>728</v>
      </c>
      <c r="E5" s="271"/>
      <c r="F5" s="271"/>
      <c r="G5" s="271"/>
      <c r="H5" s="271"/>
      <c r="I5" s="271"/>
      <c r="J5" s="271"/>
    </row>
    <row r="6" ht="15.75" customHeight="1">
      <c r="A6" s="42">
        <v>5.0</v>
      </c>
      <c r="B6" s="141" t="s">
        <v>1410</v>
      </c>
      <c r="C6" s="156" t="s">
        <v>912</v>
      </c>
      <c r="D6" s="156" t="s">
        <v>730</v>
      </c>
      <c r="E6" s="151"/>
      <c r="F6" s="151"/>
      <c r="G6" s="151"/>
      <c r="H6" s="151"/>
      <c r="I6" s="156" t="s">
        <v>1411</v>
      </c>
    </row>
    <row r="7" ht="15.75" customHeight="1">
      <c r="A7" s="163"/>
      <c r="B7" s="294" t="s">
        <v>1412</v>
      </c>
      <c r="C7" s="162" t="s">
        <v>646</v>
      </c>
      <c r="D7" s="162" t="s">
        <v>728</v>
      </c>
      <c r="E7" s="294" t="s">
        <v>1413</v>
      </c>
      <c r="F7" s="244"/>
      <c r="G7" s="244"/>
      <c r="H7" s="244"/>
      <c r="I7" s="244"/>
      <c r="J7" s="243"/>
      <c r="K7" s="163"/>
      <c r="L7" s="163"/>
      <c r="M7" s="163"/>
      <c r="N7" s="163"/>
      <c r="O7" s="163"/>
      <c r="P7" s="163"/>
      <c r="Q7" s="163"/>
      <c r="R7" s="163"/>
      <c r="S7" s="163"/>
      <c r="T7" s="163"/>
      <c r="U7" s="163"/>
    </row>
    <row r="8" ht="15.75" customHeight="1">
      <c r="B8" s="141" t="s">
        <v>1414</v>
      </c>
      <c r="C8" s="156" t="s">
        <v>689</v>
      </c>
      <c r="D8" s="156" t="s">
        <v>730</v>
      </c>
      <c r="E8" s="141" t="s">
        <v>1415</v>
      </c>
      <c r="F8" s="138"/>
      <c r="G8" s="138"/>
      <c r="H8" s="138"/>
      <c r="I8" s="138"/>
      <c r="J8" s="42" t="s">
        <v>1416</v>
      </c>
    </row>
    <row r="9" ht="15.75" customHeight="1">
      <c r="A9" s="334"/>
      <c r="B9" s="335" t="s">
        <v>1417</v>
      </c>
      <c r="C9" s="197" t="s">
        <v>646</v>
      </c>
      <c r="D9" s="197" t="s">
        <v>728</v>
      </c>
      <c r="E9" s="336"/>
      <c r="F9" s="336"/>
      <c r="G9" s="336"/>
      <c r="H9" s="336"/>
      <c r="I9" s="337"/>
      <c r="J9" s="334"/>
      <c r="K9" s="334"/>
      <c r="L9" s="334"/>
      <c r="M9" s="334"/>
      <c r="N9" s="334"/>
      <c r="O9" s="334"/>
      <c r="P9" s="334"/>
      <c r="Q9" s="334"/>
      <c r="R9" s="334"/>
      <c r="S9" s="334"/>
      <c r="T9" s="334"/>
      <c r="U9" s="334"/>
    </row>
    <row r="10" ht="15.75" customHeight="1">
      <c r="A10" s="163"/>
      <c r="B10" s="294" t="s">
        <v>1418</v>
      </c>
      <c r="C10" s="162" t="s">
        <v>646</v>
      </c>
      <c r="D10" s="162" t="s">
        <v>728</v>
      </c>
      <c r="E10" s="244"/>
      <c r="F10" s="244"/>
      <c r="G10" s="244"/>
      <c r="H10" s="244"/>
      <c r="I10" s="294"/>
      <c r="J10" s="163"/>
      <c r="K10" s="163"/>
      <c r="L10" s="163"/>
      <c r="M10" s="163"/>
      <c r="N10" s="163"/>
      <c r="O10" s="163"/>
      <c r="P10" s="163"/>
      <c r="Q10" s="163"/>
      <c r="R10" s="163"/>
      <c r="S10" s="163"/>
      <c r="T10" s="163"/>
      <c r="U10" s="163"/>
    </row>
    <row r="11" ht="15.75" customHeight="1">
      <c r="B11" s="141" t="s">
        <v>1419</v>
      </c>
      <c r="C11" s="156" t="s">
        <v>912</v>
      </c>
      <c r="D11" s="156" t="s">
        <v>728</v>
      </c>
      <c r="E11" s="138"/>
      <c r="F11" s="138"/>
      <c r="G11" s="138"/>
      <c r="H11" s="138"/>
      <c r="I11" s="141" t="s">
        <v>1420</v>
      </c>
    </row>
    <row r="12" ht="15.75" customHeight="1">
      <c r="B12" s="338" t="s">
        <v>1421</v>
      </c>
      <c r="C12" s="339" t="s">
        <v>649</v>
      </c>
      <c r="D12" s="339" t="s">
        <v>730</v>
      </c>
      <c r="E12" s="338" t="s">
        <v>1422</v>
      </c>
      <c r="F12" s="340"/>
      <c r="G12" s="340"/>
      <c r="H12" s="340"/>
      <c r="I12" s="338"/>
    </row>
    <row r="13" ht="15.75" customHeight="1">
      <c r="B13" s="338" t="s">
        <v>1423</v>
      </c>
      <c r="C13" s="339" t="s">
        <v>912</v>
      </c>
      <c r="D13" s="339" t="s">
        <v>730</v>
      </c>
      <c r="E13" s="338" t="s">
        <v>1422</v>
      </c>
      <c r="F13" s="340"/>
      <c r="G13" s="340"/>
      <c r="H13" s="340"/>
      <c r="I13" s="338" t="s">
        <v>1082</v>
      </c>
    </row>
    <row r="14" ht="15.75" customHeight="1">
      <c r="B14" s="338" t="s">
        <v>1424</v>
      </c>
      <c r="C14" s="339" t="s">
        <v>649</v>
      </c>
      <c r="D14" s="339" t="s">
        <v>730</v>
      </c>
      <c r="E14" s="338" t="s">
        <v>1425</v>
      </c>
      <c r="F14" s="340"/>
      <c r="G14" s="340"/>
      <c r="H14" s="340"/>
      <c r="I14" s="338"/>
    </row>
    <row r="15" ht="15.75" customHeight="1">
      <c r="B15" s="338" t="s">
        <v>1426</v>
      </c>
      <c r="C15" s="339" t="s">
        <v>649</v>
      </c>
      <c r="D15" s="339" t="s">
        <v>730</v>
      </c>
      <c r="E15" s="338" t="s">
        <v>1422</v>
      </c>
      <c r="F15" s="340"/>
      <c r="G15" s="340"/>
      <c r="H15" s="340"/>
      <c r="I15" s="338"/>
    </row>
    <row r="16" ht="15.75" customHeight="1">
      <c r="B16" s="141" t="s">
        <v>1427</v>
      </c>
      <c r="C16" s="156" t="s">
        <v>646</v>
      </c>
      <c r="D16" s="156" t="s">
        <v>728</v>
      </c>
      <c r="E16" s="141" t="s">
        <v>1428</v>
      </c>
      <c r="F16" s="138"/>
      <c r="G16" s="138"/>
      <c r="H16" s="138"/>
      <c r="I16" s="138"/>
    </row>
    <row r="17" ht="15.75" customHeight="1">
      <c r="B17" s="40"/>
      <c r="C17" s="141"/>
      <c r="D17" s="141"/>
      <c r="E17" s="138"/>
      <c r="F17" s="138"/>
      <c r="G17" s="138"/>
      <c r="H17" s="138"/>
      <c r="I17" s="141"/>
    </row>
    <row r="18" ht="15.75" customHeight="1">
      <c r="B18" s="141"/>
      <c r="C18" s="141"/>
      <c r="D18" s="138"/>
      <c r="E18" s="141"/>
      <c r="F18" s="138"/>
      <c r="G18" s="138"/>
      <c r="H18" s="138"/>
      <c r="I18" s="138"/>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dataValidations>
    <dataValidation type="list" allowBlank="1" showErrorMessage="1" sqref="C6:C16">
      <formula1>"Text,Numeric,Image,Single Select,Multi select,Date,File"</formula1>
    </dataValidation>
    <dataValidation type="list" allowBlank="1" showErrorMessage="1" sqref="D2:D16">
      <formula1>"yes,no"</formula1>
    </dataValidation>
    <dataValidation type="list" allowBlank="1" showErrorMessage="1" sqref="C2:C5">
      <formula1>"Text,Numeric,Image,Single Select,Multi select,Date"</formula1>
    </dataValidation>
  </dataValidations>
  <printOptions/>
  <pageMargins bottom="0.75" footer="0.0" header="0.0" left="0.7" right="0.7" top="0.75"/>
  <pageSetup orientation="landscape"/>
  <drawing r:id="rId4"/>
  <legacyDrawing r:id="rId5"/>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sheetData>
    <row r="1" ht="15.75" customHeight="1">
      <c r="A1" s="147" t="s">
        <v>631</v>
      </c>
      <c r="B1" s="147" t="s">
        <v>632</v>
      </c>
      <c r="C1" s="147" t="s">
        <v>633</v>
      </c>
      <c r="D1" s="147" t="s">
        <v>634</v>
      </c>
      <c r="E1" s="147" t="s">
        <v>824</v>
      </c>
      <c r="F1" s="147" t="s">
        <v>637</v>
      </c>
      <c r="G1" s="147" t="s">
        <v>638</v>
      </c>
      <c r="H1" s="147" t="s">
        <v>639</v>
      </c>
      <c r="I1" s="147" t="s">
        <v>640</v>
      </c>
      <c r="J1" s="147" t="s">
        <v>641</v>
      </c>
      <c r="K1" s="147" t="s">
        <v>642</v>
      </c>
      <c r="L1" s="147" t="s">
        <v>722</v>
      </c>
      <c r="M1" s="184" t="s">
        <v>723</v>
      </c>
      <c r="N1" s="184" t="s">
        <v>724</v>
      </c>
      <c r="O1" s="184" t="s">
        <v>725</v>
      </c>
      <c r="P1" s="321" t="s">
        <v>1324</v>
      </c>
      <c r="Q1" s="149"/>
      <c r="R1" s="149"/>
      <c r="S1" s="149"/>
      <c r="T1" s="149"/>
      <c r="U1" s="149"/>
      <c r="V1" s="149"/>
      <c r="W1" s="149"/>
      <c r="X1" s="149"/>
      <c r="Y1" s="149"/>
      <c r="Z1" s="149"/>
      <c r="AA1" s="149"/>
    </row>
    <row r="2">
      <c r="C2" s="42" t="s">
        <v>1371</v>
      </c>
      <c r="D2" s="42" t="s">
        <v>912</v>
      </c>
      <c r="E2" s="42" t="s">
        <v>647</v>
      </c>
      <c r="J2" s="42" t="s">
        <v>1429</v>
      </c>
    </row>
    <row r="3">
      <c r="C3" s="42" t="s">
        <v>914</v>
      </c>
      <c r="F3" s="42" t="s">
        <v>1430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sheetPr>
  <sheetViews>
    <sheetView workbookViewId="0"/>
  </sheetViews>
  <sheetFormatPr customHeight="1" defaultColWidth="12.63" defaultRowHeight="15.0"/>
  <cols>
    <col customWidth="1" min="1" max="2" width="12.63"/>
    <col customWidth="1" min="3" max="3" width="34.75"/>
    <col customWidth="1" min="4" max="6" width="12.63"/>
    <col customWidth="1" min="10" max="10" width="18.5"/>
  </cols>
  <sheetData>
    <row r="1" ht="15.75" customHeight="1">
      <c r="A1" s="147" t="s">
        <v>631</v>
      </c>
      <c r="B1" s="147" t="s">
        <v>632</v>
      </c>
      <c r="C1" s="147" t="s">
        <v>633</v>
      </c>
      <c r="D1" s="147" t="s">
        <v>634</v>
      </c>
      <c r="E1" s="147" t="s">
        <v>824</v>
      </c>
      <c r="F1" s="147" t="s">
        <v>637</v>
      </c>
      <c r="G1" s="147" t="s">
        <v>638</v>
      </c>
      <c r="H1" s="147" t="s">
        <v>639</v>
      </c>
      <c r="I1" s="147" t="s">
        <v>640</v>
      </c>
      <c r="J1" s="147" t="s">
        <v>641</v>
      </c>
      <c r="K1" s="147" t="s">
        <v>642</v>
      </c>
      <c r="L1" s="147" t="s">
        <v>722</v>
      </c>
      <c r="M1" s="184" t="s">
        <v>723</v>
      </c>
      <c r="N1" s="184" t="s">
        <v>724</v>
      </c>
      <c r="O1" s="184" t="s">
        <v>725</v>
      </c>
      <c r="P1" s="149"/>
      <c r="Q1" s="149"/>
      <c r="R1" s="149"/>
      <c r="S1" s="149"/>
      <c r="T1" s="149"/>
      <c r="U1" s="149"/>
      <c r="V1" s="149"/>
      <c r="W1" s="149"/>
      <c r="X1" s="149"/>
      <c r="Y1" s="149"/>
      <c r="Z1" s="149"/>
      <c r="AA1" s="149"/>
    </row>
    <row r="2" ht="15.75" customHeight="1">
      <c r="A2" s="341" t="s">
        <v>644</v>
      </c>
      <c r="B2" s="187"/>
      <c r="C2" s="200" t="s">
        <v>1431</v>
      </c>
      <c r="D2" s="192" t="s">
        <v>713</v>
      </c>
      <c r="E2" s="192"/>
      <c r="F2" s="187"/>
      <c r="G2" s="187"/>
      <c r="H2" s="187"/>
      <c r="I2" s="187"/>
      <c r="J2" s="192"/>
      <c r="K2" s="187"/>
      <c r="L2" s="187"/>
      <c r="M2" s="187"/>
      <c r="N2" s="187"/>
      <c r="O2" s="187"/>
      <c r="P2" s="18"/>
      <c r="Q2" s="18"/>
      <c r="R2" s="18"/>
      <c r="S2" s="18"/>
      <c r="T2" s="18"/>
      <c r="U2" s="18"/>
      <c r="V2" s="18"/>
      <c r="W2" s="18"/>
      <c r="X2" s="18"/>
      <c r="Y2" s="18"/>
      <c r="Z2" s="18"/>
      <c r="AA2" s="18"/>
    </row>
    <row r="3" ht="15.75" customHeight="1">
      <c r="A3" s="341" t="s">
        <v>644</v>
      </c>
      <c r="B3" s="187"/>
      <c r="C3" s="192" t="s">
        <v>1432</v>
      </c>
      <c r="D3" s="192" t="s">
        <v>912</v>
      </c>
      <c r="E3" s="192"/>
      <c r="F3" s="187"/>
      <c r="G3" s="187"/>
      <c r="H3" s="187"/>
      <c r="I3" s="187"/>
      <c r="J3" s="192"/>
      <c r="K3" s="187"/>
      <c r="L3" s="187"/>
      <c r="M3" s="187"/>
      <c r="N3" s="187"/>
      <c r="O3" s="187"/>
      <c r="P3" s="18"/>
      <c r="Q3" s="18"/>
      <c r="R3" s="18"/>
      <c r="S3" s="18"/>
      <c r="T3" s="18"/>
      <c r="U3" s="18"/>
      <c r="V3" s="18"/>
      <c r="W3" s="18"/>
      <c r="X3" s="18"/>
      <c r="Y3" s="18"/>
      <c r="Z3" s="18"/>
      <c r="AA3" s="18"/>
    </row>
    <row r="4" ht="15.75" customHeight="1">
      <c r="A4" s="327"/>
      <c r="B4" s="151">
        <v>2.0</v>
      </c>
      <c r="C4" s="156" t="s">
        <v>1433</v>
      </c>
      <c r="D4" s="156" t="s">
        <v>912</v>
      </c>
      <c r="E4" s="156" t="s">
        <v>728</v>
      </c>
      <c r="F4" s="151"/>
      <c r="G4" s="151"/>
      <c r="H4" s="151"/>
      <c r="I4" s="151"/>
      <c r="J4" s="134" t="s">
        <v>1434</v>
      </c>
      <c r="K4" s="151"/>
      <c r="L4" s="151"/>
      <c r="M4" s="151"/>
      <c r="N4" s="151"/>
      <c r="O4" s="151"/>
    </row>
    <row r="5" ht="15.75" customHeight="1">
      <c r="B5" s="141"/>
      <c r="C5" s="141" t="s">
        <v>1435</v>
      </c>
      <c r="D5" s="156" t="s">
        <v>646</v>
      </c>
      <c r="E5" s="156" t="s">
        <v>728</v>
      </c>
      <c r="F5" s="141" t="s">
        <v>1436</v>
      </c>
      <c r="G5" s="138"/>
      <c r="H5" s="138"/>
      <c r="I5" s="138"/>
      <c r="J5" s="208"/>
      <c r="K5" s="138"/>
      <c r="L5" s="138"/>
      <c r="M5" s="138"/>
      <c r="N5" s="138"/>
      <c r="O5" s="138"/>
    </row>
    <row r="6" ht="15.75" customHeight="1">
      <c r="B6" s="141"/>
      <c r="C6" s="294" t="s">
        <v>1437</v>
      </c>
      <c r="D6" s="162" t="s">
        <v>1326</v>
      </c>
      <c r="E6" s="162" t="s">
        <v>728</v>
      </c>
      <c r="F6" s="294"/>
      <c r="G6" s="244"/>
      <c r="H6" s="244"/>
      <c r="I6" s="244"/>
      <c r="J6" s="292" t="s">
        <v>1438</v>
      </c>
      <c r="K6" s="138"/>
      <c r="L6" s="138"/>
      <c r="M6" s="138"/>
      <c r="N6" s="138"/>
      <c r="O6" s="138"/>
    </row>
    <row r="7" ht="15.75" customHeight="1">
      <c r="B7" s="141"/>
      <c r="C7" s="294" t="s">
        <v>1439</v>
      </c>
      <c r="D7" s="162" t="s">
        <v>689</v>
      </c>
      <c r="E7" s="162" t="s">
        <v>728</v>
      </c>
      <c r="F7" s="294"/>
      <c r="G7" s="244"/>
      <c r="H7" s="244"/>
      <c r="I7" s="244"/>
      <c r="J7" s="292" t="s">
        <v>1440</v>
      </c>
      <c r="K7" s="138"/>
      <c r="L7" s="138"/>
      <c r="M7" s="138"/>
      <c r="N7" s="138"/>
      <c r="O7" s="138"/>
    </row>
    <row r="8" ht="15.75" customHeight="1">
      <c r="A8" s="170"/>
      <c r="B8" s="178">
        <v>4.0</v>
      </c>
      <c r="C8" s="178" t="s">
        <v>649</v>
      </c>
      <c r="D8" s="171" t="s">
        <v>649</v>
      </c>
      <c r="E8" s="171" t="s">
        <v>728</v>
      </c>
      <c r="F8" s="176"/>
      <c r="G8" s="176"/>
      <c r="H8" s="176"/>
      <c r="I8" s="176"/>
      <c r="J8" s="342"/>
      <c r="K8" s="176"/>
      <c r="L8" s="176"/>
      <c r="M8" s="176"/>
      <c r="N8" s="176"/>
      <c r="O8" s="176"/>
      <c r="P8" s="170"/>
      <c r="Q8" s="170"/>
      <c r="R8" s="170"/>
      <c r="S8" s="170"/>
      <c r="T8" s="170"/>
      <c r="U8" s="170"/>
      <c r="V8" s="170"/>
      <c r="W8" s="170"/>
      <c r="X8" s="170"/>
      <c r="Y8" s="170"/>
      <c r="Z8" s="170"/>
      <c r="AA8" s="170"/>
    </row>
    <row r="9" ht="15.75" customHeight="1">
      <c r="A9" s="170"/>
      <c r="B9" s="178">
        <v>5.0</v>
      </c>
      <c r="C9" s="178" t="s">
        <v>1441</v>
      </c>
      <c r="D9" s="166" t="s">
        <v>646</v>
      </c>
      <c r="E9" s="171" t="s">
        <v>728</v>
      </c>
      <c r="F9" s="176"/>
      <c r="G9" s="176"/>
      <c r="H9" s="176"/>
      <c r="I9" s="176"/>
      <c r="J9" s="342"/>
      <c r="K9" s="176"/>
      <c r="L9" s="176"/>
      <c r="M9" s="176"/>
      <c r="N9" s="176"/>
      <c r="O9" s="176"/>
      <c r="P9" s="170"/>
      <c r="Q9" s="170"/>
      <c r="R9" s="170"/>
      <c r="S9" s="170"/>
      <c r="T9" s="170"/>
      <c r="U9" s="170"/>
      <c r="V9" s="170"/>
      <c r="W9" s="170"/>
      <c r="X9" s="170"/>
      <c r="Y9" s="170"/>
      <c r="Z9" s="170"/>
      <c r="AA9" s="170"/>
    </row>
    <row r="10" ht="15.75" customHeight="1">
      <c r="B10" s="141">
        <v>6.0</v>
      </c>
      <c r="C10" s="141" t="s">
        <v>1442</v>
      </c>
      <c r="D10" s="156" t="s">
        <v>1443</v>
      </c>
      <c r="E10" s="156" t="s">
        <v>728</v>
      </c>
      <c r="F10" s="138"/>
      <c r="G10" s="138"/>
      <c r="H10" s="138"/>
      <c r="I10" s="138"/>
      <c r="J10" s="208"/>
      <c r="K10" s="138"/>
      <c r="L10" s="138"/>
      <c r="M10" s="138"/>
      <c r="N10" s="138"/>
      <c r="O10" s="138"/>
    </row>
    <row r="11" ht="15.75" customHeight="1">
      <c r="B11" s="141">
        <v>7.0</v>
      </c>
      <c r="C11" s="141" t="s">
        <v>1444</v>
      </c>
      <c r="D11" s="156" t="s">
        <v>1443</v>
      </c>
      <c r="E11" s="156" t="s">
        <v>728</v>
      </c>
      <c r="F11" s="138"/>
      <c r="G11" s="138"/>
      <c r="H11" s="138"/>
      <c r="I11" s="138"/>
      <c r="J11" s="208"/>
      <c r="K11" s="141" t="s">
        <v>1445</v>
      </c>
      <c r="L11" s="138"/>
      <c r="M11" s="138"/>
      <c r="N11" s="138"/>
      <c r="O11" s="138"/>
    </row>
    <row r="12" ht="15.75" customHeight="1">
      <c r="B12" s="141">
        <v>8.0</v>
      </c>
      <c r="C12" s="141" t="s">
        <v>1446</v>
      </c>
      <c r="D12" s="151"/>
      <c r="E12" s="151"/>
      <c r="F12" s="138"/>
      <c r="G12" s="138"/>
      <c r="H12" s="138"/>
      <c r="I12" s="138"/>
      <c r="J12" s="208"/>
      <c r="K12" s="141" t="s">
        <v>1447</v>
      </c>
      <c r="L12" s="138"/>
      <c r="M12" s="138"/>
      <c r="N12" s="138"/>
      <c r="O12" s="138"/>
    </row>
    <row r="13" ht="15.75" customHeight="1">
      <c r="B13" s="141">
        <v>9.0</v>
      </c>
      <c r="C13" s="141" t="s">
        <v>1448</v>
      </c>
      <c r="D13" s="156" t="s">
        <v>912</v>
      </c>
      <c r="E13" s="156" t="s">
        <v>728</v>
      </c>
      <c r="F13" s="138"/>
      <c r="G13" s="138"/>
      <c r="H13" s="138"/>
      <c r="I13" s="138"/>
      <c r="J13" s="40" t="s">
        <v>1449</v>
      </c>
      <c r="K13" s="138"/>
      <c r="L13" s="138"/>
      <c r="M13" s="138"/>
      <c r="N13" s="138"/>
      <c r="O13" s="138"/>
    </row>
    <row r="14" ht="15.75" customHeight="1">
      <c r="B14" s="141"/>
      <c r="C14" s="141" t="s">
        <v>1450</v>
      </c>
      <c r="D14" s="156" t="s">
        <v>646</v>
      </c>
      <c r="E14" s="156" t="s">
        <v>728</v>
      </c>
      <c r="F14" s="42" t="s">
        <v>1451</v>
      </c>
      <c r="J14" s="204"/>
      <c r="K14" s="138"/>
      <c r="L14" s="138"/>
      <c r="M14" s="138"/>
      <c r="N14" s="138"/>
      <c r="O14" s="138"/>
    </row>
    <row r="15" ht="15.75" customHeight="1">
      <c r="B15" s="178">
        <v>10.0</v>
      </c>
      <c r="C15" s="178" t="s">
        <v>1452</v>
      </c>
      <c r="D15" s="171" t="s">
        <v>851</v>
      </c>
      <c r="E15" s="171" t="s">
        <v>728</v>
      </c>
      <c r="F15" s="170"/>
      <c r="G15" s="170"/>
      <c r="H15" s="170"/>
      <c r="I15" s="170"/>
      <c r="J15" s="343" t="s">
        <v>1453</v>
      </c>
      <c r="K15" s="138"/>
      <c r="L15" s="138"/>
      <c r="M15" s="138"/>
      <c r="N15" s="138"/>
      <c r="O15" s="138"/>
    </row>
    <row r="16" ht="15.75" customHeight="1">
      <c r="B16" s="178"/>
      <c r="C16" s="178" t="s">
        <v>1454</v>
      </c>
      <c r="D16" s="171" t="s">
        <v>646</v>
      </c>
      <c r="E16" s="171" t="s">
        <v>728</v>
      </c>
      <c r="F16" s="344" t="s">
        <v>1455</v>
      </c>
      <c r="G16" s="170"/>
      <c r="H16" s="170"/>
      <c r="I16" s="170"/>
      <c r="J16" s="343"/>
      <c r="K16" s="138"/>
      <c r="L16" s="138"/>
      <c r="M16" s="138"/>
      <c r="N16" s="138"/>
      <c r="O16" s="138"/>
    </row>
    <row r="17" ht="15.75" customHeight="1">
      <c r="B17" s="178">
        <v>11.0</v>
      </c>
      <c r="C17" s="178" t="s">
        <v>1456</v>
      </c>
      <c r="D17" s="171" t="s">
        <v>689</v>
      </c>
      <c r="E17" s="171" t="s">
        <v>728</v>
      </c>
      <c r="F17" s="176"/>
      <c r="G17" s="176"/>
      <c r="H17" s="176"/>
      <c r="I17" s="176"/>
      <c r="J17" s="345"/>
      <c r="K17" s="178" t="s">
        <v>1457</v>
      </c>
      <c r="L17" s="138"/>
      <c r="M17" s="138"/>
      <c r="N17" s="138"/>
      <c r="O17" s="138"/>
    </row>
    <row r="18" ht="15.75" customHeight="1">
      <c r="B18" s="141">
        <v>12.0</v>
      </c>
      <c r="C18" s="141" t="s">
        <v>1458</v>
      </c>
      <c r="D18" s="156" t="s">
        <v>1367</v>
      </c>
      <c r="E18" s="156" t="s">
        <v>728</v>
      </c>
      <c r="F18" s="141" t="s">
        <v>1459</v>
      </c>
      <c r="G18" s="138"/>
      <c r="H18" s="138"/>
      <c r="I18" s="138"/>
      <c r="J18" s="208"/>
      <c r="K18" s="138"/>
      <c r="L18" s="138"/>
      <c r="M18" s="138"/>
      <c r="N18" s="138"/>
      <c r="O18" s="138"/>
    </row>
    <row r="19" ht="15.75" customHeight="1">
      <c r="J19" s="180"/>
    </row>
    <row r="20" ht="15.75" customHeight="1">
      <c r="J20" s="180"/>
    </row>
    <row r="21" ht="15.75" customHeight="1">
      <c r="J21" s="180"/>
    </row>
    <row r="22" ht="15.75" customHeight="1">
      <c r="J22" s="180"/>
    </row>
    <row r="23" ht="15.75" customHeight="1">
      <c r="J23" s="180"/>
    </row>
    <row r="24" ht="15.75" customHeight="1">
      <c r="C24" s="293"/>
      <c r="J24" s="180"/>
    </row>
    <row r="25" ht="15.75" customHeight="1">
      <c r="J25" s="180"/>
    </row>
    <row r="26" ht="15.75" customHeight="1">
      <c r="J26" s="180"/>
    </row>
    <row r="27" ht="15.75" customHeight="1">
      <c r="J27" s="180"/>
    </row>
    <row r="28" ht="15.75" customHeight="1">
      <c r="J28" s="180"/>
    </row>
    <row r="29" ht="15.75" customHeight="1">
      <c r="J29" s="180"/>
    </row>
    <row r="30" ht="15.75" customHeight="1">
      <c r="J30" s="180"/>
    </row>
    <row r="31" ht="15.75" customHeight="1">
      <c r="J31" s="180"/>
    </row>
    <row r="32" ht="15.75" customHeight="1">
      <c r="J32" s="180"/>
    </row>
    <row r="33" ht="15.75" customHeight="1">
      <c r="J33" s="180"/>
    </row>
    <row r="34" ht="15.75" customHeight="1">
      <c r="J34" s="180"/>
    </row>
    <row r="35" ht="15.75" customHeight="1">
      <c r="J35" s="180"/>
    </row>
    <row r="36" ht="15.75" customHeight="1">
      <c r="J36" s="180"/>
    </row>
    <row r="37" ht="15.75" customHeight="1">
      <c r="J37" s="180"/>
    </row>
    <row r="38" ht="15.75" customHeight="1">
      <c r="J38" s="180"/>
    </row>
    <row r="39" ht="15.75" customHeight="1">
      <c r="J39" s="180"/>
    </row>
    <row r="40" ht="15.75" customHeight="1">
      <c r="J40" s="180"/>
    </row>
    <row r="41" ht="15.75" customHeight="1">
      <c r="J41" s="180"/>
    </row>
    <row r="42" ht="15.75" customHeight="1">
      <c r="J42" s="180"/>
    </row>
    <row r="43" ht="15.75" customHeight="1">
      <c r="J43" s="180"/>
    </row>
    <row r="44" ht="15.75" customHeight="1">
      <c r="J44" s="180"/>
    </row>
    <row r="45" ht="15.75" customHeight="1">
      <c r="J45" s="180"/>
    </row>
    <row r="46" ht="15.75" customHeight="1">
      <c r="J46" s="180"/>
    </row>
    <row r="47" ht="15.75" customHeight="1">
      <c r="J47" s="180"/>
    </row>
    <row r="48" ht="15.75" customHeight="1">
      <c r="J48" s="180"/>
    </row>
    <row r="49" ht="15.75" customHeight="1">
      <c r="J49" s="180"/>
    </row>
    <row r="50" ht="15.75" customHeight="1">
      <c r="J50" s="180"/>
    </row>
    <row r="51" ht="15.75" customHeight="1">
      <c r="J51" s="180"/>
    </row>
    <row r="52" ht="15.75" customHeight="1">
      <c r="J52" s="180"/>
    </row>
    <row r="53" ht="15.75" customHeight="1">
      <c r="J53" s="180"/>
    </row>
    <row r="54" ht="15.75" customHeight="1">
      <c r="J54" s="180"/>
    </row>
    <row r="55" ht="15.75" customHeight="1">
      <c r="J55" s="180"/>
    </row>
    <row r="56" ht="15.75" customHeight="1">
      <c r="J56" s="180"/>
    </row>
    <row r="57" ht="15.75" customHeight="1">
      <c r="J57" s="180"/>
    </row>
    <row r="58" ht="15.75" customHeight="1">
      <c r="J58" s="180"/>
    </row>
    <row r="59" ht="15.75" customHeight="1">
      <c r="J59" s="180"/>
    </row>
    <row r="60" ht="15.75" customHeight="1">
      <c r="J60" s="180"/>
    </row>
    <row r="61" ht="15.75" customHeight="1">
      <c r="J61" s="180"/>
    </row>
    <row r="62" ht="15.75" customHeight="1">
      <c r="J62" s="180"/>
    </row>
    <row r="63" ht="15.75" customHeight="1">
      <c r="J63" s="180"/>
    </row>
    <row r="64" ht="15.75" customHeight="1">
      <c r="J64" s="180"/>
    </row>
    <row r="65" ht="15.75" customHeight="1">
      <c r="J65" s="180"/>
    </row>
    <row r="66" ht="15.75" customHeight="1">
      <c r="J66" s="180"/>
    </row>
    <row r="67" ht="15.75" customHeight="1">
      <c r="J67" s="180"/>
    </row>
    <row r="68" ht="15.75" customHeight="1">
      <c r="J68" s="180"/>
    </row>
    <row r="69" ht="15.75" customHeight="1">
      <c r="J69" s="180"/>
    </row>
    <row r="70" ht="15.75" customHeight="1">
      <c r="J70" s="180"/>
    </row>
    <row r="71" ht="15.75" customHeight="1">
      <c r="J71" s="180"/>
    </row>
    <row r="72" ht="15.75" customHeight="1">
      <c r="J72" s="180"/>
    </row>
    <row r="73" ht="15.75" customHeight="1">
      <c r="J73" s="180"/>
    </row>
    <row r="74" ht="15.75" customHeight="1">
      <c r="J74" s="180"/>
    </row>
    <row r="75" ht="15.75" customHeight="1">
      <c r="J75" s="180"/>
    </row>
    <row r="76" ht="15.75" customHeight="1">
      <c r="J76" s="180"/>
    </row>
    <row r="77" ht="15.75" customHeight="1">
      <c r="J77" s="180"/>
    </row>
    <row r="78" ht="15.75" customHeight="1">
      <c r="J78" s="180"/>
    </row>
    <row r="79" ht="15.75" customHeight="1">
      <c r="J79" s="180"/>
    </row>
    <row r="80" ht="15.75" customHeight="1">
      <c r="J80" s="180"/>
    </row>
    <row r="81" ht="15.75" customHeight="1">
      <c r="J81" s="180"/>
    </row>
    <row r="82" ht="15.75" customHeight="1">
      <c r="J82" s="180"/>
    </row>
    <row r="83" ht="15.75" customHeight="1">
      <c r="J83" s="180"/>
    </row>
    <row r="84" ht="15.75" customHeight="1">
      <c r="J84" s="180"/>
    </row>
    <row r="85" ht="15.75" customHeight="1">
      <c r="J85" s="180"/>
    </row>
    <row r="86" ht="15.75" customHeight="1">
      <c r="J86" s="180"/>
    </row>
    <row r="87" ht="15.75" customHeight="1">
      <c r="J87" s="180"/>
    </row>
    <row r="88" ht="15.75" customHeight="1">
      <c r="J88" s="180"/>
    </row>
    <row r="89" ht="15.75" customHeight="1">
      <c r="J89" s="180"/>
    </row>
    <row r="90" ht="15.75" customHeight="1">
      <c r="J90" s="180"/>
    </row>
    <row r="91" ht="15.75" customHeight="1">
      <c r="J91" s="180"/>
    </row>
    <row r="92" ht="15.75" customHeight="1">
      <c r="J92" s="180"/>
    </row>
    <row r="93" ht="15.75" customHeight="1">
      <c r="J93" s="180"/>
    </row>
    <row r="94" ht="15.75" customHeight="1">
      <c r="J94" s="180"/>
    </row>
    <row r="95" ht="15.75" customHeight="1">
      <c r="J95" s="180"/>
    </row>
    <row r="96" ht="15.75" customHeight="1">
      <c r="J96" s="180"/>
    </row>
    <row r="97" ht="15.75" customHeight="1">
      <c r="J97" s="180"/>
    </row>
    <row r="98" ht="15.75" customHeight="1">
      <c r="J98" s="180"/>
    </row>
    <row r="99" ht="15.75" customHeight="1">
      <c r="J99" s="180"/>
    </row>
    <row r="100" ht="15.75" customHeight="1">
      <c r="J100" s="180"/>
    </row>
    <row r="101" ht="15.75" customHeight="1">
      <c r="J101" s="180"/>
    </row>
    <row r="102" ht="15.75" customHeight="1">
      <c r="J102" s="180"/>
    </row>
    <row r="103" ht="15.75" customHeight="1">
      <c r="J103" s="180"/>
    </row>
    <row r="104" ht="15.75" customHeight="1">
      <c r="J104" s="180"/>
    </row>
    <row r="105" ht="15.75" customHeight="1">
      <c r="J105" s="180"/>
    </row>
    <row r="106" ht="15.75" customHeight="1">
      <c r="J106" s="180"/>
    </row>
    <row r="107" ht="15.75" customHeight="1">
      <c r="J107" s="180"/>
    </row>
    <row r="108" ht="15.75" customHeight="1">
      <c r="J108" s="180"/>
    </row>
    <row r="109" ht="15.75" customHeight="1">
      <c r="J109" s="180"/>
    </row>
    <row r="110" ht="15.75" customHeight="1">
      <c r="J110" s="180"/>
    </row>
    <row r="111" ht="15.75" customHeight="1">
      <c r="J111" s="180"/>
    </row>
    <row r="112" ht="15.75" customHeight="1">
      <c r="J112" s="180"/>
    </row>
    <row r="113" ht="15.75" customHeight="1">
      <c r="J113" s="180"/>
    </row>
    <row r="114" ht="15.75" customHeight="1">
      <c r="J114" s="180"/>
    </row>
    <row r="115" ht="15.75" customHeight="1">
      <c r="J115" s="180"/>
    </row>
    <row r="116" ht="15.75" customHeight="1">
      <c r="J116" s="180"/>
    </row>
    <row r="117" ht="15.75" customHeight="1">
      <c r="J117" s="180"/>
    </row>
    <row r="118" ht="15.75" customHeight="1">
      <c r="J118" s="180"/>
    </row>
    <row r="119" ht="15.75" customHeight="1">
      <c r="J119" s="180"/>
    </row>
    <row r="120" ht="15.75" customHeight="1">
      <c r="J120" s="180"/>
    </row>
    <row r="121" ht="15.75" customHeight="1">
      <c r="J121" s="180"/>
    </row>
    <row r="122" ht="15.75" customHeight="1">
      <c r="J122" s="180"/>
    </row>
    <row r="123" ht="15.75" customHeight="1">
      <c r="J123" s="180"/>
    </row>
    <row r="124" ht="15.75" customHeight="1">
      <c r="J124" s="180"/>
    </row>
    <row r="125" ht="15.75" customHeight="1">
      <c r="J125" s="180"/>
    </row>
    <row r="126" ht="15.75" customHeight="1">
      <c r="J126" s="180"/>
    </row>
    <row r="127" ht="15.75" customHeight="1">
      <c r="J127" s="180"/>
    </row>
    <row r="128" ht="15.75" customHeight="1">
      <c r="J128" s="180"/>
    </row>
    <row r="129" ht="15.75" customHeight="1">
      <c r="J129" s="180"/>
    </row>
    <row r="130" ht="15.75" customHeight="1">
      <c r="J130" s="180"/>
    </row>
    <row r="131" ht="15.75" customHeight="1">
      <c r="J131" s="180"/>
    </row>
    <row r="132" ht="15.75" customHeight="1">
      <c r="J132" s="180"/>
    </row>
    <row r="133" ht="15.75" customHeight="1">
      <c r="J133" s="180"/>
    </row>
    <row r="134" ht="15.75" customHeight="1">
      <c r="J134" s="180"/>
    </row>
    <row r="135" ht="15.75" customHeight="1">
      <c r="J135" s="180"/>
    </row>
    <row r="136" ht="15.75" customHeight="1">
      <c r="J136" s="180"/>
    </row>
    <row r="137" ht="15.75" customHeight="1">
      <c r="J137" s="180"/>
    </row>
    <row r="138" ht="15.75" customHeight="1">
      <c r="J138" s="180"/>
    </row>
    <row r="139" ht="15.75" customHeight="1">
      <c r="J139" s="180"/>
    </row>
    <row r="140" ht="15.75" customHeight="1">
      <c r="J140" s="180"/>
    </row>
    <row r="141" ht="15.75" customHeight="1">
      <c r="J141" s="180"/>
    </row>
    <row r="142" ht="15.75" customHeight="1">
      <c r="J142" s="180"/>
    </row>
    <row r="143" ht="15.75" customHeight="1">
      <c r="J143" s="180"/>
    </row>
    <row r="144" ht="15.75" customHeight="1">
      <c r="J144" s="180"/>
    </row>
    <row r="145" ht="15.75" customHeight="1">
      <c r="J145" s="180"/>
    </row>
    <row r="146" ht="15.75" customHeight="1">
      <c r="J146" s="180"/>
    </row>
    <row r="147" ht="15.75" customHeight="1">
      <c r="J147" s="180"/>
    </row>
    <row r="148" ht="15.75" customHeight="1">
      <c r="J148" s="180"/>
    </row>
    <row r="149" ht="15.75" customHeight="1">
      <c r="J149" s="180"/>
    </row>
    <row r="150" ht="15.75" customHeight="1">
      <c r="J150" s="180"/>
    </row>
    <row r="151" ht="15.75" customHeight="1">
      <c r="J151" s="180"/>
    </row>
    <row r="152" ht="15.75" customHeight="1">
      <c r="J152" s="180"/>
    </row>
    <row r="153" ht="15.75" customHeight="1">
      <c r="J153" s="180"/>
    </row>
    <row r="154" ht="15.75" customHeight="1">
      <c r="J154" s="180"/>
    </row>
    <row r="155" ht="15.75" customHeight="1">
      <c r="J155" s="180"/>
    </row>
    <row r="156" ht="15.75" customHeight="1">
      <c r="J156" s="180"/>
    </row>
    <row r="157" ht="15.75" customHeight="1">
      <c r="J157" s="180"/>
    </row>
    <row r="158" ht="15.75" customHeight="1">
      <c r="J158" s="180"/>
    </row>
    <row r="159" ht="15.75" customHeight="1">
      <c r="J159" s="180"/>
    </row>
    <row r="160" ht="15.75" customHeight="1">
      <c r="J160" s="180"/>
    </row>
    <row r="161" ht="15.75" customHeight="1">
      <c r="J161" s="180"/>
    </row>
    <row r="162" ht="15.75" customHeight="1">
      <c r="J162" s="180"/>
    </row>
    <row r="163" ht="15.75" customHeight="1">
      <c r="J163" s="180"/>
    </row>
    <row r="164" ht="15.75" customHeight="1">
      <c r="J164" s="180"/>
    </row>
    <row r="165" ht="15.75" customHeight="1">
      <c r="J165" s="180"/>
    </row>
    <row r="166" ht="15.75" customHeight="1">
      <c r="J166" s="180"/>
    </row>
    <row r="167" ht="15.75" customHeight="1">
      <c r="J167" s="180"/>
    </row>
    <row r="168" ht="15.75" customHeight="1">
      <c r="J168" s="180"/>
    </row>
    <row r="169" ht="15.75" customHeight="1">
      <c r="J169" s="180"/>
    </row>
    <row r="170" ht="15.75" customHeight="1">
      <c r="J170" s="180"/>
    </row>
    <row r="171" ht="15.75" customHeight="1">
      <c r="J171" s="180"/>
    </row>
    <row r="172" ht="15.75" customHeight="1">
      <c r="J172" s="180"/>
    </row>
    <row r="173" ht="15.75" customHeight="1">
      <c r="J173" s="180"/>
    </row>
    <row r="174" ht="15.75" customHeight="1">
      <c r="J174" s="180"/>
    </row>
    <row r="175" ht="15.75" customHeight="1">
      <c r="J175" s="180"/>
    </row>
    <row r="176" ht="15.75" customHeight="1">
      <c r="J176" s="180"/>
    </row>
    <row r="177" ht="15.75" customHeight="1">
      <c r="J177" s="180"/>
    </row>
    <row r="178" ht="15.75" customHeight="1">
      <c r="J178" s="180"/>
    </row>
    <row r="179" ht="15.75" customHeight="1">
      <c r="J179" s="180"/>
    </row>
    <row r="180" ht="15.75" customHeight="1">
      <c r="J180" s="180"/>
    </row>
    <row r="181" ht="15.75" customHeight="1">
      <c r="J181" s="180"/>
    </row>
    <row r="182" ht="15.75" customHeight="1">
      <c r="J182" s="180"/>
    </row>
    <row r="183" ht="15.75" customHeight="1">
      <c r="J183" s="180"/>
    </row>
    <row r="184" ht="15.75" customHeight="1">
      <c r="J184" s="180"/>
    </row>
    <row r="185" ht="15.75" customHeight="1">
      <c r="J185" s="180"/>
    </row>
    <row r="186" ht="15.75" customHeight="1">
      <c r="J186" s="180"/>
    </row>
    <row r="187" ht="15.75" customHeight="1">
      <c r="J187" s="180"/>
    </row>
    <row r="188" ht="15.75" customHeight="1">
      <c r="J188" s="180"/>
    </row>
    <row r="189" ht="15.75" customHeight="1">
      <c r="J189" s="180"/>
    </row>
    <row r="190" ht="15.75" customHeight="1">
      <c r="J190" s="180"/>
    </row>
    <row r="191" ht="15.75" customHeight="1">
      <c r="J191" s="180"/>
    </row>
    <row r="192" ht="15.75" customHeight="1">
      <c r="J192" s="180"/>
    </row>
    <row r="193" ht="15.75" customHeight="1">
      <c r="J193" s="180"/>
    </row>
    <row r="194" ht="15.75" customHeight="1">
      <c r="J194" s="180"/>
    </row>
    <row r="195" ht="15.75" customHeight="1">
      <c r="J195" s="180"/>
    </row>
    <row r="196" ht="15.75" customHeight="1">
      <c r="J196" s="180"/>
    </row>
    <row r="197" ht="15.75" customHeight="1">
      <c r="J197" s="180"/>
    </row>
    <row r="198" ht="15.75" customHeight="1">
      <c r="J198" s="180"/>
    </row>
    <row r="199" ht="15.75" customHeight="1">
      <c r="J199" s="180"/>
    </row>
    <row r="200" ht="15.75" customHeight="1">
      <c r="J200" s="180"/>
    </row>
    <row r="201" ht="15.75" customHeight="1">
      <c r="J201" s="180"/>
    </row>
    <row r="202" ht="15.75" customHeight="1">
      <c r="J202" s="180"/>
    </row>
    <row r="203" ht="15.75" customHeight="1">
      <c r="J203" s="180"/>
    </row>
    <row r="204" ht="15.75" customHeight="1">
      <c r="J204" s="180"/>
    </row>
    <row r="205" ht="15.75" customHeight="1">
      <c r="J205" s="180"/>
    </row>
    <row r="206" ht="15.75" customHeight="1">
      <c r="J206" s="180"/>
    </row>
    <row r="207" ht="15.75" customHeight="1">
      <c r="J207" s="180"/>
    </row>
    <row r="208" ht="15.75" customHeight="1">
      <c r="J208" s="180"/>
    </row>
    <row r="209" ht="15.75" customHeight="1">
      <c r="J209" s="180"/>
    </row>
    <row r="210" ht="15.75" customHeight="1">
      <c r="J210" s="180"/>
    </row>
    <row r="211" ht="15.75" customHeight="1">
      <c r="J211" s="180"/>
    </row>
    <row r="212" ht="15.75" customHeight="1">
      <c r="J212" s="180"/>
    </row>
    <row r="213" ht="15.75" customHeight="1">
      <c r="J213" s="180"/>
    </row>
    <row r="214" ht="15.75" customHeight="1">
      <c r="J214" s="180"/>
    </row>
    <row r="215" ht="15.75" customHeight="1">
      <c r="J215" s="180"/>
    </row>
    <row r="216" ht="15.75" customHeight="1">
      <c r="J216" s="180"/>
    </row>
    <row r="217" ht="15.75" customHeight="1">
      <c r="J217" s="180"/>
    </row>
    <row r="218" ht="15.75" customHeight="1">
      <c r="J218" s="180"/>
    </row>
    <row r="219" ht="15.75" customHeight="1">
      <c r="J219" s="180"/>
    </row>
    <row r="220" ht="15.75" customHeight="1">
      <c r="J220" s="180"/>
    </row>
    <row r="221" ht="15.75" customHeight="1">
      <c r="J221" s="180"/>
    </row>
    <row r="222" ht="15.75" customHeight="1">
      <c r="J222" s="180"/>
    </row>
    <row r="223" ht="15.75" customHeight="1">
      <c r="J223" s="180"/>
    </row>
    <row r="224" ht="15.75" customHeight="1">
      <c r="J224" s="180"/>
    </row>
    <row r="225" ht="15.75" customHeight="1">
      <c r="J225" s="180"/>
    </row>
    <row r="226" ht="15.75" customHeight="1">
      <c r="J226" s="180"/>
    </row>
    <row r="227" ht="15.75" customHeight="1">
      <c r="J227" s="180"/>
    </row>
    <row r="228" ht="15.75" customHeight="1">
      <c r="J228" s="180"/>
    </row>
    <row r="229" ht="15.75" customHeight="1">
      <c r="J229" s="180"/>
    </row>
    <row r="230" ht="15.75" customHeight="1">
      <c r="J230" s="180"/>
    </row>
    <row r="231" ht="15.75" customHeight="1">
      <c r="J231" s="180"/>
    </row>
    <row r="232" ht="15.75" customHeight="1">
      <c r="J232" s="180"/>
    </row>
    <row r="233" ht="15.75" customHeight="1">
      <c r="J233" s="180"/>
    </row>
    <row r="234" ht="15.75" customHeight="1">
      <c r="J234" s="180"/>
    </row>
    <row r="235" ht="15.75" customHeight="1">
      <c r="J235" s="180"/>
    </row>
    <row r="236" ht="15.75" customHeight="1">
      <c r="J236" s="180"/>
    </row>
    <row r="237" ht="15.75" customHeight="1">
      <c r="J237" s="180"/>
    </row>
    <row r="238" ht="15.75" customHeight="1">
      <c r="J238" s="180"/>
    </row>
    <row r="239" ht="15.75" customHeight="1">
      <c r="J239" s="180"/>
    </row>
    <row r="240" ht="15.75" customHeight="1">
      <c r="J240" s="180"/>
    </row>
    <row r="241" ht="15.75" customHeight="1">
      <c r="J241" s="180"/>
    </row>
    <row r="242" ht="15.75" customHeight="1">
      <c r="J242" s="180"/>
    </row>
    <row r="243" ht="15.75" customHeight="1">
      <c r="J243" s="180"/>
    </row>
    <row r="244" ht="15.75" customHeight="1">
      <c r="J244" s="180"/>
    </row>
    <row r="245" ht="15.75" customHeight="1">
      <c r="J245" s="180"/>
    </row>
    <row r="246" ht="15.75" customHeight="1">
      <c r="J246" s="180"/>
    </row>
    <row r="247" ht="15.75" customHeight="1">
      <c r="J247" s="180"/>
    </row>
    <row r="248" ht="15.75" customHeight="1">
      <c r="J248" s="180"/>
    </row>
    <row r="249" ht="15.75" customHeight="1">
      <c r="J249" s="180"/>
    </row>
    <row r="250" ht="15.75" customHeight="1">
      <c r="J250" s="180"/>
    </row>
    <row r="251" ht="15.75" customHeight="1">
      <c r="J251" s="180"/>
    </row>
    <row r="252" ht="15.75" customHeight="1">
      <c r="J252" s="180"/>
    </row>
    <row r="253" ht="15.75" customHeight="1">
      <c r="J253" s="180"/>
    </row>
    <row r="254" ht="15.75" customHeight="1">
      <c r="J254" s="180"/>
    </row>
    <row r="255" ht="15.75" customHeight="1">
      <c r="J255" s="180"/>
    </row>
    <row r="256" ht="15.75" customHeight="1">
      <c r="J256" s="180"/>
    </row>
    <row r="257" ht="15.75" customHeight="1">
      <c r="J257" s="180"/>
    </row>
    <row r="258" ht="15.75" customHeight="1">
      <c r="J258" s="180"/>
    </row>
    <row r="259" ht="15.75" customHeight="1">
      <c r="J259" s="180"/>
    </row>
    <row r="260" ht="15.75" customHeight="1">
      <c r="J260" s="180"/>
    </row>
    <row r="261" ht="15.75" customHeight="1">
      <c r="J261" s="180"/>
    </row>
    <row r="262" ht="15.75" customHeight="1">
      <c r="J262" s="180"/>
    </row>
    <row r="263" ht="15.75" customHeight="1">
      <c r="J263" s="180"/>
    </row>
    <row r="264" ht="15.75" customHeight="1">
      <c r="J264" s="180"/>
    </row>
    <row r="265" ht="15.75" customHeight="1">
      <c r="J265" s="180"/>
    </row>
    <row r="266" ht="15.75" customHeight="1">
      <c r="J266" s="180"/>
    </row>
    <row r="267" ht="15.75" customHeight="1">
      <c r="J267" s="180"/>
    </row>
    <row r="268" ht="15.75" customHeight="1">
      <c r="J268" s="180"/>
    </row>
    <row r="269" ht="15.75" customHeight="1">
      <c r="J269" s="180"/>
    </row>
    <row r="270" ht="15.75" customHeight="1">
      <c r="J270" s="180"/>
    </row>
    <row r="271" ht="15.75" customHeight="1">
      <c r="J271" s="180"/>
    </row>
    <row r="272" ht="15.75" customHeight="1">
      <c r="J272" s="180"/>
    </row>
    <row r="273" ht="15.75" customHeight="1">
      <c r="J273" s="180"/>
    </row>
    <row r="274" ht="15.75" customHeight="1">
      <c r="J274" s="180"/>
    </row>
    <row r="275" ht="15.75" customHeight="1">
      <c r="J275" s="180"/>
    </row>
    <row r="276" ht="15.75" customHeight="1">
      <c r="J276" s="180"/>
    </row>
    <row r="277" ht="15.75" customHeight="1">
      <c r="J277" s="180"/>
    </row>
    <row r="278" ht="15.75" customHeight="1">
      <c r="J278" s="180"/>
    </row>
    <row r="279" ht="15.75" customHeight="1">
      <c r="J279" s="180"/>
    </row>
    <row r="280" ht="15.75" customHeight="1">
      <c r="J280" s="180"/>
    </row>
    <row r="281" ht="15.75" customHeight="1">
      <c r="J281" s="180"/>
    </row>
    <row r="282" ht="15.75" customHeight="1">
      <c r="J282" s="180"/>
    </row>
    <row r="283" ht="15.75" customHeight="1">
      <c r="J283" s="180"/>
    </row>
    <row r="284" ht="15.75" customHeight="1">
      <c r="J284" s="180"/>
    </row>
    <row r="285" ht="15.75" customHeight="1">
      <c r="J285" s="180"/>
    </row>
    <row r="286" ht="15.75" customHeight="1">
      <c r="J286" s="180"/>
    </row>
    <row r="287" ht="15.75" customHeight="1">
      <c r="J287" s="180"/>
    </row>
    <row r="288" ht="15.75" customHeight="1">
      <c r="J288" s="180"/>
    </row>
    <row r="289" ht="15.75" customHeight="1">
      <c r="J289" s="180"/>
    </row>
    <row r="290" ht="15.75" customHeight="1">
      <c r="J290" s="180"/>
    </row>
    <row r="291" ht="15.75" customHeight="1">
      <c r="J291" s="180"/>
    </row>
    <row r="292" ht="15.75" customHeight="1">
      <c r="J292" s="180"/>
    </row>
    <row r="293" ht="15.75" customHeight="1">
      <c r="J293" s="180"/>
    </row>
    <row r="294" ht="15.75" customHeight="1">
      <c r="J294" s="180"/>
    </row>
    <row r="295" ht="15.75" customHeight="1">
      <c r="J295" s="180"/>
    </row>
    <row r="296" ht="15.75" customHeight="1">
      <c r="J296" s="180"/>
    </row>
    <row r="297" ht="15.75" customHeight="1">
      <c r="J297" s="180"/>
    </row>
    <row r="298" ht="15.75" customHeight="1">
      <c r="J298" s="180"/>
    </row>
    <row r="299" ht="15.75" customHeight="1">
      <c r="J299" s="180"/>
    </row>
    <row r="300" ht="15.75" customHeight="1">
      <c r="J300" s="180"/>
    </row>
    <row r="301" ht="15.75" customHeight="1">
      <c r="J301" s="180"/>
    </row>
    <row r="302" ht="15.75" customHeight="1">
      <c r="J302" s="180"/>
    </row>
    <row r="303" ht="15.75" customHeight="1">
      <c r="J303" s="180"/>
    </row>
    <row r="304" ht="15.75" customHeight="1">
      <c r="J304" s="180"/>
    </row>
    <row r="305" ht="15.75" customHeight="1">
      <c r="J305" s="180"/>
    </row>
    <row r="306" ht="15.75" customHeight="1">
      <c r="J306" s="180"/>
    </row>
    <row r="307" ht="15.75" customHeight="1">
      <c r="J307" s="180"/>
    </row>
    <row r="308" ht="15.75" customHeight="1">
      <c r="J308" s="180"/>
    </row>
    <row r="309" ht="15.75" customHeight="1">
      <c r="J309" s="180"/>
    </row>
    <row r="310" ht="15.75" customHeight="1">
      <c r="J310" s="180"/>
    </row>
    <row r="311" ht="15.75" customHeight="1">
      <c r="J311" s="180"/>
    </row>
    <row r="312" ht="15.75" customHeight="1">
      <c r="J312" s="180"/>
    </row>
    <row r="313" ht="15.75" customHeight="1">
      <c r="J313" s="180"/>
    </row>
    <row r="314" ht="15.75" customHeight="1">
      <c r="J314" s="180"/>
    </row>
    <row r="315" ht="15.75" customHeight="1">
      <c r="J315" s="180"/>
    </row>
    <row r="316" ht="15.75" customHeight="1">
      <c r="J316" s="180"/>
    </row>
    <row r="317" ht="15.75" customHeight="1">
      <c r="J317" s="180"/>
    </row>
    <row r="318" ht="15.75" customHeight="1">
      <c r="J318" s="180"/>
    </row>
    <row r="319" ht="15.75" customHeight="1">
      <c r="J319" s="180"/>
    </row>
    <row r="320" ht="15.75" customHeight="1">
      <c r="J320" s="180"/>
    </row>
    <row r="321" ht="15.75" customHeight="1">
      <c r="J321" s="180"/>
    </row>
    <row r="322" ht="15.75" customHeight="1">
      <c r="J322" s="180"/>
    </row>
    <row r="323" ht="15.75" customHeight="1">
      <c r="J323" s="180"/>
    </row>
    <row r="324" ht="15.75" customHeight="1">
      <c r="J324" s="180"/>
    </row>
    <row r="325" ht="15.75" customHeight="1">
      <c r="J325" s="180"/>
    </row>
    <row r="326" ht="15.75" customHeight="1">
      <c r="J326" s="180"/>
    </row>
    <row r="327" ht="15.75" customHeight="1">
      <c r="J327" s="180"/>
    </row>
    <row r="328" ht="15.75" customHeight="1">
      <c r="J328" s="180"/>
    </row>
    <row r="329" ht="15.75" customHeight="1">
      <c r="J329" s="180"/>
    </row>
    <row r="330" ht="15.75" customHeight="1">
      <c r="J330" s="180"/>
    </row>
    <row r="331" ht="15.75" customHeight="1">
      <c r="J331" s="180"/>
    </row>
    <row r="332" ht="15.75" customHeight="1">
      <c r="J332" s="180"/>
    </row>
    <row r="333" ht="15.75" customHeight="1">
      <c r="J333" s="180"/>
    </row>
    <row r="334" ht="15.75" customHeight="1">
      <c r="J334" s="180"/>
    </row>
    <row r="335" ht="15.75" customHeight="1">
      <c r="J335" s="180"/>
    </row>
    <row r="336" ht="15.75" customHeight="1">
      <c r="J336" s="180"/>
    </row>
    <row r="337" ht="15.75" customHeight="1">
      <c r="J337" s="180"/>
    </row>
    <row r="338" ht="15.75" customHeight="1">
      <c r="J338" s="180"/>
    </row>
    <row r="339" ht="15.75" customHeight="1">
      <c r="J339" s="180"/>
    </row>
    <row r="340" ht="15.75" customHeight="1">
      <c r="J340" s="180"/>
    </row>
    <row r="341" ht="15.75" customHeight="1">
      <c r="J341" s="180"/>
    </row>
    <row r="342" ht="15.75" customHeight="1">
      <c r="J342" s="180"/>
    </row>
    <row r="343" ht="15.75" customHeight="1">
      <c r="J343" s="180"/>
    </row>
    <row r="344" ht="15.75" customHeight="1">
      <c r="J344" s="180"/>
    </row>
    <row r="345" ht="15.75" customHeight="1">
      <c r="J345" s="180"/>
    </row>
    <row r="346" ht="15.75" customHeight="1">
      <c r="J346" s="180"/>
    </row>
    <row r="347" ht="15.75" customHeight="1">
      <c r="J347" s="180"/>
    </row>
    <row r="348" ht="15.75" customHeight="1">
      <c r="J348" s="180"/>
    </row>
    <row r="349" ht="15.75" customHeight="1">
      <c r="J349" s="180"/>
    </row>
    <row r="350" ht="15.75" customHeight="1">
      <c r="J350" s="180"/>
    </row>
    <row r="351" ht="15.75" customHeight="1">
      <c r="J351" s="180"/>
    </row>
    <row r="352" ht="15.75" customHeight="1">
      <c r="J352" s="180"/>
    </row>
    <row r="353" ht="15.75" customHeight="1">
      <c r="J353" s="180"/>
    </row>
    <row r="354" ht="15.75" customHeight="1">
      <c r="J354" s="180"/>
    </row>
    <row r="355" ht="15.75" customHeight="1">
      <c r="J355" s="180"/>
    </row>
    <row r="356" ht="15.75" customHeight="1">
      <c r="J356" s="180"/>
    </row>
    <row r="357" ht="15.75" customHeight="1">
      <c r="J357" s="180"/>
    </row>
    <row r="358" ht="15.75" customHeight="1">
      <c r="J358" s="180"/>
    </row>
    <row r="359" ht="15.75" customHeight="1">
      <c r="J359" s="180"/>
    </row>
    <row r="360" ht="15.75" customHeight="1">
      <c r="J360" s="180"/>
    </row>
    <row r="361" ht="15.75" customHeight="1">
      <c r="J361" s="180"/>
    </row>
    <row r="362" ht="15.75" customHeight="1">
      <c r="J362" s="180"/>
    </row>
    <row r="363" ht="15.75" customHeight="1">
      <c r="J363" s="180"/>
    </row>
    <row r="364" ht="15.75" customHeight="1">
      <c r="J364" s="180"/>
    </row>
    <row r="365" ht="15.75" customHeight="1">
      <c r="J365" s="180"/>
    </row>
    <row r="366" ht="15.75" customHeight="1">
      <c r="J366" s="180"/>
    </row>
    <row r="367" ht="15.75" customHeight="1">
      <c r="J367" s="180"/>
    </row>
    <row r="368" ht="15.75" customHeight="1">
      <c r="J368" s="180"/>
    </row>
    <row r="369" ht="15.75" customHeight="1">
      <c r="J369" s="180"/>
    </row>
    <row r="370" ht="15.75" customHeight="1">
      <c r="J370" s="180"/>
    </row>
    <row r="371" ht="15.75" customHeight="1">
      <c r="J371" s="180"/>
    </row>
    <row r="372" ht="15.75" customHeight="1">
      <c r="J372" s="180"/>
    </row>
    <row r="373" ht="15.75" customHeight="1">
      <c r="J373" s="180"/>
    </row>
    <row r="374" ht="15.75" customHeight="1">
      <c r="J374" s="180"/>
    </row>
    <row r="375" ht="15.75" customHeight="1">
      <c r="J375" s="180"/>
    </row>
    <row r="376" ht="15.75" customHeight="1">
      <c r="J376" s="180"/>
    </row>
    <row r="377" ht="15.75" customHeight="1">
      <c r="J377" s="180"/>
    </row>
    <row r="378" ht="15.75" customHeight="1">
      <c r="J378" s="180"/>
    </row>
    <row r="379" ht="15.75" customHeight="1">
      <c r="J379" s="180"/>
    </row>
    <row r="380" ht="15.75" customHeight="1">
      <c r="J380" s="180"/>
    </row>
    <row r="381" ht="15.75" customHeight="1">
      <c r="J381" s="180"/>
    </row>
    <row r="382" ht="15.75" customHeight="1">
      <c r="J382" s="180"/>
    </row>
    <row r="383" ht="15.75" customHeight="1">
      <c r="J383" s="180"/>
    </row>
    <row r="384" ht="15.75" customHeight="1">
      <c r="J384" s="180"/>
    </row>
    <row r="385" ht="15.75" customHeight="1">
      <c r="J385" s="180"/>
    </row>
    <row r="386" ht="15.75" customHeight="1">
      <c r="J386" s="180"/>
    </row>
    <row r="387" ht="15.75" customHeight="1">
      <c r="J387" s="180"/>
    </row>
    <row r="388" ht="15.75" customHeight="1">
      <c r="J388" s="180"/>
    </row>
    <row r="389" ht="15.75" customHeight="1">
      <c r="J389" s="180"/>
    </row>
    <row r="390" ht="15.75" customHeight="1">
      <c r="J390" s="180"/>
    </row>
    <row r="391" ht="15.75" customHeight="1">
      <c r="J391" s="180"/>
    </row>
    <row r="392" ht="15.75" customHeight="1">
      <c r="J392" s="180"/>
    </row>
    <row r="393" ht="15.75" customHeight="1">
      <c r="J393" s="180"/>
    </row>
    <row r="394" ht="15.75" customHeight="1">
      <c r="J394" s="180"/>
    </row>
    <row r="395" ht="15.75" customHeight="1">
      <c r="J395" s="180"/>
    </row>
    <row r="396" ht="15.75" customHeight="1">
      <c r="J396" s="180"/>
    </row>
    <row r="397" ht="15.75" customHeight="1">
      <c r="J397" s="180"/>
    </row>
    <row r="398" ht="15.75" customHeight="1">
      <c r="J398" s="180"/>
    </row>
    <row r="399" ht="15.75" customHeight="1">
      <c r="J399" s="180"/>
    </row>
    <row r="400" ht="15.75" customHeight="1">
      <c r="J400" s="180"/>
    </row>
    <row r="401" ht="15.75" customHeight="1">
      <c r="J401" s="180"/>
    </row>
    <row r="402" ht="15.75" customHeight="1">
      <c r="J402" s="180"/>
    </row>
    <row r="403" ht="15.75" customHeight="1">
      <c r="J403" s="180"/>
    </row>
    <row r="404" ht="15.75" customHeight="1">
      <c r="J404" s="180"/>
    </row>
    <row r="405" ht="15.75" customHeight="1">
      <c r="J405" s="180"/>
    </row>
    <row r="406" ht="15.75" customHeight="1">
      <c r="J406" s="180"/>
    </row>
    <row r="407" ht="15.75" customHeight="1">
      <c r="J407" s="180"/>
    </row>
    <row r="408" ht="15.75" customHeight="1">
      <c r="J408" s="180"/>
    </row>
    <row r="409" ht="15.75" customHeight="1">
      <c r="J409" s="180"/>
    </row>
    <row r="410" ht="15.75" customHeight="1">
      <c r="J410" s="180"/>
    </row>
    <row r="411" ht="15.75" customHeight="1">
      <c r="J411" s="180"/>
    </row>
    <row r="412" ht="15.75" customHeight="1">
      <c r="J412" s="180"/>
    </row>
    <row r="413" ht="15.75" customHeight="1">
      <c r="J413" s="180"/>
    </row>
    <row r="414" ht="15.75" customHeight="1">
      <c r="J414" s="180"/>
    </row>
    <row r="415" ht="15.75" customHeight="1">
      <c r="J415" s="180"/>
    </row>
    <row r="416" ht="15.75" customHeight="1">
      <c r="J416" s="180"/>
    </row>
    <row r="417" ht="15.75" customHeight="1">
      <c r="J417" s="180"/>
    </row>
    <row r="418" ht="15.75" customHeight="1">
      <c r="J418" s="180"/>
    </row>
    <row r="419" ht="15.75" customHeight="1">
      <c r="J419" s="180"/>
    </row>
    <row r="420" ht="15.75" customHeight="1">
      <c r="J420" s="180"/>
    </row>
    <row r="421" ht="15.75" customHeight="1">
      <c r="J421" s="180"/>
    </row>
    <row r="422" ht="15.75" customHeight="1">
      <c r="J422" s="180"/>
    </row>
    <row r="423" ht="15.75" customHeight="1">
      <c r="J423" s="180"/>
    </row>
    <row r="424" ht="15.75" customHeight="1">
      <c r="J424" s="180"/>
    </row>
    <row r="425" ht="15.75" customHeight="1">
      <c r="J425" s="180"/>
    </row>
    <row r="426" ht="15.75" customHeight="1">
      <c r="J426" s="180"/>
    </row>
    <row r="427" ht="15.75" customHeight="1">
      <c r="J427" s="180"/>
    </row>
    <row r="428" ht="15.75" customHeight="1">
      <c r="J428" s="180"/>
    </row>
    <row r="429" ht="15.75" customHeight="1">
      <c r="J429" s="180"/>
    </row>
    <row r="430" ht="15.75" customHeight="1">
      <c r="J430" s="180"/>
    </row>
    <row r="431" ht="15.75" customHeight="1">
      <c r="J431" s="180"/>
    </row>
    <row r="432" ht="15.75" customHeight="1">
      <c r="J432" s="180"/>
    </row>
    <row r="433" ht="15.75" customHeight="1">
      <c r="J433" s="180"/>
    </row>
    <row r="434" ht="15.75" customHeight="1">
      <c r="J434" s="180"/>
    </row>
    <row r="435" ht="15.75" customHeight="1">
      <c r="J435" s="180"/>
    </row>
    <row r="436" ht="15.75" customHeight="1">
      <c r="J436" s="180"/>
    </row>
    <row r="437" ht="15.75" customHeight="1">
      <c r="J437" s="180"/>
    </row>
    <row r="438" ht="15.75" customHeight="1">
      <c r="J438" s="180"/>
    </row>
    <row r="439" ht="15.75" customHeight="1">
      <c r="J439" s="180"/>
    </row>
    <row r="440" ht="15.75" customHeight="1">
      <c r="J440" s="180"/>
    </row>
    <row r="441" ht="15.75" customHeight="1">
      <c r="J441" s="180"/>
    </row>
    <row r="442" ht="15.75" customHeight="1">
      <c r="J442" s="180"/>
    </row>
    <row r="443" ht="15.75" customHeight="1">
      <c r="J443" s="180"/>
    </row>
    <row r="444" ht="15.75" customHeight="1">
      <c r="J444" s="180"/>
    </row>
    <row r="445" ht="15.75" customHeight="1">
      <c r="J445" s="180"/>
    </row>
    <row r="446" ht="15.75" customHeight="1">
      <c r="J446" s="180"/>
    </row>
    <row r="447" ht="15.75" customHeight="1">
      <c r="J447" s="180"/>
    </row>
    <row r="448" ht="15.75" customHeight="1">
      <c r="J448" s="180"/>
    </row>
    <row r="449" ht="15.75" customHeight="1">
      <c r="J449" s="180"/>
    </row>
    <row r="450" ht="15.75" customHeight="1">
      <c r="J450" s="180"/>
    </row>
    <row r="451" ht="15.75" customHeight="1">
      <c r="J451" s="180"/>
    </row>
    <row r="452" ht="15.75" customHeight="1">
      <c r="J452" s="180"/>
    </row>
    <row r="453" ht="15.75" customHeight="1">
      <c r="J453" s="180"/>
    </row>
    <row r="454" ht="15.75" customHeight="1">
      <c r="J454" s="180"/>
    </row>
    <row r="455" ht="15.75" customHeight="1">
      <c r="J455" s="180"/>
    </row>
    <row r="456" ht="15.75" customHeight="1">
      <c r="J456" s="180"/>
    </row>
    <row r="457" ht="15.75" customHeight="1">
      <c r="J457" s="180"/>
    </row>
    <row r="458" ht="15.75" customHeight="1">
      <c r="J458" s="180"/>
    </row>
    <row r="459" ht="15.75" customHeight="1">
      <c r="J459" s="180"/>
    </row>
    <row r="460" ht="15.75" customHeight="1">
      <c r="J460" s="180"/>
    </row>
    <row r="461" ht="15.75" customHeight="1">
      <c r="J461" s="180"/>
    </row>
    <row r="462" ht="15.75" customHeight="1">
      <c r="J462" s="180"/>
    </row>
    <row r="463" ht="15.75" customHeight="1">
      <c r="J463" s="180"/>
    </row>
    <row r="464" ht="15.75" customHeight="1">
      <c r="J464" s="180"/>
    </row>
    <row r="465" ht="15.75" customHeight="1">
      <c r="J465" s="180"/>
    </row>
    <row r="466" ht="15.75" customHeight="1">
      <c r="J466" s="180"/>
    </row>
    <row r="467" ht="15.75" customHeight="1">
      <c r="J467" s="180"/>
    </row>
    <row r="468" ht="15.75" customHeight="1">
      <c r="J468" s="180"/>
    </row>
    <row r="469" ht="15.75" customHeight="1">
      <c r="J469" s="180"/>
    </row>
    <row r="470" ht="15.75" customHeight="1">
      <c r="J470" s="180"/>
    </row>
    <row r="471" ht="15.75" customHeight="1">
      <c r="J471" s="180"/>
    </row>
    <row r="472" ht="15.75" customHeight="1">
      <c r="J472" s="180"/>
    </row>
    <row r="473" ht="15.75" customHeight="1">
      <c r="J473" s="180"/>
    </row>
    <row r="474" ht="15.75" customHeight="1">
      <c r="J474" s="180"/>
    </row>
    <row r="475" ht="15.75" customHeight="1">
      <c r="J475" s="180"/>
    </row>
    <row r="476" ht="15.75" customHeight="1">
      <c r="J476" s="180"/>
    </row>
    <row r="477" ht="15.75" customHeight="1">
      <c r="J477" s="180"/>
    </row>
    <row r="478" ht="15.75" customHeight="1">
      <c r="J478" s="180"/>
    </row>
    <row r="479" ht="15.75" customHeight="1">
      <c r="J479" s="180"/>
    </row>
    <row r="480" ht="15.75" customHeight="1">
      <c r="J480" s="180"/>
    </row>
    <row r="481" ht="15.75" customHeight="1">
      <c r="J481" s="180"/>
    </row>
    <row r="482" ht="15.75" customHeight="1">
      <c r="J482" s="180"/>
    </row>
    <row r="483" ht="15.75" customHeight="1">
      <c r="J483" s="180"/>
    </row>
    <row r="484" ht="15.75" customHeight="1">
      <c r="J484" s="180"/>
    </row>
    <row r="485" ht="15.75" customHeight="1">
      <c r="J485" s="180"/>
    </row>
    <row r="486" ht="15.75" customHeight="1">
      <c r="J486" s="180"/>
    </row>
    <row r="487" ht="15.75" customHeight="1">
      <c r="J487" s="180"/>
    </row>
    <row r="488" ht="15.75" customHeight="1">
      <c r="J488" s="180"/>
    </row>
    <row r="489" ht="15.75" customHeight="1">
      <c r="J489" s="180"/>
    </row>
    <row r="490" ht="15.75" customHeight="1">
      <c r="J490" s="180"/>
    </row>
    <row r="491" ht="15.75" customHeight="1">
      <c r="J491" s="180"/>
    </row>
    <row r="492" ht="15.75" customHeight="1">
      <c r="J492" s="180"/>
    </row>
    <row r="493" ht="15.75" customHeight="1">
      <c r="J493" s="180"/>
    </row>
    <row r="494" ht="15.75" customHeight="1">
      <c r="J494" s="180"/>
    </row>
    <row r="495" ht="15.75" customHeight="1">
      <c r="J495" s="180"/>
    </row>
    <row r="496" ht="15.75" customHeight="1">
      <c r="J496" s="180"/>
    </row>
    <row r="497" ht="15.75" customHeight="1">
      <c r="J497" s="180"/>
    </row>
    <row r="498" ht="15.75" customHeight="1">
      <c r="J498" s="180"/>
    </row>
    <row r="499" ht="15.75" customHeight="1">
      <c r="J499" s="180"/>
    </row>
    <row r="500" ht="15.75" customHeight="1">
      <c r="J500" s="180"/>
    </row>
    <row r="501" ht="15.75" customHeight="1">
      <c r="J501" s="180"/>
    </row>
    <row r="502" ht="15.75" customHeight="1">
      <c r="J502" s="180"/>
    </row>
    <row r="503" ht="15.75" customHeight="1">
      <c r="J503" s="180"/>
    </row>
    <row r="504" ht="15.75" customHeight="1">
      <c r="J504" s="180"/>
    </row>
    <row r="505" ht="15.75" customHeight="1">
      <c r="J505" s="180"/>
    </row>
    <row r="506" ht="15.75" customHeight="1">
      <c r="J506" s="180"/>
    </row>
    <row r="507" ht="15.75" customHeight="1">
      <c r="J507" s="180"/>
    </row>
    <row r="508" ht="15.75" customHeight="1">
      <c r="J508" s="180"/>
    </row>
    <row r="509" ht="15.75" customHeight="1">
      <c r="J509" s="180"/>
    </row>
    <row r="510" ht="15.75" customHeight="1">
      <c r="J510" s="180"/>
    </row>
    <row r="511" ht="15.75" customHeight="1">
      <c r="J511" s="180"/>
    </row>
    <row r="512" ht="15.75" customHeight="1">
      <c r="J512" s="180"/>
    </row>
    <row r="513" ht="15.75" customHeight="1">
      <c r="J513" s="180"/>
    </row>
    <row r="514" ht="15.75" customHeight="1">
      <c r="J514" s="180"/>
    </row>
    <row r="515" ht="15.75" customHeight="1">
      <c r="J515" s="180"/>
    </row>
    <row r="516" ht="15.75" customHeight="1">
      <c r="J516" s="180"/>
    </row>
    <row r="517" ht="15.75" customHeight="1">
      <c r="J517" s="180"/>
    </row>
    <row r="518" ht="15.75" customHeight="1">
      <c r="J518" s="180"/>
    </row>
    <row r="519" ht="15.75" customHeight="1">
      <c r="J519" s="180"/>
    </row>
    <row r="520" ht="15.75" customHeight="1">
      <c r="J520" s="180"/>
    </row>
    <row r="521" ht="15.75" customHeight="1">
      <c r="J521" s="180"/>
    </row>
    <row r="522" ht="15.75" customHeight="1">
      <c r="J522" s="180"/>
    </row>
    <row r="523" ht="15.75" customHeight="1">
      <c r="J523" s="180"/>
    </row>
    <row r="524" ht="15.75" customHeight="1">
      <c r="J524" s="180"/>
    </row>
    <row r="525" ht="15.75" customHeight="1">
      <c r="J525" s="180"/>
    </row>
    <row r="526" ht="15.75" customHeight="1">
      <c r="J526" s="180"/>
    </row>
    <row r="527" ht="15.75" customHeight="1">
      <c r="J527" s="180"/>
    </row>
    <row r="528" ht="15.75" customHeight="1">
      <c r="J528" s="180"/>
    </row>
    <row r="529" ht="15.75" customHeight="1">
      <c r="J529" s="180"/>
    </row>
    <row r="530" ht="15.75" customHeight="1">
      <c r="J530" s="180"/>
    </row>
    <row r="531" ht="15.75" customHeight="1">
      <c r="J531" s="180"/>
    </row>
    <row r="532" ht="15.75" customHeight="1">
      <c r="J532" s="180"/>
    </row>
    <row r="533" ht="15.75" customHeight="1">
      <c r="J533" s="180"/>
    </row>
    <row r="534" ht="15.75" customHeight="1">
      <c r="J534" s="180"/>
    </row>
    <row r="535" ht="15.75" customHeight="1">
      <c r="J535" s="180"/>
    </row>
    <row r="536" ht="15.75" customHeight="1">
      <c r="J536" s="180"/>
    </row>
    <row r="537" ht="15.75" customHeight="1">
      <c r="J537" s="180"/>
    </row>
    <row r="538" ht="15.75" customHeight="1">
      <c r="J538" s="180"/>
    </row>
    <row r="539" ht="15.75" customHeight="1">
      <c r="J539" s="180"/>
    </row>
    <row r="540" ht="15.75" customHeight="1">
      <c r="J540" s="180"/>
    </row>
    <row r="541" ht="15.75" customHeight="1">
      <c r="J541" s="180"/>
    </row>
    <row r="542" ht="15.75" customHeight="1">
      <c r="J542" s="180"/>
    </row>
    <row r="543" ht="15.75" customHeight="1">
      <c r="J543" s="180"/>
    </row>
    <row r="544" ht="15.75" customHeight="1">
      <c r="J544" s="180"/>
    </row>
    <row r="545" ht="15.75" customHeight="1">
      <c r="J545" s="180"/>
    </row>
    <row r="546" ht="15.75" customHeight="1">
      <c r="J546" s="180"/>
    </row>
    <row r="547" ht="15.75" customHeight="1">
      <c r="J547" s="180"/>
    </row>
    <row r="548" ht="15.75" customHeight="1">
      <c r="J548" s="180"/>
    </row>
    <row r="549" ht="15.75" customHeight="1">
      <c r="J549" s="180"/>
    </row>
    <row r="550" ht="15.75" customHeight="1">
      <c r="J550" s="180"/>
    </row>
    <row r="551" ht="15.75" customHeight="1">
      <c r="J551" s="180"/>
    </row>
    <row r="552" ht="15.75" customHeight="1">
      <c r="J552" s="180"/>
    </row>
    <row r="553" ht="15.75" customHeight="1">
      <c r="J553" s="180"/>
    </row>
    <row r="554" ht="15.75" customHeight="1">
      <c r="J554" s="180"/>
    </row>
    <row r="555" ht="15.75" customHeight="1">
      <c r="J555" s="180"/>
    </row>
    <row r="556" ht="15.75" customHeight="1">
      <c r="J556" s="180"/>
    </row>
    <row r="557" ht="15.75" customHeight="1">
      <c r="J557" s="180"/>
    </row>
    <row r="558" ht="15.75" customHeight="1">
      <c r="J558" s="180"/>
    </row>
    <row r="559" ht="15.75" customHeight="1">
      <c r="J559" s="180"/>
    </row>
    <row r="560" ht="15.75" customHeight="1">
      <c r="J560" s="180"/>
    </row>
    <row r="561" ht="15.75" customHeight="1">
      <c r="J561" s="180"/>
    </row>
    <row r="562" ht="15.75" customHeight="1">
      <c r="J562" s="180"/>
    </row>
    <row r="563" ht="15.75" customHeight="1">
      <c r="J563" s="180"/>
    </row>
    <row r="564" ht="15.75" customHeight="1">
      <c r="J564" s="180"/>
    </row>
    <row r="565" ht="15.75" customHeight="1">
      <c r="J565" s="180"/>
    </row>
    <row r="566" ht="15.75" customHeight="1">
      <c r="J566" s="180"/>
    </row>
    <row r="567" ht="15.75" customHeight="1">
      <c r="J567" s="180"/>
    </row>
    <row r="568" ht="15.75" customHeight="1">
      <c r="J568" s="180"/>
    </row>
    <row r="569" ht="15.75" customHeight="1">
      <c r="J569" s="180"/>
    </row>
    <row r="570" ht="15.75" customHeight="1">
      <c r="J570" s="180"/>
    </row>
    <row r="571" ht="15.75" customHeight="1">
      <c r="J571" s="180"/>
    </row>
    <row r="572" ht="15.75" customHeight="1">
      <c r="J572" s="180"/>
    </row>
    <row r="573" ht="15.75" customHeight="1">
      <c r="J573" s="180"/>
    </row>
    <row r="574" ht="15.75" customHeight="1">
      <c r="J574" s="180"/>
    </row>
    <row r="575" ht="15.75" customHeight="1">
      <c r="J575" s="180"/>
    </row>
    <row r="576" ht="15.75" customHeight="1">
      <c r="J576" s="180"/>
    </row>
    <row r="577" ht="15.75" customHeight="1">
      <c r="J577" s="180"/>
    </row>
    <row r="578" ht="15.75" customHeight="1">
      <c r="J578" s="180"/>
    </row>
    <row r="579" ht="15.75" customHeight="1">
      <c r="J579" s="180"/>
    </row>
    <row r="580" ht="15.75" customHeight="1">
      <c r="J580" s="180"/>
    </row>
    <row r="581" ht="15.75" customHeight="1">
      <c r="J581" s="180"/>
    </row>
    <row r="582" ht="15.75" customHeight="1">
      <c r="J582" s="180"/>
    </row>
    <row r="583" ht="15.75" customHeight="1">
      <c r="J583" s="180"/>
    </row>
    <row r="584" ht="15.75" customHeight="1">
      <c r="J584" s="180"/>
    </row>
    <row r="585" ht="15.75" customHeight="1">
      <c r="J585" s="180"/>
    </row>
    <row r="586" ht="15.75" customHeight="1">
      <c r="J586" s="180"/>
    </row>
    <row r="587" ht="15.75" customHeight="1">
      <c r="J587" s="180"/>
    </row>
    <row r="588" ht="15.75" customHeight="1">
      <c r="J588" s="180"/>
    </row>
    <row r="589" ht="15.75" customHeight="1">
      <c r="J589" s="180"/>
    </row>
    <row r="590" ht="15.75" customHeight="1">
      <c r="J590" s="180"/>
    </row>
    <row r="591" ht="15.75" customHeight="1">
      <c r="J591" s="180"/>
    </row>
    <row r="592" ht="15.75" customHeight="1">
      <c r="J592" s="180"/>
    </row>
    <row r="593" ht="15.75" customHeight="1">
      <c r="J593" s="180"/>
    </row>
    <row r="594" ht="15.75" customHeight="1">
      <c r="J594" s="180"/>
    </row>
    <row r="595" ht="15.75" customHeight="1">
      <c r="J595" s="180"/>
    </row>
    <row r="596" ht="15.75" customHeight="1">
      <c r="J596" s="180"/>
    </row>
    <row r="597" ht="15.75" customHeight="1">
      <c r="J597" s="180"/>
    </row>
    <row r="598" ht="15.75" customHeight="1">
      <c r="J598" s="180"/>
    </row>
    <row r="599" ht="15.75" customHeight="1">
      <c r="J599" s="180"/>
    </row>
    <row r="600" ht="15.75" customHeight="1">
      <c r="J600" s="180"/>
    </row>
    <row r="601" ht="15.75" customHeight="1">
      <c r="J601" s="180"/>
    </row>
    <row r="602" ht="15.75" customHeight="1">
      <c r="J602" s="180"/>
    </row>
    <row r="603" ht="15.75" customHeight="1">
      <c r="J603" s="180"/>
    </row>
    <row r="604" ht="15.75" customHeight="1">
      <c r="J604" s="180"/>
    </row>
    <row r="605" ht="15.75" customHeight="1">
      <c r="J605" s="180"/>
    </row>
    <row r="606" ht="15.75" customHeight="1">
      <c r="J606" s="180"/>
    </row>
    <row r="607" ht="15.75" customHeight="1">
      <c r="J607" s="180"/>
    </row>
    <row r="608" ht="15.75" customHeight="1">
      <c r="J608" s="180"/>
    </row>
    <row r="609" ht="15.75" customHeight="1">
      <c r="J609" s="180"/>
    </row>
    <row r="610" ht="15.75" customHeight="1">
      <c r="J610" s="180"/>
    </row>
    <row r="611" ht="15.75" customHeight="1">
      <c r="J611" s="180"/>
    </row>
    <row r="612" ht="15.75" customHeight="1">
      <c r="J612" s="180"/>
    </row>
    <row r="613" ht="15.75" customHeight="1">
      <c r="J613" s="180"/>
    </row>
    <row r="614" ht="15.75" customHeight="1">
      <c r="J614" s="180"/>
    </row>
    <row r="615" ht="15.75" customHeight="1">
      <c r="J615" s="180"/>
    </row>
    <row r="616" ht="15.75" customHeight="1">
      <c r="J616" s="180"/>
    </row>
    <row r="617" ht="15.75" customHeight="1">
      <c r="J617" s="180"/>
    </row>
    <row r="618" ht="15.75" customHeight="1">
      <c r="J618" s="180"/>
    </row>
    <row r="619" ht="15.75" customHeight="1">
      <c r="J619" s="180"/>
    </row>
    <row r="620" ht="15.75" customHeight="1">
      <c r="J620" s="180"/>
    </row>
    <row r="621" ht="15.75" customHeight="1">
      <c r="J621" s="180"/>
    </row>
    <row r="622" ht="15.75" customHeight="1">
      <c r="J622" s="180"/>
    </row>
    <row r="623" ht="15.75" customHeight="1">
      <c r="J623" s="180"/>
    </row>
    <row r="624" ht="15.75" customHeight="1">
      <c r="J624" s="180"/>
    </row>
    <row r="625" ht="15.75" customHeight="1">
      <c r="J625" s="180"/>
    </row>
    <row r="626" ht="15.75" customHeight="1">
      <c r="J626" s="180"/>
    </row>
    <row r="627" ht="15.75" customHeight="1">
      <c r="J627" s="180"/>
    </row>
    <row r="628" ht="15.75" customHeight="1">
      <c r="J628" s="180"/>
    </row>
    <row r="629" ht="15.75" customHeight="1">
      <c r="J629" s="180"/>
    </row>
    <row r="630" ht="15.75" customHeight="1">
      <c r="J630" s="180"/>
    </row>
    <row r="631" ht="15.75" customHeight="1">
      <c r="J631" s="180"/>
    </row>
    <row r="632" ht="15.75" customHeight="1">
      <c r="J632" s="180"/>
    </row>
    <row r="633" ht="15.75" customHeight="1">
      <c r="J633" s="180"/>
    </row>
    <row r="634" ht="15.75" customHeight="1">
      <c r="J634" s="180"/>
    </row>
    <row r="635" ht="15.75" customHeight="1">
      <c r="J635" s="180"/>
    </row>
    <row r="636" ht="15.75" customHeight="1">
      <c r="J636" s="180"/>
    </row>
    <row r="637" ht="15.75" customHeight="1">
      <c r="J637" s="180"/>
    </row>
    <row r="638" ht="15.75" customHeight="1">
      <c r="J638" s="180"/>
    </row>
    <row r="639" ht="15.75" customHeight="1">
      <c r="J639" s="180"/>
    </row>
    <row r="640" ht="15.75" customHeight="1">
      <c r="J640" s="180"/>
    </row>
    <row r="641" ht="15.75" customHeight="1">
      <c r="J641" s="180"/>
    </row>
    <row r="642" ht="15.75" customHeight="1">
      <c r="J642" s="180"/>
    </row>
    <row r="643" ht="15.75" customHeight="1">
      <c r="J643" s="180"/>
    </row>
    <row r="644" ht="15.75" customHeight="1">
      <c r="J644" s="180"/>
    </row>
    <row r="645" ht="15.75" customHeight="1">
      <c r="J645" s="180"/>
    </row>
    <row r="646" ht="15.75" customHeight="1">
      <c r="J646" s="180"/>
    </row>
    <row r="647" ht="15.75" customHeight="1">
      <c r="J647" s="180"/>
    </row>
    <row r="648" ht="15.75" customHeight="1">
      <c r="J648" s="180"/>
    </row>
    <row r="649" ht="15.75" customHeight="1">
      <c r="J649" s="180"/>
    </row>
    <row r="650" ht="15.75" customHeight="1">
      <c r="J650" s="180"/>
    </row>
    <row r="651" ht="15.75" customHeight="1">
      <c r="J651" s="180"/>
    </row>
    <row r="652" ht="15.75" customHeight="1">
      <c r="J652" s="180"/>
    </row>
    <row r="653" ht="15.75" customHeight="1">
      <c r="J653" s="180"/>
    </row>
    <row r="654" ht="15.75" customHeight="1">
      <c r="J654" s="180"/>
    </row>
    <row r="655" ht="15.75" customHeight="1">
      <c r="J655" s="180"/>
    </row>
    <row r="656" ht="15.75" customHeight="1">
      <c r="J656" s="180"/>
    </row>
    <row r="657" ht="15.75" customHeight="1">
      <c r="J657" s="180"/>
    </row>
    <row r="658" ht="15.75" customHeight="1">
      <c r="J658" s="180"/>
    </row>
    <row r="659" ht="15.75" customHeight="1">
      <c r="J659" s="180"/>
    </row>
    <row r="660" ht="15.75" customHeight="1">
      <c r="J660" s="180"/>
    </row>
    <row r="661" ht="15.75" customHeight="1">
      <c r="J661" s="180"/>
    </row>
    <row r="662" ht="15.75" customHeight="1">
      <c r="J662" s="180"/>
    </row>
    <row r="663" ht="15.75" customHeight="1">
      <c r="J663" s="180"/>
    </row>
    <row r="664" ht="15.75" customHeight="1">
      <c r="J664" s="180"/>
    </row>
    <row r="665" ht="15.75" customHeight="1">
      <c r="J665" s="180"/>
    </row>
    <row r="666" ht="15.75" customHeight="1">
      <c r="J666" s="180"/>
    </row>
    <row r="667" ht="15.75" customHeight="1">
      <c r="J667" s="180"/>
    </row>
    <row r="668" ht="15.75" customHeight="1">
      <c r="J668" s="180"/>
    </row>
    <row r="669" ht="15.75" customHeight="1">
      <c r="J669" s="180"/>
    </row>
    <row r="670" ht="15.75" customHeight="1">
      <c r="J670" s="180"/>
    </row>
    <row r="671" ht="15.75" customHeight="1">
      <c r="J671" s="180"/>
    </row>
    <row r="672" ht="15.75" customHeight="1">
      <c r="J672" s="180"/>
    </row>
    <row r="673" ht="15.75" customHeight="1">
      <c r="J673" s="180"/>
    </row>
    <row r="674" ht="15.75" customHeight="1">
      <c r="J674" s="180"/>
    </row>
    <row r="675" ht="15.75" customHeight="1">
      <c r="J675" s="180"/>
    </row>
    <row r="676" ht="15.75" customHeight="1">
      <c r="J676" s="180"/>
    </row>
    <row r="677" ht="15.75" customHeight="1">
      <c r="J677" s="180"/>
    </row>
    <row r="678" ht="15.75" customHeight="1">
      <c r="J678" s="180"/>
    </row>
    <row r="679" ht="15.75" customHeight="1">
      <c r="J679" s="180"/>
    </row>
    <row r="680" ht="15.75" customHeight="1">
      <c r="J680" s="180"/>
    </row>
    <row r="681" ht="15.75" customHeight="1">
      <c r="J681" s="180"/>
    </row>
    <row r="682" ht="15.75" customHeight="1">
      <c r="J682" s="180"/>
    </row>
    <row r="683" ht="15.75" customHeight="1">
      <c r="J683" s="180"/>
    </row>
    <row r="684" ht="15.75" customHeight="1">
      <c r="J684" s="180"/>
    </row>
    <row r="685" ht="15.75" customHeight="1">
      <c r="J685" s="180"/>
    </row>
    <row r="686" ht="15.75" customHeight="1">
      <c r="J686" s="180"/>
    </row>
    <row r="687" ht="15.75" customHeight="1">
      <c r="J687" s="180"/>
    </row>
    <row r="688" ht="15.75" customHeight="1">
      <c r="J688" s="180"/>
    </row>
    <row r="689" ht="15.75" customHeight="1">
      <c r="J689" s="180"/>
    </row>
    <row r="690" ht="15.75" customHeight="1">
      <c r="J690" s="180"/>
    </row>
    <row r="691" ht="15.75" customHeight="1">
      <c r="J691" s="180"/>
    </row>
    <row r="692" ht="15.75" customHeight="1">
      <c r="J692" s="180"/>
    </row>
    <row r="693" ht="15.75" customHeight="1">
      <c r="J693" s="180"/>
    </row>
    <row r="694" ht="15.75" customHeight="1">
      <c r="J694" s="180"/>
    </row>
    <row r="695" ht="15.75" customHeight="1">
      <c r="J695" s="180"/>
    </row>
    <row r="696" ht="15.75" customHeight="1">
      <c r="J696" s="180"/>
    </row>
    <row r="697" ht="15.75" customHeight="1">
      <c r="J697" s="180"/>
    </row>
    <row r="698" ht="15.75" customHeight="1">
      <c r="J698" s="180"/>
    </row>
    <row r="699" ht="15.75" customHeight="1">
      <c r="J699" s="180"/>
    </row>
    <row r="700" ht="15.75" customHeight="1">
      <c r="J700" s="180"/>
    </row>
    <row r="701" ht="15.75" customHeight="1">
      <c r="J701" s="180"/>
    </row>
    <row r="702" ht="15.75" customHeight="1">
      <c r="J702" s="180"/>
    </row>
    <row r="703" ht="15.75" customHeight="1">
      <c r="J703" s="180"/>
    </row>
    <row r="704" ht="15.75" customHeight="1">
      <c r="J704" s="180"/>
    </row>
    <row r="705" ht="15.75" customHeight="1">
      <c r="J705" s="180"/>
    </row>
    <row r="706" ht="15.75" customHeight="1">
      <c r="J706" s="180"/>
    </row>
    <row r="707" ht="15.75" customHeight="1">
      <c r="J707" s="180"/>
    </row>
    <row r="708" ht="15.75" customHeight="1">
      <c r="J708" s="180"/>
    </row>
    <row r="709" ht="15.75" customHeight="1">
      <c r="J709" s="180"/>
    </row>
    <row r="710" ht="15.75" customHeight="1">
      <c r="J710" s="180"/>
    </row>
    <row r="711" ht="15.75" customHeight="1">
      <c r="J711" s="180"/>
    </row>
    <row r="712" ht="15.75" customHeight="1">
      <c r="J712" s="180"/>
    </row>
    <row r="713" ht="15.75" customHeight="1">
      <c r="J713" s="180"/>
    </row>
    <row r="714" ht="15.75" customHeight="1">
      <c r="J714" s="180"/>
    </row>
    <row r="715" ht="15.75" customHeight="1">
      <c r="J715" s="180"/>
    </row>
    <row r="716" ht="15.75" customHeight="1">
      <c r="J716" s="180"/>
    </row>
    <row r="717" ht="15.75" customHeight="1">
      <c r="J717" s="180"/>
    </row>
    <row r="718" ht="15.75" customHeight="1">
      <c r="J718" s="180"/>
    </row>
    <row r="719" ht="15.75" customHeight="1">
      <c r="J719" s="180"/>
    </row>
    <row r="720" ht="15.75" customHeight="1">
      <c r="J720" s="180"/>
    </row>
    <row r="721" ht="15.75" customHeight="1">
      <c r="J721" s="180"/>
    </row>
    <row r="722" ht="15.75" customHeight="1">
      <c r="J722" s="180"/>
    </row>
    <row r="723" ht="15.75" customHeight="1">
      <c r="J723" s="180"/>
    </row>
    <row r="724" ht="15.75" customHeight="1">
      <c r="J724" s="180"/>
    </row>
    <row r="725" ht="15.75" customHeight="1">
      <c r="J725" s="180"/>
    </row>
    <row r="726" ht="15.75" customHeight="1">
      <c r="J726" s="180"/>
    </row>
    <row r="727" ht="15.75" customHeight="1">
      <c r="J727" s="180"/>
    </row>
    <row r="728" ht="15.75" customHeight="1">
      <c r="J728" s="180"/>
    </row>
    <row r="729" ht="15.75" customHeight="1">
      <c r="J729" s="180"/>
    </row>
    <row r="730" ht="15.75" customHeight="1">
      <c r="J730" s="180"/>
    </row>
    <row r="731" ht="15.75" customHeight="1">
      <c r="J731" s="180"/>
    </row>
    <row r="732" ht="15.75" customHeight="1">
      <c r="J732" s="180"/>
    </row>
    <row r="733" ht="15.75" customHeight="1">
      <c r="J733" s="180"/>
    </row>
    <row r="734" ht="15.75" customHeight="1">
      <c r="J734" s="180"/>
    </row>
    <row r="735" ht="15.75" customHeight="1">
      <c r="J735" s="180"/>
    </row>
    <row r="736" ht="15.75" customHeight="1">
      <c r="J736" s="180"/>
    </row>
    <row r="737" ht="15.75" customHeight="1">
      <c r="J737" s="180"/>
    </row>
    <row r="738" ht="15.75" customHeight="1">
      <c r="J738" s="180"/>
    </row>
    <row r="739" ht="15.75" customHeight="1">
      <c r="J739" s="180"/>
    </row>
    <row r="740" ht="15.75" customHeight="1">
      <c r="J740" s="180"/>
    </row>
    <row r="741" ht="15.75" customHeight="1">
      <c r="J741" s="180"/>
    </row>
    <row r="742" ht="15.75" customHeight="1">
      <c r="J742" s="180"/>
    </row>
    <row r="743" ht="15.75" customHeight="1">
      <c r="J743" s="180"/>
    </row>
    <row r="744" ht="15.75" customHeight="1">
      <c r="J744" s="180"/>
    </row>
    <row r="745" ht="15.75" customHeight="1">
      <c r="J745" s="180"/>
    </row>
    <row r="746" ht="15.75" customHeight="1">
      <c r="J746" s="180"/>
    </row>
    <row r="747" ht="15.75" customHeight="1">
      <c r="J747" s="180"/>
    </row>
    <row r="748" ht="15.75" customHeight="1">
      <c r="J748" s="180"/>
    </row>
    <row r="749" ht="15.75" customHeight="1">
      <c r="J749" s="180"/>
    </row>
    <row r="750" ht="15.75" customHeight="1">
      <c r="J750" s="180"/>
    </row>
    <row r="751" ht="15.75" customHeight="1">
      <c r="J751" s="180"/>
    </row>
    <row r="752" ht="15.75" customHeight="1">
      <c r="J752" s="180"/>
    </row>
    <row r="753" ht="15.75" customHeight="1">
      <c r="J753" s="180"/>
    </row>
    <row r="754" ht="15.75" customHeight="1">
      <c r="J754" s="180"/>
    </row>
    <row r="755" ht="15.75" customHeight="1">
      <c r="J755" s="180"/>
    </row>
    <row r="756" ht="15.75" customHeight="1">
      <c r="J756" s="180"/>
    </row>
    <row r="757" ht="15.75" customHeight="1">
      <c r="J757" s="180"/>
    </row>
    <row r="758" ht="15.75" customHeight="1">
      <c r="J758" s="180"/>
    </row>
    <row r="759" ht="15.75" customHeight="1">
      <c r="J759" s="180"/>
    </row>
    <row r="760" ht="15.75" customHeight="1">
      <c r="J760" s="180"/>
    </row>
    <row r="761" ht="15.75" customHeight="1">
      <c r="J761" s="180"/>
    </row>
    <row r="762" ht="15.75" customHeight="1">
      <c r="J762" s="180"/>
    </row>
    <row r="763" ht="15.75" customHeight="1">
      <c r="J763" s="180"/>
    </row>
    <row r="764" ht="15.75" customHeight="1">
      <c r="J764" s="180"/>
    </row>
    <row r="765" ht="15.75" customHeight="1">
      <c r="J765" s="180"/>
    </row>
    <row r="766" ht="15.75" customHeight="1">
      <c r="J766" s="180"/>
    </row>
    <row r="767" ht="15.75" customHeight="1">
      <c r="J767" s="180"/>
    </row>
    <row r="768" ht="15.75" customHeight="1">
      <c r="J768" s="180"/>
    </row>
    <row r="769" ht="15.75" customHeight="1">
      <c r="J769" s="180"/>
    </row>
    <row r="770" ht="15.75" customHeight="1">
      <c r="J770" s="180"/>
    </row>
    <row r="771" ht="15.75" customHeight="1">
      <c r="J771" s="180"/>
    </row>
    <row r="772" ht="15.75" customHeight="1">
      <c r="J772" s="180"/>
    </row>
    <row r="773" ht="15.75" customHeight="1">
      <c r="J773" s="180"/>
    </row>
    <row r="774" ht="15.75" customHeight="1">
      <c r="J774" s="180"/>
    </row>
    <row r="775" ht="15.75" customHeight="1">
      <c r="J775" s="180"/>
    </row>
    <row r="776" ht="15.75" customHeight="1">
      <c r="J776" s="180"/>
    </row>
    <row r="777" ht="15.75" customHeight="1">
      <c r="J777" s="180"/>
    </row>
    <row r="778" ht="15.75" customHeight="1">
      <c r="J778" s="180"/>
    </row>
    <row r="779" ht="15.75" customHeight="1">
      <c r="J779" s="180"/>
    </row>
    <row r="780" ht="15.75" customHeight="1">
      <c r="J780" s="180"/>
    </row>
    <row r="781" ht="15.75" customHeight="1">
      <c r="J781" s="180"/>
    </row>
    <row r="782" ht="15.75" customHeight="1">
      <c r="J782" s="180"/>
    </row>
    <row r="783" ht="15.75" customHeight="1">
      <c r="J783" s="180"/>
    </row>
    <row r="784" ht="15.75" customHeight="1">
      <c r="J784" s="180"/>
    </row>
    <row r="785" ht="15.75" customHeight="1">
      <c r="J785" s="180"/>
    </row>
    <row r="786" ht="15.75" customHeight="1">
      <c r="J786" s="180"/>
    </row>
    <row r="787" ht="15.75" customHeight="1">
      <c r="J787" s="180"/>
    </row>
    <row r="788" ht="15.75" customHeight="1">
      <c r="J788" s="180"/>
    </row>
    <row r="789" ht="15.75" customHeight="1">
      <c r="J789" s="180"/>
    </row>
    <row r="790" ht="15.75" customHeight="1">
      <c r="J790" s="180"/>
    </row>
    <row r="791" ht="15.75" customHeight="1">
      <c r="J791" s="180"/>
    </row>
    <row r="792" ht="15.75" customHeight="1">
      <c r="J792" s="180"/>
    </row>
    <row r="793" ht="15.75" customHeight="1">
      <c r="J793" s="180"/>
    </row>
    <row r="794" ht="15.75" customHeight="1">
      <c r="J794" s="180"/>
    </row>
    <row r="795" ht="15.75" customHeight="1">
      <c r="J795" s="180"/>
    </row>
    <row r="796" ht="15.75" customHeight="1">
      <c r="J796" s="180"/>
    </row>
    <row r="797" ht="15.75" customHeight="1">
      <c r="J797" s="180"/>
    </row>
    <row r="798" ht="15.75" customHeight="1">
      <c r="J798" s="180"/>
    </row>
    <row r="799" ht="15.75" customHeight="1">
      <c r="J799" s="180"/>
    </row>
    <row r="800" ht="15.75" customHeight="1">
      <c r="J800" s="180"/>
    </row>
    <row r="801" ht="15.75" customHeight="1">
      <c r="J801" s="180"/>
    </row>
    <row r="802" ht="15.75" customHeight="1">
      <c r="J802" s="180"/>
    </row>
    <row r="803" ht="15.75" customHeight="1">
      <c r="J803" s="180"/>
    </row>
    <row r="804" ht="15.75" customHeight="1">
      <c r="J804" s="180"/>
    </row>
    <row r="805" ht="15.75" customHeight="1">
      <c r="J805" s="180"/>
    </row>
    <row r="806" ht="15.75" customHeight="1">
      <c r="J806" s="180"/>
    </row>
    <row r="807" ht="15.75" customHeight="1">
      <c r="J807" s="180"/>
    </row>
    <row r="808" ht="15.75" customHeight="1">
      <c r="J808" s="180"/>
    </row>
    <row r="809" ht="15.75" customHeight="1">
      <c r="J809" s="180"/>
    </row>
    <row r="810" ht="15.75" customHeight="1">
      <c r="J810" s="180"/>
    </row>
    <row r="811" ht="15.75" customHeight="1">
      <c r="J811" s="180"/>
    </row>
    <row r="812" ht="15.75" customHeight="1">
      <c r="J812" s="180"/>
    </row>
    <row r="813" ht="15.75" customHeight="1">
      <c r="J813" s="180"/>
    </row>
    <row r="814" ht="15.75" customHeight="1">
      <c r="J814" s="180"/>
    </row>
    <row r="815" ht="15.75" customHeight="1">
      <c r="J815" s="180"/>
    </row>
    <row r="816" ht="15.75" customHeight="1">
      <c r="J816" s="180"/>
    </row>
    <row r="817" ht="15.75" customHeight="1">
      <c r="J817" s="180"/>
    </row>
    <row r="818" ht="15.75" customHeight="1">
      <c r="J818" s="180"/>
    </row>
    <row r="819" ht="15.75" customHeight="1">
      <c r="J819" s="180"/>
    </row>
    <row r="820" ht="15.75" customHeight="1">
      <c r="J820" s="180"/>
    </row>
    <row r="821" ht="15.75" customHeight="1">
      <c r="J821" s="180"/>
    </row>
    <row r="822" ht="15.75" customHeight="1">
      <c r="J822" s="180"/>
    </row>
    <row r="823" ht="15.75" customHeight="1">
      <c r="J823" s="180"/>
    </row>
    <row r="824" ht="15.75" customHeight="1">
      <c r="J824" s="180"/>
    </row>
    <row r="825" ht="15.75" customHeight="1">
      <c r="J825" s="180"/>
    </row>
    <row r="826" ht="15.75" customHeight="1">
      <c r="J826" s="180"/>
    </row>
    <row r="827" ht="15.75" customHeight="1">
      <c r="J827" s="180"/>
    </row>
    <row r="828" ht="15.75" customHeight="1">
      <c r="J828" s="180"/>
    </row>
    <row r="829" ht="15.75" customHeight="1">
      <c r="J829" s="180"/>
    </row>
    <row r="830" ht="15.75" customHeight="1">
      <c r="J830" s="180"/>
    </row>
    <row r="831" ht="15.75" customHeight="1">
      <c r="J831" s="180"/>
    </row>
    <row r="832" ht="15.75" customHeight="1">
      <c r="J832" s="180"/>
    </row>
    <row r="833" ht="15.75" customHeight="1">
      <c r="J833" s="180"/>
    </row>
    <row r="834" ht="15.75" customHeight="1">
      <c r="J834" s="180"/>
    </row>
    <row r="835" ht="15.75" customHeight="1">
      <c r="J835" s="180"/>
    </row>
    <row r="836" ht="15.75" customHeight="1">
      <c r="J836" s="180"/>
    </row>
    <row r="837" ht="15.75" customHeight="1">
      <c r="J837" s="180"/>
    </row>
    <row r="838" ht="15.75" customHeight="1">
      <c r="J838" s="180"/>
    </row>
    <row r="839" ht="15.75" customHeight="1">
      <c r="J839" s="180"/>
    </row>
    <row r="840" ht="15.75" customHeight="1">
      <c r="J840" s="180"/>
    </row>
    <row r="841" ht="15.75" customHeight="1">
      <c r="J841" s="180"/>
    </row>
    <row r="842" ht="15.75" customHeight="1">
      <c r="J842" s="180"/>
    </row>
    <row r="843" ht="15.75" customHeight="1">
      <c r="J843" s="180"/>
    </row>
    <row r="844" ht="15.75" customHeight="1">
      <c r="J844" s="180"/>
    </row>
    <row r="845" ht="15.75" customHeight="1">
      <c r="J845" s="180"/>
    </row>
    <row r="846" ht="15.75" customHeight="1">
      <c r="J846" s="180"/>
    </row>
    <row r="847" ht="15.75" customHeight="1">
      <c r="J847" s="180"/>
    </row>
    <row r="848" ht="15.75" customHeight="1">
      <c r="J848" s="180"/>
    </row>
    <row r="849" ht="15.75" customHeight="1">
      <c r="J849" s="180"/>
    </row>
    <row r="850" ht="15.75" customHeight="1">
      <c r="J850" s="180"/>
    </row>
    <row r="851" ht="15.75" customHeight="1">
      <c r="J851" s="180"/>
    </row>
    <row r="852" ht="15.75" customHeight="1">
      <c r="J852" s="180"/>
    </row>
    <row r="853" ht="15.75" customHeight="1">
      <c r="J853" s="180"/>
    </row>
    <row r="854" ht="15.75" customHeight="1">
      <c r="J854" s="180"/>
    </row>
    <row r="855" ht="15.75" customHeight="1">
      <c r="J855" s="180"/>
    </row>
    <row r="856" ht="15.75" customHeight="1">
      <c r="J856" s="180"/>
    </row>
    <row r="857" ht="15.75" customHeight="1">
      <c r="J857" s="180"/>
    </row>
    <row r="858" ht="15.75" customHeight="1">
      <c r="J858" s="180"/>
    </row>
    <row r="859" ht="15.75" customHeight="1">
      <c r="J859" s="180"/>
    </row>
    <row r="860" ht="15.75" customHeight="1">
      <c r="J860" s="180"/>
    </row>
    <row r="861" ht="15.75" customHeight="1">
      <c r="J861" s="180"/>
    </row>
    <row r="862" ht="15.75" customHeight="1">
      <c r="J862" s="180"/>
    </row>
    <row r="863" ht="15.75" customHeight="1">
      <c r="J863" s="180"/>
    </row>
    <row r="864" ht="15.75" customHeight="1">
      <c r="J864" s="180"/>
    </row>
    <row r="865" ht="15.75" customHeight="1">
      <c r="J865" s="180"/>
    </row>
    <row r="866" ht="15.75" customHeight="1">
      <c r="J866" s="180"/>
    </row>
    <row r="867" ht="15.75" customHeight="1">
      <c r="J867" s="180"/>
    </row>
    <row r="868" ht="15.75" customHeight="1">
      <c r="J868" s="180"/>
    </row>
    <row r="869" ht="15.75" customHeight="1">
      <c r="J869" s="180"/>
    </row>
    <row r="870" ht="15.75" customHeight="1">
      <c r="J870" s="180"/>
    </row>
    <row r="871" ht="15.75" customHeight="1">
      <c r="J871" s="180"/>
    </row>
    <row r="872" ht="15.75" customHeight="1">
      <c r="J872" s="180"/>
    </row>
    <row r="873" ht="15.75" customHeight="1">
      <c r="J873" s="180"/>
    </row>
    <row r="874" ht="15.75" customHeight="1">
      <c r="J874" s="180"/>
    </row>
    <row r="875" ht="15.75" customHeight="1">
      <c r="J875" s="180"/>
    </row>
    <row r="876" ht="15.75" customHeight="1">
      <c r="J876" s="180"/>
    </row>
    <row r="877" ht="15.75" customHeight="1">
      <c r="J877" s="180"/>
    </row>
    <row r="878" ht="15.75" customHeight="1">
      <c r="J878" s="180"/>
    </row>
    <row r="879" ht="15.75" customHeight="1">
      <c r="J879" s="180"/>
    </row>
    <row r="880" ht="15.75" customHeight="1">
      <c r="J880" s="180"/>
    </row>
    <row r="881" ht="15.75" customHeight="1">
      <c r="J881" s="180"/>
    </row>
    <row r="882" ht="15.75" customHeight="1">
      <c r="J882" s="180"/>
    </row>
    <row r="883" ht="15.75" customHeight="1">
      <c r="J883" s="180"/>
    </row>
    <row r="884" ht="15.75" customHeight="1">
      <c r="J884" s="180"/>
    </row>
    <row r="885" ht="15.75" customHeight="1">
      <c r="J885" s="180"/>
    </row>
    <row r="886" ht="15.75" customHeight="1">
      <c r="J886" s="180"/>
    </row>
    <row r="887" ht="15.75" customHeight="1">
      <c r="J887" s="180"/>
    </row>
    <row r="888" ht="15.75" customHeight="1">
      <c r="J888" s="180"/>
    </row>
    <row r="889" ht="15.75" customHeight="1">
      <c r="J889" s="180"/>
    </row>
    <row r="890" ht="15.75" customHeight="1">
      <c r="J890" s="180"/>
    </row>
    <row r="891" ht="15.75" customHeight="1">
      <c r="J891" s="180"/>
    </row>
    <row r="892" ht="15.75" customHeight="1">
      <c r="J892" s="180"/>
    </row>
    <row r="893" ht="15.75" customHeight="1">
      <c r="J893" s="180"/>
    </row>
    <row r="894" ht="15.75" customHeight="1">
      <c r="J894" s="180"/>
    </row>
    <row r="895" ht="15.75" customHeight="1">
      <c r="J895" s="180"/>
    </row>
    <row r="896" ht="15.75" customHeight="1">
      <c r="J896" s="180"/>
    </row>
    <row r="897" ht="15.75" customHeight="1">
      <c r="J897" s="180"/>
    </row>
    <row r="898" ht="15.75" customHeight="1">
      <c r="J898" s="180"/>
    </row>
    <row r="899" ht="15.75" customHeight="1">
      <c r="J899" s="180"/>
    </row>
    <row r="900" ht="15.75" customHeight="1">
      <c r="J900" s="180"/>
    </row>
    <row r="901" ht="15.75" customHeight="1">
      <c r="J901" s="180"/>
    </row>
    <row r="902" ht="15.75" customHeight="1">
      <c r="J902" s="180"/>
    </row>
    <row r="903" ht="15.75" customHeight="1">
      <c r="J903" s="180"/>
    </row>
    <row r="904" ht="15.75" customHeight="1">
      <c r="J904" s="180"/>
    </row>
    <row r="905" ht="15.75" customHeight="1">
      <c r="J905" s="180"/>
    </row>
    <row r="906" ht="15.75" customHeight="1">
      <c r="J906" s="180"/>
    </row>
    <row r="907" ht="15.75" customHeight="1">
      <c r="J907" s="180"/>
    </row>
    <row r="908" ht="15.75" customHeight="1">
      <c r="J908" s="180"/>
    </row>
    <row r="909" ht="15.75" customHeight="1">
      <c r="J909" s="180"/>
    </row>
    <row r="910" ht="15.75" customHeight="1">
      <c r="J910" s="180"/>
    </row>
    <row r="911" ht="15.75" customHeight="1">
      <c r="J911" s="180"/>
    </row>
    <row r="912" ht="15.75" customHeight="1">
      <c r="J912" s="180"/>
    </row>
    <row r="913" ht="15.75" customHeight="1">
      <c r="J913" s="180"/>
    </row>
    <row r="914" ht="15.75" customHeight="1">
      <c r="J914" s="180"/>
    </row>
    <row r="915" ht="15.75" customHeight="1">
      <c r="J915" s="180"/>
    </row>
    <row r="916" ht="15.75" customHeight="1">
      <c r="J916" s="180"/>
    </row>
    <row r="917" ht="15.75" customHeight="1">
      <c r="J917" s="180"/>
    </row>
    <row r="918" ht="15.75" customHeight="1">
      <c r="J918" s="180"/>
    </row>
    <row r="919" ht="15.75" customHeight="1">
      <c r="J919" s="180"/>
    </row>
    <row r="920" ht="15.75" customHeight="1">
      <c r="J920" s="180"/>
    </row>
    <row r="921" ht="15.75" customHeight="1">
      <c r="J921" s="180"/>
    </row>
    <row r="922" ht="15.75" customHeight="1">
      <c r="J922" s="180"/>
    </row>
    <row r="923" ht="15.75" customHeight="1">
      <c r="J923" s="180"/>
    </row>
    <row r="924" ht="15.75" customHeight="1">
      <c r="J924" s="180"/>
    </row>
    <row r="925" ht="15.75" customHeight="1">
      <c r="J925" s="180"/>
    </row>
    <row r="926" ht="15.75" customHeight="1">
      <c r="J926" s="180"/>
    </row>
    <row r="927" ht="15.75" customHeight="1">
      <c r="J927" s="180"/>
    </row>
    <row r="928" ht="15.75" customHeight="1">
      <c r="J928" s="180"/>
    </row>
    <row r="929" ht="15.75" customHeight="1">
      <c r="J929" s="180"/>
    </row>
    <row r="930" ht="15.75" customHeight="1">
      <c r="J930" s="180"/>
    </row>
    <row r="931" ht="15.75" customHeight="1">
      <c r="J931" s="180"/>
    </row>
    <row r="932" ht="15.75" customHeight="1">
      <c r="J932" s="180"/>
    </row>
    <row r="933" ht="15.75" customHeight="1">
      <c r="J933" s="180"/>
    </row>
    <row r="934" ht="15.75" customHeight="1">
      <c r="J934" s="180"/>
    </row>
    <row r="935" ht="15.75" customHeight="1">
      <c r="J935" s="180"/>
    </row>
    <row r="936" ht="15.75" customHeight="1">
      <c r="J936" s="180"/>
    </row>
    <row r="937" ht="15.75" customHeight="1">
      <c r="J937" s="180"/>
    </row>
    <row r="938" ht="15.75" customHeight="1">
      <c r="J938" s="180"/>
    </row>
    <row r="939" ht="15.75" customHeight="1">
      <c r="J939" s="180"/>
    </row>
    <row r="940" ht="15.75" customHeight="1">
      <c r="J940" s="180"/>
    </row>
    <row r="941" ht="15.75" customHeight="1">
      <c r="J941" s="180"/>
    </row>
    <row r="942" ht="15.75" customHeight="1">
      <c r="J942" s="180"/>
    </row>
    <row r="943" ht="15.75" customHeight="1">
      <c r="J943" s="180"/>
    </row>
    <row r="944" ht="15.75" customHeight="1">
      <c r="J944" s="180"/>
    </row>
    <row r="945" ht="15.75" customHeight="1">
      <c r="J945" s="180"/>
    </row>
    <row r="946" ht="15.75" customHeight="1">
      <c r="J946" s="180"/>
    </row>
    <row r="947" ht="15.75" customHeight="1">
      <c r="J947" s="180"/>
    </row>
    <row r="948" ht="15.75" customHeight="1">
      <c r="J948" s="180"/>
    </row>
    <row r="949" ht="15.75" customHeight="1">
      <c r="J949" s="180"/>
    </row>
    <row r="950" ht="15.75" customHeight="1">
      <c r="J950" s="180"/>
    </row>
    <row r="951" ht="15.75" customHeight="1">
      <c r="J951" s="180"/>
    </row>
    <row r="952" ht="15.75" customHeight="1">
      <c r="J952" s="180"/>
    </row>
    <row r="953" ht="15.75" customHeight="1">
      <c r="J953" s="180"/>
    </row>
    <row r="954" ht="15.75" customHeight="1">
      <c r="J954" s="180"/>
    </row>
    <row r="955" ht="15.75" customHeight="1">
      <c r="J955" s="180"/>
    </row>
    <row r="956" ht="15.75" customHeight="1">
      <c r="J956" s="180"/>
    </row>
    <row r="957" ht="15.75" customHeight="1">
      <c r="J957" s="180"/>
    </row>
    <row r="958" ht="15.75" customHeight="1">
      <c r="J958" s="180"/>
    </row>
    <row r="959" ht="15.75" customHeight="1">
      <c r="J959" s="180"/>
    </row>
    <row r="960" ht="15.75" customHeight="1">
      <c r="J960" s="180"/>
    </row>
    <row r="961" ht="15.75" customHeight="1">
      <c r="J961" s="180"/>
    </row>
    <row r="962" ht="15.75" customHeight="1">
      <c r="J962" s="180"/>
    </row>
    <row r="963" ht="15.75" customHeight="1">
      <c r="J963" s="180"/>
    </row>
    <row r="964" ht="15.75" customHeight="1">
      <c r="J964" s="180"/>
    </row>
    <row r="965" ht="15.75" customHeight="1">
      <c r="J965" s="180"/>
    </row>
    <row r="966" ht="15.75" customHeight="1">
      <c r="J966" s="180"/>
    </row>
    <row r="967" ht="15.75" customHeight="1">
      <c r="J967" s="180"/>
    </row>
    <row r="968" ht="15.75" customHeight="1">
      <c r="J968" s="180"/>
    </row>
    <row r="969" ht="15.75" customHeight="1">
      <c r="J969" s="180"/>
    </row>
    <row r="970" ht="15.75" customHeight="1">
      <c r="J970" s="180"/>
    </row>
    <row r="971" ht="15.75" customHeight="1">
      <c r="J971" s="180"/>
    </row>
    <row r="972" ht="15.75" customHeight="1">
      <c r="J972" s="180"/>
    </row>
    <row r="973" ht="15.75" customHeight="1">
      <c r="J973" s="180"/>
    </row>
    <row r="974" ht="15.75" customHeight="1">
      <c r="J974" s="180"/>
    </row>
    <row r="975" ht="15.75" customHeight="1">
      <c r="J975" s="180"/>
    </row>
    <row r="976" ht="15.75" customHeight="1">
      <c r="J976" s="180"/>
    </row>
    <row r="977" ht="15.75" customHeight="1">
      <c r="J977" s="180"/>
    </row>
    <row r="978" ht="15.75" customHeight="1">
      <c r="J978" s="180"/>
    </row>
    <row r="979" ht="15.75" customHeight="1">
      <c r="J979" s="180"/>
    </row>
    <row r="980" ht="15.75" customHeight="1">
      <c r="J980" s="180"/>
    </row>
    <row r="981" ht="15.75" customHeight="1">
      <c r="J981" s="180"/>
    </row>
    <row r="982" ht="15.75" customHeight="1">
      <c r="J982" s="180"/>
    </row>
    <row r="983" ht="15.75" customHeight="1">
      <c r="J983" s="180"/>
    </row>
    <row r="984" ht="15.75" customHeight="1">
      <c r="J984" s="180"/>
    </row>
    <row r="985" ht="15.75" customHeight="1">
      <c r="J985" s="180"/>
    </row>
    <row r="986" ht="15.75" customHeight="1">
      <c r="J986" s="180"/>
    </row>
    <row r="987" ht="15.75" customHeight="1">
      <c r="J987" s="180"/>
    </row>
    <row r="988" ht="15.75" customHeight="1">
      <c r="J988" s="180"/>
    </row>
    <row r="989" ht="15.75" customHeight="1">
      <c r="J989" s="180"/>
    </row>
    <row r="990" ht="15.75" customHeight="1">
      <c r="J990" s="180"/>
    </row>
    <row r="991" ht="15.75" customHeight="1">
      <c r="J991" s="180"/>
    </row>
    <row r="992" ht="15.75" customHeight="1">
      <c r="J992" s="180"/>
    </row>
    <row r="993" ht="15.75" customHeight="1">
      <c r="J993" s="180"/>
    </row>
    <row r="994" ht="15.75" customHeight="1">
      <c r="J994" s="180"/>
    </row>
    <row r="995" ht="15.75" customHeight="1">
      <c r="J995" s="180"/>
    </row>
    <row r="996" ht="15.75" customHeight="1">
      <c r="J996" s="180"/>
    </row>
    <row r="997" ht="15.75" customHeight="1">
      <c r="J997" s="180"/>
    </row>
    <row r="998" ht="15.75" customHeight="1">
      <c r="J998" s="180"/>
    </row>
    <row r="999" ht="15.75" customHeight="1">
      <c r="J999" s="180"/>
    </row>
    <row r="1000" ht="15.75" customHeight="1">
      <c r="J1000" s="180"/>
    </row>
    <row r="1001" ht="15.75" customHeight="1">
      <c r="J1001" s="180"/>
    </row>
    <row r="1002" ht="15.75" customHeight="1">
      <c r="J1002" s="180"/>
    </row>
    <row r="1003" ht="15.75" customHeight="1">
      <c r="J1003" s="180"/>
    </row>
    <row r="1004" ht="15.75" customHeight="1">
      <c r="J1004" s="180"/>
    </row>
    <row r="1005" ht="15.75" customHeight="1">
      <c r="J1005" s="180"/>
    </row>
    <row r="1006" ht="15.75" customHeight="1">
      <c r="J1006" s="180"/>
    </row>
    <row r="1007" ht="15.75" customHeight="1">
      <c r="J1007" s="180"/>
    </row>
  </sheetData>
  <dataValidations>
    <dataValidation type="list" allowBlank="1" showErrorMessage="1" sqref="D4:D18">
      <formula1>"Text,Numeric,Image,Single Select,Multi select,File,Date,Time,Subject"</formula1>
    </dataValidation>
    <dataValidation type="list" allowBlank="1" showErrorMessage="1" sqref="E2:E18">
      <formula1>"yes,no"</formula1>
    </dataValidation>
    <dataValidation type="list" allowBlank="1" showErrorMessage="1" sqref="D2:D3">
      <formula1>"Text,Numeric,Image,Single Select,Multi select,File,Date,time,Autocapture"</formula1>
    </dataValidation>
  </dataValidations>
  <printOptions/>
  <pageMargins bottom="0.75" footer="0.0" header="0.0" left="0.7" right="0.7" top="0.75"/>
  <pageSetup orientation="landscape"/>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12.63"/>
    <col customWidth="1" min="2" max="2" width="33.0"/>
    <col customWidth="1" min="3" max="3" width="43.5"/>
    <col customWidth="1" min="4" max="4" width="40.38"/>
    <col customWidth="1" min="5" max="5" width="12.63"/>
    <col customWidth="1" min="6" max="6" width="23.0"/>
    <col customWidth="1" min="10" max="10" width="23.0"/>
  </cols>
  <sheetData>
    <row r="1" ht="15.75" customHeight="1">
      <c r="A1" s="346" t="s">
        <v>631</v>
      </c>
      <c r="B1" s="346" t="s">
        <v>632</v>
      </c>
      <c r="C1" s="346" t="s">
        <v>633</v>
      </c>
      <c r="D1" s="346" t="s">
        <v>634</v>
      </c>
      <c r="E1" s="346" t="s">
        <v>824</v>
      </c>
      <c r="F1" s="346" t="s">
        <v>637</v>
      </c>
      <c r="G1" s="346" t="s">
        <v>638</v>
      </c>
      <c r="H1" s="346" t="s">
        <v>639</v>
      </c>
      <c r="I1" s="346" t="s">
        <v>640</v>
      </c>
      <c r="J1" s="346" t="s">
        <v>641</v>
      </c>
      <c r="K1" s="346" t="s">
        <v>642</v>
      </c>
      <c r="L1" s="346" t="s">
        <v>722</v>
      </c>
      <c r="M1" s="347" t="s">
        <v>723</v>
      </c>
      <c r="N1" s="347" t="s">
        <v>724</v>
      </c>
      <c r="O1" s="347" t="s">
        <v>725</v>
      </c>
      <c r="P1" s="348" t="s">
        <v>1255</v>
      </c>
      <c r="Q1" s="349"/>
      <c r="R1" s="349"/>
      <c r="S1" s="349"/>
      <c r="T1" s="349"/>
      <c r="U1" s="349"/>
      <c r="V1" s="349"/>
      <c r="W1" s="349"/>
      <c r="X1" s="349"/>
      <c r="Y1" s="349"/>
      <c r="Z1" s="349"/>
      <c r="AA1" s="349"/>
    </row>
    <row r="2" ht="25.5" customHeight="1">
      <c r="A2" s="350"/>
      <c r="B2" s="351">
        <v>1.0</v>
      </c>
      <c r="C2" s="351" t="s">
        <v>1460</v>
      </c>
      <c r="D2" s="351" t="s">
        <v>649</v>
      </c>
      <c r="E2" s="351" t="s">
        <v>728</v>
      </c>
      <c r="F2" s="352"/>
      <c r="G2" s="350"/>
      <c r="H2" s="350"/>
      <c r="I2" s="350"/>
      <c r="J2" s="352"/>
      <c r="K2" s="352"/>
      <c r="L2" s="350"/>
      <c r="M2" s="350"/>
      <c r="N2" s="350"/>
      <c r="O2" s="350"/>
      <c r="P2" s="353"/>
      <c r="Q2" s="353"/>
      <c r="R2" s="353"/>
      <c r="S2" s="353"/>
      <c r="T2" s="353"/>
      <c r="U2" s="353"/>
      <c r="V2" s="353"/>
      <c r="W2" s="353"/>
      <c r="X2" s="353"/>
      <c r="Y2" s="353"/>
      <c r="Z2" s="353"/>
      <c r="AA2" s="353"/>
    </row>
    <row r="3">
      <c r="A3" s="354"/>
      <c r="B3" s="355"/>
      <c r="D3" s="355"/>
      <c r="E3" s="355"/>
      <c r="F3" s="356"/>
      <c r="G3" s="354"/>
      <c r="H3" s="354"/>
      <c r="I3" s="354"/>
      <c r="J3" s="357"/>
      <c r="K3" s="356"/>
      <c r="L3" s="354"/>
      <c r="M3" s="354"/>
      <c r="N3" s="354"/>
      <c r="O3" s="354"/>
      <c r="P3" s="358"/>
      <c r="Q3" s="358"/>
      <c r="R3" s="358"/>
      <c r="S3" s="358"/>
      <c r="T3" s="358"/>
      <c r="U3" s="358"/>
      <c r="V3" s="358"/>
      <c r="W3" s="358"/>
      <c r="X3" s="358"/>
      <c r="Y3" s="358"/>
      <c r="Z3" s="358"/>
      <c r="AA3" s="358"/>
    </row>
    <row r="4">
      <c r="A4" s="350"/>
      <c r="B4" s="359" t="s">
        <v>1461</v>
      </c>
      <c r="C4" s="360" t="s">
        <v>1462</v>
      </c>
      <c r="D4" s="351" t="s">
        <v>912</v>
      </c>
      <c r="E4" s="351" t="s">
        <v>728</v>
      </c>
      <c r="F4" s="352"/>
      <c r="G4" s="350"/>
      <c r="H4" s="350"/>
      <c r="I4" s="350"/>
      <c r="J4" s="361" t="s">
        <v>1463</v>
      </c>
      <c r="K4" s="352"/>
      <c r="L4" s="350"/>
      <c r="M4" s="350"/>
      <c r="N4" s="350"/>
      <c r="O4" s="350"/>
      <c r="P4" s="362"/>
      <c r="Q4" s="353"/>
      <c r="R4" s="353"/>
      <c r="S4" s="353"/>
      <c r="T4" s="353"/>
      <c r="U4" s="353"/>
      <c r="V4" s="353"/>
      <c r="W4" s="353"/>
      <c r="X4" s="353"/>
      <c r="Y4" s="353"/>
      <c r="Z4" s="353"/>
      <c r="AA4" s="353"/>
    </row>
    <row r="5" ht="45.0" customHeight="1">
      <c r="A5" s="354"/>
      <c r="C5" s="363" t="s">
        <v>1464</v>
      </c>
      <c r="D5" s="355" t="s">
        <v>646</v>
      </c>
      <c r="E5" s="355" t="s">
        <v>728</v>
      </c>
      <c r="F5" s="357" t="s">
        <v>1465</v>
      </c>
      <c r="G5" s="354"/>
      <c r="H5" s="354"/>
      <c r="I5" s="354"/>
      <c r="J5" s="364"/>
      <c r="K5" s="356"/>
      <c r="L5" s="354"/>
      <c r="M5" s="354"/>
      <c r="N5" s="354"/>
      <c r="O5" s="354"/>
      <c r="P5" s="358"/>
      <c r="Q5" s="358"/>
      <c r="R5" s="358"/>
      <c r="S5" s="358"/>
      <c r="T5" s="358"/>
      <c r="U5" s="358"/>
      <c r="V5" s="358"/>
      <c r="W5" s="358"/>
      <c r="X5" s="358"/>
      <c r="Y5" s="358"/>
      <c r="Z5" s="358"/>
      <c r="AA5" s="358"/>
    </row>
    <row r="6" ht="45.0" customHeight="1">
      <c r="A6" s="350"/>
      <c r="C6" s="360" t="s">
        <v>1466</v>
      </c>
      <c r="D6" s="351" t="s">
        <v>912</v>
      </c>
      <c r="E6" s="350" t="s">
        <v>728</v>
      </c>
      <c r="F6" s="352"/>
      <c r="G6" s="350"/>
      <c r="H6" s="350"/>
      <c r="I6" s="350"/>
      <c r="J6" s="365" t="s">
        <v>1467</v>
      </c>
      <c r="K6" s="361" t="s">
        <v>1468</v>
      </c>
      <c r="L6" s="350"/>
      <c r="M6" s="350"/>
      <c r="N6" s="350"/>
      <c r="O6" s="350"/>
      <c r="P6" s="353"/>
      <c r="Q6" s="353"/>
      <c r="R6" s="353"/>
      <c r="S6" s="353"/>
      <c r="T6" s="353"/>
      <c r="U6" s="353"/>
      <c r="V6" s="353"/>
      <c r="W6" s="353"/>
      <c r="X6" s="353"/>
      <c r="Y6" s="353"/>
      <c r="Z6" s="353"/>
      <c r="AA6" s="353"/>
    </row>
    <row r="7" ht="15.75" customHeight="1">
      <c r="C7" s="363" t="s">
        <v>1469</v>
      </c>
      <c r="D7" s="354" t="s">
        <v>646</v>
      </c>
      <c r="E7" s="355" t="s">
        <v>728</v>
      </c>
      <c r="F7" s="357" t="s">
        <v>1470</v>
      </c>
      <c r="G7" s="354"/>
      <c r="H7" s="354"/>
      <c r="I7" s="354"/>
      <c r="J7" s="356"/>
      <c r="L7" s="354"/>
      <c r="M7" s="354"/>
      <c r="N7" s="354"/>
      <c r="O7" s="354"/>
      <c r="P7" s="358"/>
      <c r="Q7" s="358"/>
      <c r="R7" s="358"/>
      <c r="S7" s="358"/>
      <c r="T7" s="358"/>
      <c r="U7" s="358"/>
      <c r="V7" s="358"/>
      <c r="W7" s="358"/>
      <c r="X7" s="358"/>
      <c r="Y7" s="358"/>
      <c r="Z7" s="358"/>
      <c r="AA7" s="358"/>
    </row>
    <row r="8" ht="15.75" customHeight="1">
      <c r="A8" s="353"/>
      <c r="C8" s="360" t="s">
        <v>1471</v>
      </c>
      <c r="D8" s="351" t="s">
        <v>1472</v>
      </c>
      <c r="E8" s="351" t="s">
        <v>728</v>
      </c>
      <c r="F8" s="365" t="s">
        <v>1473</v>
      </c>
      <c r="G8" s="353"/>
      <c r="H8" s="353"/>
      <c r="I8" s="353"/>
      <c r="J8" s="366"/>
      <c r="L8" s="353"/>
      <c r="M8" s="353"/>
      <c r="N8" s="353"/>
      <c r="O8" s="353"/>
      <c r="P8" s="353"/>
      <c r="Q8" s="353"/>
      <c r="R8" s="353"/>
      <c r="S8" s="353"/>
      <c r="T8" s="353"/>
      <c r="U8" s="353"/>
      <c r="V8" s="353"/>
      <c r="W8" s="353"/>
      <c r="X8" s="353"/>
      <c r="Y8" s="353"/>
      <c r="Z8" s="353"/>
      <c r="AA8" s="353"/>
    </row>
    <row r="9" ht="15.75" customHeight="1">
      <c r="A9" s="358"/>
      <c r="C9" s="363" t="s">
        <v>1474</v>
      </c>
      <c r="D9" s="363" t="s">
        <v>1475</v>
      </c>
      <c r="E9" s="358"/>
      <c r="F9" s="367"/>
      <c r="G9" s="358"/>
      <c r="H9" s="358"/>
      <c r="I9" s="358"/>
      <c r="J9" s="367"/>
      <c r="L9" s="358"/>
      <c r="M9" s="358"/>
      <c r="N9" s="358"/>
      <c r="O9" s="358"/>
      <c r="P9" s="358"/>
      <c r="Q9" s="358"/>
      <c r="R9" s="358"/>
      <c r="S9" s="358"/>
      <c r="T9" s="358"/>
      <c r="U9" s="358"/>
      <c r="V9" s="358"/>
      <c r="W9" s="358"/>
      <c r="X9" s="358"/>
      <c r="Y9" s="358"/>
      <c r="Z9" s="358"/>
      <c r="AA9" s="358"/>
    </row>
    <row r="10" ht="15.75" customHeight="1">
      <c r="A10" s="353"/>
      <c r="C10" s="360" t="s">
        <v>1476</v>
      </c>
      <c r="D10" s="350" t="s">
        <v>646</v>
      </c>
      <c r="E10" s="351" t="s">
        <v>728</v>
      </c>
      <c r="F10" s="365" t="s">
        <v>1477</v>
      </c>
      <c r="G10" s="353"/>
      <c r="H10" s="353"/>
      <c r="I10" s="353"/>
      <c r="J10" s="366"/>
      <c r="L10" s="353"/>
      <c r="M10" s="353"/>
      <c r="N10" s="353"/>
      <c r="O10" s="353"/>
      <c r="P10" s="353"/>
      <c r="Q10" s="353"/>
      <c r="R10" s="353"/>
      <c r="S10" s="353"/>
      <c r="T10" s="353"/>
      <c r="U10" s="353"/>
      <c r="V10" s="353"/>
      <c r="W10" s="353"/>
      <c r="X10" s="353"/>
      <c r="Y10" s="353"/>
      <c r="Z10" s="353"/>
      <c r="AA10" s="353"/>
    </row>
    <row r="11" ht="15.75" customHeight="1">
      <c r="A11" s="358"/>
      <c r="C11" s="363" t="s">
        <v>1478</v>
      </c>
      <c r="D11" s="355" t="s">
        <v>1367</v>
      </c>
      <c r="E11" s="355" t="s">
        <v>728</v>
      </c>
      <c r="F11" s="364" t="s">
        <v>1479</v>
      </c>
      <c r="G11" s="358"/>
      <c r="H11" s="358"/>
      <c r="I11" s="358"/>
      <c r="J11" s="367"/>
      <c r="L11" s="358"/>
      <c r="M11" s="358"/>
      <c r="N11" s="358"/>
      <c r="O11" s="358"/>
      <c r="P11" s="358"/>
      <c r="Q11" s="358"/>
      <c r="R11" s="358"/>
      <c r="S11" s="358"/>
      <c r="T11" s="358"/>
      <c r="U11" s="358"/>
      <c r="V11" s="358"/>
      <c r="W11" s="358"/>
      <c r="X11" s="358"/>
      <c r="Y11" s="358"/>
      <c r="Z11" s="358"/>
      <c r="AA11" s="358"/>
    </row>
    <row r="12" ht="15.75" customHeight="1">
      <c r="A12" s="353"/>
      <c r="B12" s="353"/>
      <c r="C12" s="368"/>
      <c r="D12" s="353"/>
      <c r="E12" s="353"/>
      <c r="F12" s="366"/>
      <c r="G12" s="353"/>
      <c r="H12" s="353"/>
      <c r="I12" s="353"/>
      <c r="J12" s="366"/>
      <c r="K12" s="366"/>
      <c r="L12" s="353"/>
      <c r="M12" s="353"/>
      <c r="N12" s="353"/>
      <c r="O12" s="353"/>
      <c r="P12" s="353"/>
      <c r="Q12" s="353"/>
      <c r="R12" s="353"/>
      <c r="S12" s="353"/>
      <c r="T12" s="353"/>
      <c r="U12" s="353"/>
      <c r="V12" s="353"/>
      <c r="W12" s="353"/>
      <c r="X12" s="353"/>
      <c r="Y12" s="353"/>
      <c r="Z12" s="353"/>
      <c r="AA12" s="353"/>
    </row>
    <row r="13" ht="15.75" customHeight="1">
      <c r="F13" s="180"/>
      <c r="J13" s="180"/>
      <c r="K13" s="180"/>
    </row>
    <row r="14" ht="15.75" customHeight="1">
      <c r="F14" s="180"/>
      <c r="J14" s="180"/>
      <c r="K14" s="180"/>
    </row>
    <row r="15" ht="15.75" customHeight="1">
      <c r="F15" s="180"/>
      <c r="J15" s="180"/>
      <c r="K15" s="180"/>
    </row>
    <row r="16" ht="15.75" customHeight="1">
      <c r="F16" s="180"/>
      <c r="J16" s="180"/>
      <c r="K16" s="180"/>
    </row>
    <row r="17" ht="15.75" customHeight="1">
      <c r="F17" s="180"/>
      <c r="J17" s="180"/>
      <c r="K17" s="180"/>
    </row>
    <row r="18" ht="15.75" customHeight="1">
      <c r="F18" s="180"/>
      <c r="J18" s="180"/>
      <c r="K18" s="180"/>
    </row>
    <row r="19" ht="15.75" customHeight="1">
      <c r="F19" s="180"/>
      <c r="J19" s="180"/>
      <c r="K19" s="180"/>
    </row>
    <row r="20" ht="15.75" customHeight="1">
      <c r="F20" s="180"/>
      <c r="J20" s="180"/>
      <c r="K20" s="180"/>
    </row>
    <row r="21" ht="15.75" customHeight="1">
      <c r="F21" s="180"/>
      <c r="J21" s="180"/>
      <c r="K21" s="180"/>
    </row>
    <row r="22" ht="15.75" customHeight="1">
      <c r="F22" s="180"/>
      <c r="J22" s="180"/>
      <c r="K22" s="180"/>
    </row>
    <row r="23" ht="15.75" customHeight="1">
      <c r="F23" s="180"/>
      <c r="J23" s="180"/>
      <c r="K23" s="180"/>
    </row>
    <row r="24" ht="15.75" customHeight="1">
      <c r="F24" s="180"/>
      <c r="J24" s="180"/>
      <c r="K24" s="180"/>
    </row>
    <row r="25" ht="15.75" customHeight="1">
      <c r="F25" s="180"/>
      <c r="J25" s="180"/>
      <c r="K25" s="180"/>
    </row>
    <row r="26" ht="15.75" customHeight="1">
      <c r="F26" s="180"/>
      <c r="J26" s="180"/>
      <c r="K26" s="180"/>
    </row>
    <row r="27" ht="15.75" customHeight="1">
      <c r="F27" s="180"/>
      <c r="J27" s="180"/>
      <c r="K27" s="180"/>
    </row>
    <row r="28" ht="15.75" customHeight="1">
      <c r="F28" s="180"/>
      <c r="J28" s="180"/>
      <c r="K28" s="180"/>
    </row>
    <row r="29" ht="15.75" customHeight="1">
      <c r="F29" s="180"/>
      <c r="J29" s="180"/>
      <c r="K29" s="180"/>
    </row>
    <row r="30" ht="15.75" customHeight="1">
      <c r="F30" s="180"/>
      <c r="J30" s="180"/>
      <c r="K30" s="180"/>
    </row>
    <row r="31" ht="15.75" customHeight="1">
      <c r="F31" s="180"/>
      <c r="J31" s="180"/>
      <c r="K31" s="180"/>
    </row>
    <row r="32" ht="15.75" customHeight="1">
      <c r="F32" s="180"/>
      <c r="J32" s="180"/>
      <c r="K32" s="180"/>
    </row>
    <row r="33" ht="15.75" customHeight="1">
      <c r="F33" s="180"/>
      <c r="J33" s="180"/>
      <c r="K33" s="180"/>
    </row>
    <row r="34" ht="15.75" customHeight="1">
      <c r="F34" s="180"/>
      <c r="J34" s="180"/>
      <c r="K34" s="180"/>
    </row>
    <row r="35" ht="15.75" customHeight="1">
      <c r="F35" s="180"/>
      <c r="J35" s="180"/>
      <c r="K35" s="180"/>
    </row>
    <row r="36" ht="15.75" customHeight="1">
      <c r="F36" s="180"/>
      <c r="J36" s="180"/>
      <c r="K36" s="180"/>
    </row>
    <row r="37" ht="15.75" customHeight="1">
      <c r="F37" s="180"/>
      <c r="J37" s="180"/>
      <c r="K37" s="180"/>
    </row>
    <row r="38" ht="15.75" customHeight="1">
      <c r="F38" s="180"/>
      <c r="J38" s="180"/>
      <c r="K38" s="180"/>
    </row>
    <row r="39" ht="15.75" customHeight="1">
      <c r="F39" s="180"/>
      <c r="J39" s="180"/>
      <c r="K39" s="180"/>
    </row>
    <row r="40" ht="15.75" customHeight="1">
      <c r="F40" s="180"/>
      <c r="J40" s="180"/>
      <c r="K40" s="180"/>
    </row>
    <row r="41" ht="15.75" customHeight="1">
      <c r="F41" s="180"/>
      <c r="J41" s="180"/>
      <c r="K41" s="180"/>
    </row>
    <row r="42" ht="15.75" customHeight="1">
      <c r="F42" s="180"/>
      <c r="J42" s="180"/>
      <c r="K42" s="180"/>
    </row>
    <row r="43" ht="15.75" customHeight="1">
      <c r="F43" s="180"/>
      <c r="J43" s="180"/>
      <c r="K43" s="180"/>
    </row>
    <row r="44" ht="15.75" customHeight="1">
      <c r="F44" s="180"/>
      <c r="J44" s="180"/>
      <c r="K44" s="180"/>
    </row>
    <row r="45" ht="15.75" customHeight="1">
      <c r="F45" s="180"/>
      <c r="J45" s="180"/>
      <c r="K45" s="180"/>
    </row>
    <row r="46" ht="15.75" customHeight="1">
      <c r="F46" s="180"/>
      <c r="J46" s="180"/>
      <c r="K46" s="180"/>
    </row>
    <row r="47" ht="15.75" customHeight="1">
      <c r="F47" s="180"/>
      <c r="J47" s="180"/>
      <c r="K47" s="180"/>
    </row>
    <row r="48" ht="15.75" customHeight="1">
      <c r="F48" s="180"/>
      <c r="J48" s="180"/>
      <c r="K48" s="180"/>
    </row>
    <row r="49" ht="15.75" customHeight="1">
      <c r="F49" s="180"/>
      <c r="J49" s="180"/>
      <c r="K49" s="180"/>
    </row>
    <row r="50" ht="15.75" customHeight="1">
      <c r="F50" s="180"/>
      <c r="J50" s="180"/>
      <c r="K50" s="180"/>
    </row>
    <row r="51" ht="15.75" customHeight="1">
      <c r="F51" s="180"/>
      <c r="J51" s="180"/>
      <c r="K51" s="180"/>
    </row>
    <row r="52" ht="15.75" customHeight="1">
      <c r="F52" s="180"/>
      <c r="J52" s="180"/>
      <c r="K52" s="180"/>
    </row>
    <row r="53" ht="15.75" customHeight="1">
      <c r="F53" s="180"/>
      <c r="J53" s="180"/>
      <c r="K53" s="180"/>
    </row>
    <row r="54" ht="15.75" customHeight="1">
      <c r="F54" s="180"/>
      <c r="J54" s="180"/>
      <c r="K54" s="180"/>
    </row>
    <row r="55" ht="15.75" customHeight="1">
      <c r="F55" s="180"/>
      <c r="J55" s="180"/>
      <c r="K55" s="180"/>
    </row>
    <row r="56" ht="15.75" customHeight="1">
      <c r="F56" s="180"/>
      <c r="J56" s="180"/>
      <c r="K56" s="180"/>
    </row>
    <row r="57" ht="15.75" customHeight="1">
      <c r="F57" s="180"/>
      <c r="J57" s="180"/>
      <c r="K57" s="180"/>
    </row>
    <row r="58" ht="15.75" customHeight="1">
      <c r="F58" s="180"/>
      <c r="J58" s="180"/>
      <c r="K58" s="180"/>
    </row>
    <row r="59" ht="15.75" customHeight="1">
      <c r="F59" s="180"/>
      <c r="J59" s="180"/>
      <c r="K59" s="180"/>
    </row>
    <row r="60" ht="15.75" customHeight="1">
      <c r="F60" s="180"/>
      <c r="J60" s="180"/>
      <c r="K60" s="180"/>
    </row>
    <row r="61" ht="15.75" customHeight="1">
      <c r="F61" s="180"/>
      <c r="J61" s="180"/>
      <c r="K61" s="180"/>
    </row>
    <row r="62" ht="15.75" customHeight="1">
      <c r="F62" s="180"/>
      <c r="J62" s="180"/>
      <c r="K62" s="180"/>
    </row>
    <row r="63" ht="15.75" customHeight="1">
      <c r="F63" s="180"/>
      <c r="J63" s="180"/>
      <c r="K63" s="180"/>
    </row>
    <row r="64" ht="15.75" customHeight="1">
      <c r="F64" s="180"/>
      <c r="J64" s="180"/>
      <c r="K64" s="180"/>
    </row>
    <row r="65" ht="15.75" customHeight="1">
      <c r="F65" s="180"/>
      <c r="J65" s="180"/>
      <c r="K65" s="180"/>
    </row>
    <row r="66" ht="15.75" customHeight="1">
      <c r="F66" s="180"/>
      <c r="J66" s="180"/>
      <c r="K66" s="180"/>
    </row>
    <row r="67" ht="15.75" customHeight="1">
      <c r="F67" s="180"/>
      <c r="J67" s="180"/>
      <c r="K67" s="180"/>
    </row>
    <row r="68" ht="15.75" customHeight="1">
      <c r="F68" s="180"/>
      <c r="J68" s="180"/>
      <c r="K68" s="180"/>
    </row>
    <row r="69" ht="15.75" customHeight="1">
      <c r="F69" s="180"/>
      <c r="J69" s="180"/>
      <c r="K69" s="180"/>
    </row>
    <row r="70" ht="15.75" customHeight="1">
      <c r="F70" s="180"/>
      <c r="J70" s="180"/>
      <c r="K70" s="180"/>
    </row>
    <row r="71" ht="15.75" customHeight="1">
      <c r="F71" s="180"/>
      <c r="J71" s="180"/>
      <c r="K71" s="180"/>
    </row>
    <row r="72" ht="15.75" customHeight="1">
      <c r="F72" s="180"/>
      <c r="J72" s="180"/>
      <c r="K72" s="180"/>
    </row>
    <row r="73" ht="15.75" customHeight="1">
      <c r="F73" s="180"/>
      <c r="J73" s="180"/>
      <c r="K73" s="180"/>
    </row>
    <row r="74" ht="15.75" customHeight="1">
      <c r="F74" s="180"/>
      <c r="J74" s="180"/>
      <c r="K74" s="180"/>
    </row>
    <row r="75" ht="15.75" customHeight="1">
      <c r="F75" s="180"/>
      <c r="J75" s="180"/>
      <c r="K75" s="180"/>
    </row>
    <row r="76" ht="15.75" customHeight="1">
      <c r="F76" s="180"/>
      <c r="J76" s="180"/>
      <c r="K76" s="180"/>
    </row>
    <row r="77" ht="15.75" customHeight="1">
      <c r="F77" s="180"/>
      <c r="J77" s="180"/>
      <c r="K77" s="180"/>
    </row>
    <row r="78" ht="15.75" customHeight="1">
      <c r="F78" s="180"/>
      <c r="J78" s="180"/>
      <c r="K78" s="180"/>
    </row>
    <row r="79" ht="15.75" customHeight="1">
      <c r="F79" s="180"/>
      <c r="J79" s="180"/>
      <c r="K79" s="180"/>
    </row>
    <row r="80" ht="15.75" customHeight="1">
      <c r="F80" s="180"/>
      <c r="J80" s="180"/>
      <c r="K80" s="180"/>
    </row>
    <row r="81" ht="15.75" customHeight="1">
      <c r="F81" s="180"/>
      <c r="J81" s="180"/>
      <c r="K81" s="180"/>
    </row>
    <row r="82" ht="15.75" customHeight="1">
      <c r="F82" s="180"/>
      <c r="J82" s="180"/>
      <c r="K82" s="180"/>
    </row>
    <row r="83" ht="15.75" customHeight="1">
      <c r="F83" s="180"/>
      <c r="J83" s="180"/>
      <c r="K83" s="180"/>
    </row>
    <row r="84" ht="15.75" customHeight="1">
      <c r="F84" s="180"/>
      <c r="J84" s="180"/>
      <c r="K84" s="180"/>
    </row>
    <row r="85" ht="15.75" customHeight="1">
      <c r="F85" s="180"/>
      <c r="J85" s="180"/>
      <c r="K85" s="180"/>
    </row>
    <row r="86" ht="15.75" customHeight="1">
      <c r="F86" s="180"/>
      <c r="J86" s="180"/>
      <c r="K86" s="180"/>
    </row>
    <row r="87" ht="15.75" customHeight="1">
      <c r="F87" s="180"/>
      <c r="J87" s="180"/>
      <c r="K87" s="180"/>
    </row>
    <row r="88" ht="15.75" customHeight="1">
      <c r="F88" s="180"/>
      <c r="J88" s="180"/>
      <c r="K88" s="180"/>
    </row>
    <row r="89" ht="15.75" customHeight="1">
      <c r="F89" s="180"/>
      <c r="J89" s="180"/>
      <c r="K89" s="180"/>
    </row>
    <row r="90" ht="15.75" customHeight="1">
      <c r="F90" s="180"/>
      <c r="J90" s="180"/>
      <c r="K90" s="180"/>
    </row>
    <row r="91" ht="15.75" customHeight="1">
      <c r="F91" s="180"/>
      <c r="J91" s="180"/>
      <c r="K91" s="180"/>
    </row>
    <row r="92" ht="15.75" customHeight="1">
      <c r="F92" s="180"/>
      <c r="J92" s="180"/>
      <c r="K92" s="180"/>
    </row>
    <row r="93" ht="15.75" customHeight="1">
      <c r="F93" s="180"/>
      <c r="J93" s="180"/>
      <c r="K93" s="180"/>
    </row>
    <row r="94" ht="15.75" customHeight="1">
      <c r="F94" s="180"/>
      <c r="J94" s="180"/>
      <c r="K94" s="180"/>
    </row>
    <row r="95" ht="15.75" customHeight="1">
      <c r="F95" s="180"/>
      <c r="J95" s="180"/>
      <c r="K95" s="180"/>
    </row>
    <row r="96" ht="15.75" customHeight="1">
      <c r="F96" s="180"/>
      <c r="J96" s="180"/>
      <c r="K96" s="180"/>
    </row>
    <row r="97" ht="15.75" customHeight="1">
      <c r="F97" s="180"/>
      <c r="J97" s="180"/>
      <c r="K97" s="180"/>
    </row>
    <row r="98" ht="15.75" customHeight="1">
      <c r="F98" s="180"/>
      <c r="J98" s="180"/>
      <c r="K98" s="180"/>
    </row>
    <row r="99" ht="15.75" customHeight="1">
      <c r="F99" s="180"/>
      <c r="J99" s="180"/>
      <c r="K99" s="180"/>
    </row>
    <row r="100" ht="15.75" customHeight="1">
      <c r="F100" s="180"/>
      <c r="J100" s="180"/>
      <c r="K100" s="180"/>
    </row>
    <row r="101" ht="15.75" customHeight="1">
      <c r="F101" s="180"/>
      <c r="J101" s="180"/>
      <c r="K101" s="180"/>
    </row>
    <row r="102" ht="15.75" customHeight="1">
      <c r="F102" s="180"/>
      <c r="J102" s="180"/>
      <c r="K102" s="180"/>
    </row>
    <row r="103" ht="15.75" customHeight="1">
      <c r="F103" s="180"/>
      <c r="J103" s="180"/>
      <c r="K103" s="180"/>
    </row>
    <row r="104" ht="15.75" customHeight="1">
      <c r="F104" s="180"/>
      <c r="J104" s="180"/>
      <c r="K104" s="180"/>
    </row>
    <row r="105" ht="15.75" customHeight="1">
      <c r="F105" s="180"/>
      <c r="J105" s="180"/>
      <c r="K105" s="180"/>
    </row>
    <row r="106" ht="15.75" customHeight="1">
      <c r="F106" s="180"/>
      <c r="J106" s="180"/>
      <c r="K106" s="180"/>
    </row>
    <row r="107" ht="15.75" customHeight="1">
      <c r="F107" s="180"/>
      <c r="J107" s="180"/>
      <c r="K107" s="180"/>
    </row>
    <row r="108" ht="15.75" customHeight="1">
      <c r="F108" s="180"/>
      <c r="J108" s="180"/>
      <c r="K108" s="180"/>
    </row>
    <row r="109" ht="15.75" customHeight="1">
      <c r="F109" s="180"/>
      <c r="J109" s="180"/>
      <c r="K109" s="180"/>
    </row>
    <row r="110" ht="15.75" customHeight="1">
      <c r="F110" s="180"/>
      <c r="J110" s="180"/>
      <c r="K110" s="180"/>
    </row>
    <row r="111" ht="15.75" customHeight="1">
      <c r="F111" s="180"/>
      <c r="J111" s="180"/>
      <c r="K111" s="180"/>
    </row>
    <row r="112" ht="15.75" customHeight="1">
      <c r="F112" s="180"/>
      <c r="J112" s="180"/>
      <c r="K112" s="180"/>
    </row>
    <row r="113" ht="15.75" customHeight="1">
      <c r="F113" s="180"/>
      <c r="J113" s="180"/>
      <c r="K113" s="180"/>
    </row>
    <row r="114" ht="15.75" customHeight="1">
      <c r="F114" s="180"/>
      <c r="J114" s="180"/>
      <c r="K114" s="180"/>
    </row>
    <row r="115" ht="15.75" customHeight="1">
      <c r="F115" s="180"/>
      <c r="J115" s="180"/>
      <c r="K115" s="180"/>
    </row>
    <row r="116" ht="15.75" customHeight="1">
      <c r="F116" s="180"/>
      <c r="J116" s="180"/>
      <c r="K116" s="180"/>
    </row>
    <row r="117" ht="15.75" customHeight="1">
      <c r="F117" s="180"/>
      <c r="J117" s="180"/>
      <c r="K117" s="180"/>
    </row>
    <row r="118" ht="15.75" customHeight="1">
      <c r="F118" s="180"/>
      <c r="J118" s="180"/>
      <c r="K118" s="180"/>
    </row>
    <row r="119" ht="15.75" customHeight="1">
      <c r="F119" s="180"/>
      <c r="J119" s="180"/>
      <c r="K119" s="180"/>
    </row>
    <row r="120" ht="15.75" customHeight="1">
      <c r="F120" s="180"/>
      <c r="J120" s="180"/>
      <c r="K120" s="180"/>
    </row>
    <row r="121" ht="15.75" customHeight="1">
      <c r="F121" s="180"/>
      <c r="J121" s="180"/>
      <c r="K121" s="180"/>
    </row>
    <row r="122" ht="15.75" customHeight="1">
      <c r="F122" s="180"/>
      <c r="J122" s="180"/>
      <c r="K122" s="180"/>
    </row>
    <row r="123" ht="15.75" customHeight="1">
      <c r="F123" s="180"/>
      <c r="J123" s="180"/>
      <c r="K123" s="180"/>
    </row>
    <row r="124" ht="15.75" customHeight="1">
      <c r="F124" s="180"/>
      <c r="J124" s="180"/>
      <c r="K124" s="180"/>
    </row>
    <row r="125" ht="15.75" customHeight="1">
      <c r="F125" s="180"/>
      <c r="J125" s="180"/>
      <c r="K125" s="180"/>
    </row>
    <row r="126" ht="15.75" customHeight="1">
      <c r="F126" s="180"/>
      <c r="J126" s="180"/>
      <c r="K126" s="180"/>
    </row>
    <row r="127" ht="15.75" customHeight="1">
      <c r="F127" s="180"/>
      <c r="J127" s="180"/>
      <c r="K127" s="180"/>
    </row>
    <row r="128" ht="15.75" customHeight="1">
      <c r="F128" s="180"/>
      <c r="J128" s="180"/>
      <c r="K128" s="180"/>
    </row>
    <row r="129" ht="15.75" customHeight="1">
      <c r="F129" s="180"/>
      <c r="J129" s="180"/>
      <c r="K129" s="180"/>
    </row>
    <row r="130" ht="15.75" customHeight="1">
      <c r="F130" s="180"/>
      <c r="J130" s="180"/>
      <c r="K130" s="180"/>
    </row>
    <row r="131" ht="15.75" customHeight="1">
      <c r="F131" s="180"/>
      <c r="J131" s="180"/>
      <c r="K131" s="180"/>
    </row>
    <row r="132" ht="15.75" customHeight="1">
      <c r="F132" s="180"/>
      <c r="J132" s="180"/>
      <c r="K132" s="180"/>
    </row>
    <row r="133" ht="15.75" customHeight="1">
      <c r="F133" s="180"/>
      <c r="J133" s="180"/>
      <c r="K133" s="180"/>
    </row>
    <row r="134" ht="15.75" customHeight="1">
      <c r="F134" s="180"/>
      <c r="J134" s="180"/>
      <c r="K134" s="180"/>
    </row>
    <row r="135" ht="15.75" customHeight="1">
      <c r="F135" s="180"/>
      <c r="J135" s="180"/>
      <c r="K135" s="180"/>
    </row>
    <row r="136" ht="15.75" customHeight="1">
      <c r="F136" s="180"/>
      <c r="J136" s="180"/>
      <c r="K136" s="180"/>
    </row>
    <row r="137" ht="15.75" customHeight="1">
      <c r="F137" s="180"/>
      <c r="J137" s="180"/>
      <c r="K137" s="180"/>
    </row>
    <row r="138" ht="15.75" customHeight="1">
      <c r="F138" s="180"/>
      <c r="J138" s="180"/>
      <c r="K138" s="180"/>
    </row>
    <row r="139" ht="15.75" customHeight="1">
      <c r="F139" s="180"/>
      <c r="J139" s="180"/>
      <c r="K139" s="180"/>
    </row>
    <row r="140" ht="15.75" customHeight="1">
      <c r="F140" s="180"/>
      <c r="J140" s="180"/>
      <c r="K140" s="180"/>
    </row>
    <row r="141" ht="15.75" customHeight="1">
      <c r="F141" s="180"/>
      <c r="J141" s="180"/>
      <c r="K141" s="180"/>
    </row>
    <row r="142" ht="15.75" customHeight="1">
      <c r="F142" s="180"/>
      <c r="J142" s="180"/>
      <c r="K142" s="180"/>
    </row>
    <row r="143" ht="15.75" customHeight="1">
      <c r="F143" s="180"/>
      <c r="J143" s="180"/>
      <c r="K143" s="180"/>
    </row>
    <row r="144" ht="15.75" customHeight="1">
      <c r="F144" s="180"/>
      <c r="J144" s="180"/>
      <c r="K144" s="180"/>
    </row>
    <row r="145" ht="15.75" customHeight="1">
      <c r="F145" s="180"/>
      <c r="J145" s="180"/>
      <c r="K145" s="180"/>
    </row>
    <row r="146" ht="15.75" customHeight="1">
      <c r="F146" s="180"/>
      <c r="J146" s="180"/>
      <c r="K146" s="180"/>
    </row>
    <row r="147" ht="15.75" customHeight="1">
      <c r="F147" s="180"/>
      <c r="J147" s="180"/>
      <c r="K147" s="180"/>
    </row>
    <row r="148" ht="15.75" customHeight="1">
      <c r="F148" s="180"/>
      <c r="J148" s="180"/>
      <c r="K148" s="180"/>
    </row>
    <row r="149" ht="15.75" customHeight="1">
      <c r="F149" s="180"/>
      <c r="J149" s="180"/>
      <c r="K149" s="180"/>
    </row>
    <row r="150" ht="15.75" customHeight="1">
      <c r="F150" s="180"/>
      <c r="J150" s="180"/>
      <c r="K150" s="180"/>
    </row>
    <row r="151" ht="15.75" customHeight="1">
      <c r="F151" s="180"/>
      <c r="J151" s="180"/>
      <c r="K151" s="180"/>
    </row>
    <row r="152" ht="15.75" customHeight="1">
      <c r="F152" s="180"/>
      <c r="J152" s="180"/>
      <c r="K152" s="180"/>
    </row>
    <row r="153" ht="15.75" customHeight="1">
      <c r="F153" s="180"/>
      <c r="J153" s="180"/>
      <c r="K153" s="180"/>
    </row>
    <row r="154" ht="15.75" customHeight="1">
      <c r="F154" s="180"/>
      <c r="J154" s="180"/>
      <c r="K154" s="180"/>
    </row>
    <row r="155" ht="15.75" customHeight="1">
      <c r="F155" s="180"/>
      <c r="J155" s="180"/>
      <c r="K155" s="180"/>
    </row>
    <row r="156" ht="15.75" customHeight="1">
      <c r="F156" s="180"/>
      <c r="J156" s="180"/>
      <c r="K156" s="180"/>
    </row>
    <row r="157" ht="15.75" customHeight="1">
      <c r="F157" s="180"/>
      <c r="J157" s="180"/>
      <c r="K157" s="180"/>
    </row>
    <row r="158" ht="15.75" customHeight="1">
      <c r="F158" s="180"/>
      <c r="J158" s="180"/>
      <c r="K158" s="180"/>
    </row>
    <row r="159" ht="15.75" customHeight="1">
      <c r="F159" s="180"/>
      <c r="J159" s="180"/>
      <c r="K159" s="180"/>
    </row>
    <row r="160" ht="15.75" customHeight="1">
      <c r="F160" s="180"/>
      <c r="J160" s="180"/>
      <c r="K160" s="180"/>
    </row>
    <row r="161" ht="15.75" customHeight="1">
      <c r="F161" s="180"/>
      <c r="J161" s="180"/>
      <c r="K161" s="180"/>
    </row>
    <row r="162" ht="15.75" customHeight="1">
      <c r="F162" s="180"/>
      <c r="J162" s="180"/>
      <c r="K162" s="180"/>
    </row>
    <row r="163" ht="15.75" customHeight="1">
      <c r="F163" s="180"/>
      <c r="J163" s="180"/>
      <c r="K163" s="180"/>
    </row>
    <row r="164" ht="15.75" customHeight="1">
      <c r="F164" s="180"/>
      <c r="J164" s="180"/>
      <c r="K164" s="180"/>
    </row>
    <row r="165" ht="15.75" customHeight="1">
      <c r="F165" s="180"/>
      <c r="J165" s="180"/>
      <c r="K165" s="180"/>
    </row>
    <row r="166" ht="15.75" customHeight="1">
      <c r="F166" s="180"/>
      <c r="J166" s="180"/>
      <c r="K166" s="180"/>
    </row>
    <row r="167" ht="15.75" customHeight="1">
      <c r="F167" s="180"/>
      <c r="J167" s="180"/>
      <c r="K167" s="180"/>
    </row>
    <row r="168" ht="15.75" customHeight="1">
      <c r="F168" s="180"/>
      <c r="J168" s="180"/>
      <c r="K168" s="180"/>
    </row>
    <row r="169" ht="15.75" customHeight="1">
      <c r="F169" s="180"/>
      <c r="J169" s="180"/>
      <c r="K169" s="180"/>
    </row>
    <row r="170" ht="15.75" customHeight="1">
      <c r="F170" s="180"/>
      <c r="J170" s="180"/>
      <c r="K170" s="180"/>
    </row>
    <row r="171" ht="15.75" customHeight="1">
      <c r="F171" s="180"/>
      <c r="J171" s="180"/>
      <c r="K171" s="180"/>
    </row>
    <row r="172" ht="15.75" customHeight="1">
      <c r="F172" s="180"/>
      <c r="J172" s="180"/>
      <c r="K172" s="180"/>
    </row>
    <row r="173" ht="15.75" customHeight="1">
      <c r="F173" s="180"/>
      <c r="J173" s="180"/>
      <c r="K173" s="180"/>
    </row>
    <row r="174" ht="15.75" customHeight="1">
      <c r="F174" s="180"/>
      <c r="J174" s="180"/>
      <c r="K174" s="180"/>
    </row>
    <row r="175" ht="15.75" customHeight="1">
      <c r="F175" s="180"/>
      <c r="J175" s="180"/>
      <c r="K175" s="180"/>
    </row>
    <row r="176" ht="15.75" customHeight="1">
      <c r="F176" s="180"/>
      <c r="J176" s="180"/>
      <c r="K176" s="180"/>
    </row>
    <row r="177" ht="15.75" customHeight="1">
      <c r="F177" s="180"/>
      <c r="J177" s="180"/>
      <c r="K177" s="180"/>
    </row>
    <row r="178" ht="15.75" customHeight="1">
      <c r="F178" s="180"/>
      <c r="J178" s="180"/>
      <c r="K178" s="180"/>
    </row>
    <row r="179" ht="15.75" customHeight="1">
      <c r="F179" s="180"/>
      <c r="J179" s="180"/>
      <c r="K179" s="180"/>
    </row>
    <row r="180" ht="15.75" customHeight="1">
      <c r="F180" s="180"/>
      <c r="J180" s="180"/>
      <c r="K180" s="180"/>
    </row>
    <row r="181" ht="15.75" customHeight="1">
      <c r="F181" s="180"/>
      <c r="J181" s="180"/>
      <c r="K181" s="180"/>
    </row>
    <row r="182" ht="15.75" customHeight="1">
      <c r="F182" s="180"/>
      <c r="J182" s="180"/>
      <c r="K182" s="180"/>
    </row>
    <row r="183" ht="15.75" customHeight="1">
      <c r="F183" s="180"/>
      <c r="J183" s="180"/>
      <c r="K183" s="180"/>
    </row>
    <row r="184" ht="15.75" customHeight="1">
      <c r="F184" s="180"/>
      <c r="J184" s="180"/>
      <c r="K184" s="180"/>
    </row>
    <row r="185" ht="15.75" customHeight="1">
      <c r="F185" s="180"/>
      <c r="J185" s="180"/>
      <c r="K185" s="180"/>
    </row>
    <row r="186" ht="15.75" customHeight="1">
      <c r="F186" s="180"/>
      <c r="J186" s="180"/>
      <c r="K186" s="180"/>
    </row>
    <row r="187" ht="15.75" customHeight="1">
      <c r="F187" s="180"/>
      <c r="J187" s="180"/>
      <c r="K187" s="180"/>
    </row>
    <row r="188" ht="15.75" customHeight="1">
      <c r="F188" s="180"/>
      <c r="J188" s="180"/>
      <c r="K188" s="180"/>
    </row>
    <row r="189" ht="15.75" customHeight="1">
      <c r="F189" s="180"/>
      <c r="J189" s="180"/>
      <c r="K189" s="180"/>
    </row>
    <row r="190" ht="15.75" customHeight="1">
      <c r="F190" s="180"/>
      <c r="J190" s="180"/>
      <c r="K190" s="180"/>
    </row>
    <row r="191" ht="15.75" customHeight="1">
      <c r="F191" s="180"/>
      <c r="J191" s="180"/>
      <c r="K191" s="180"/>
    </row>
    <row r="192" ht="15.75" customHeight="1">
      <c r="F192" s="180"/>
      <c r="J192" s="180"/>
      <c r="K192" s="180"/>
    </row>
    <row r="193" ht="15.75" customHeight="1">
      <c r="F193" s="180"/>
      <c r="J193" s="180"/>
      <c r="K193" s="180"/>
    </row>
    <row r="194" ht="15.75" customHeight="1">
      <c r="F194" s="180"/>
      <c r="J194" s="180"/>
      <c r="K194" s="180"/>
    </row>
    <row r="195" ht="15.75" customHeight="1">
      <c r="F195" s="180"/>
      <c r="J195" s="180"/>
      <c r="K195" s="180"/>
    </row>
    <row r="196" ht="15.75" customHeight="1">
      <c r="F196" s="180"/>
      <c r="J196" s="180"/>
      <c r="K196" s="180"/>
    </row>
    <row r="197" ht="15.75" customHeight="1">
      <c r="F197" s="180"/>
      <c r="J197" s="180"/>
      <c r="K197" s="180"/>
    </row>
    <row r="198" ht="15.75" customHeight="1">
      <c r="F198" s="180"/>
      <c r="J198" s="180"/>
      <c r="K198" s="180"/>
    </row>
    <row r="199" ht="15.75" customHeight="1">
      <c r="F199" s="180"/>
      <c r="J199" s="180"/>
      <c r="K199" s="180"/>
    </row>
    <row r="200" ht="15.75" customHeight="1">
      <c r="F200" s="180"/>
      <c r="J200" s="180"/>
      <c r="K200" s="180"/>
    </row>
    <row r="201" ht="15.75" customHeight="1">
      <c r="F201" s="180"/>
      <c r="J201" s="180"/>
      <c r="K201" s="180"/>
    </row>
    <row r="202" ht="15.75" customHeight="1">
      <c r="F202" s="180"/>
      <c r="J202" s="180"/>
      <c r="K202" s="180"/>
    </row>
    <row r="203" ht="15.75" customHeight="1">
      <c r="F203" s="180"/>
      <c r="J203" s="180"/>
      <c r="K203" s="180"/>
    </row>
    <row r="204" ht="15.75" customHeight="1">
      <c r="F204" s="180"/>
      <c r="J204" s="180"/>
      <c r="K204" s="180"/>
    </row>
    <row r="205" ht="15.75" customHeight="1">
      <c r="F205" s="180"/>
      <c r="J205" s="180"/>
      <c r="K205" s="180"/>
    </row>
    <row r="206" ht="15.75" customHeight="1">
      <c r="F206" s="180"/>
      <c r="J206" s="180"/>
      <c r="K206" s="180"/>
    </row>
    <row r="207" ht="15.75" customHeight="1">
      <c r="F207" s="180"/>
      <c r="J207" s="180"/>
      <c r="K207" s="180"/>
    </row>
    <row r="208" ht="15.75" customHeight="1">
      <c r="F208" s="180"/>
      <c r="J208" s="180"/>
      <c r="K208" s="180"/>
    </row>
    <row r="209" ht="15.75" customHeight="1">
      <c r="F209" s="180"/>
      <c r="J209" s="180"/>
      <c r="K209" s="180"/>
    </row>
    <row r="210" ht="15.75" customHeight="1">
      <c r="F210" s="180"/>
      <c r="J210" s="180"/>
      <c r="K210" s="180"/>
    </row>
    <row r="211" ht="15.75" customHeight="1">
      <c r="F211" s="180"/>
      <c r="J211" s="180"/>
      <c r="K211" s="180"/>
    </row>
    <row r="212" ht="15.75" customHeight="1">
      <c r="F212" s="180"/>
      <c r="J212" s="180"/>
      <c r="K212" s="180"/>
    </row>
    <row r="213" ht="15.75" customHeight="1">
      <c r="F213" s="180"/>
      <c r="J213" s="180"/>
      <c r="K213" s="180"/>
    </row>
    <row r="214" ht="15.75" customHeight="1">
      <c r="F214" s="180"/>
      <c r="J214" s="180"/>
      <c r="K214" s="180"/>
    </row>
    <row r="215" ht="15.75" customHeight="1">
      <c r="F215" s="180"/>
      <c r="J215" s="180"/>
      <c r="K215" s="180"/>
    </row>
    <row r="216" ht="15.75" customHeight="1">
      <c r="F216" s="180"/>
      <c r="J216" s="180"/>
      <c r="K216" s="180"/>
    </row>
    <row r="217" ht="15.75" customHeight="1">
      <c r="F217" s="180"/>
      <c r="J217" s="180"/>
      <c r="K217" s="180"/>
    </row>
    <row r="218" ht="15.75" customHeight="1">
      <c r="F218" s="180"/>
      <c r="J218" s="180"/>
      <c r="K218" s="180"/>
    </row>
    <row r="219" ht="15.75" customHeight="1">
      <c r="F219" s="180"/>
      <c r="J219" s="180"/>
      <c r="K219" s="180"/>
    </row>
    <row r="220" ht="15.75" customHeight="1">
      <c r="F220" s="180"/>
      <c r="J220" s="180"/>
      <c r="K220" s="180"/>
    </row>
    <row r="221" ht="15.75" customHeight="1">
      <c r="F221" s="180"/>
      <c r="J221" s="180"/>
      <c r="K221" s="180"/>
    </row>
    <row r="222" ht="15.75" customHeight="1">
      <c r="F222" s="180"/>
      <c r="J222" s="180"/>
      <c r="K222" s="180"/>
    </row>
    <row r="223" ht="15.75" customHeight="1">
      <c r="F223" s="180"/>
      <c r="J223" s="180"/>
      <c r="K223" s="180"/>
    </row>
    <row r="224" ht="15.75" customHeight="1">
      <c r="F224" s="180"/>
      <c r="J224" s="180"/>
      <c r="K224" s="180"/>
    </row>
    <row r="225" ht="15.75" customHeight="1">
      <c r="F225" s="180"/>
      <c r="J225" s="180"/>
      <c r="K225" s="180"/>
    </row>
    <row r="226" ht="15.75" customHeight="1">
      <c r="F226" s="180"/>
      <c r="J226" s="180"/>
      <c r="K226" s="180"/>
    </row>
    <row r="227" ht="15.75" customHeight="1">
      <c r="F227" s="180"/>
      <c r="J227" s="180"/>
      <c r="K227" s="180"/>
    </row>
    <row r="228" ht="15.75" customHeight="1">
      <c r="F228" s="180"/>
      <c r="J228" s="180"/>
      <c r="K228" s="180"/>
    </row>
    <row r="229" ht="15.75" customHeight="1">
      <c r="F229" s="180"/>
      <c r="J229" s="180"/>
      <c r="K229" s="180"/>
    </row>
    <row r="230" ht="15.75" customHeight="1">
      <c r="F230" s="180"/>
      <c r="J230" s="180"/>
      <c r="K230" s="180"/>
    </row>
    <row r="231" ht="15.75" customHeight="1">
      <c r="F231" s="180"/>
      <c r="J231" s="180"/>
      <c r="K231" s="180"/>
    </row>
    <row r="232" ht="15.75" customHeight="1">
      <c r="F232" s="180"/>
      <c r="J232" s="180"/>
      <c r="K232" s="180"/>
    </row>
    <row r="233" ht="15.75" customHeight="1">
      <c r="F233" s="180"/>
      <c r="J233" s="180"/>
      <c r="K233" s="180"/>
    </row>
    <row r="234" ht="15.75" customHeight="1">
      <c r="F234" s="180"/>
      <c r="J234" s="180"/>
      <c r="K234" s="180"/>
    </row>
    <row r="235" ht="15.75" customHeight="1">
      <c r="F235" s="180"/>
      <c r="J235" s="180"/>
      <c r="K235" s="180"/>
    </row>
    <row r="236" ht="15.75" customHeight="1">
      <c r="F236" s="180"/>
      <c r="J236" s="180"/>
      <c r="K236" s="180"/>
    </row>
    <row r="237" ht="15.75" customHeight="1">
      <c r="F237" s="180"/>
      <c r="J237" s="180"/>
      <c r="K237" s="180"/>
    </row>
    <row r="238" ht="15.75" customHeight="1">
      <c r="F238" s="180"/>
      <c r="J238" s="180"/>
      <c r="K238" s="180"/>
    </row>
    <row r="239" ht="15.75" customHeight="1">
      <c r="F239" s="180"/>
      <c r="J239" s="180"/>
      <c r="K239" s="180"/>
    </row>
    <row r="240" ht="15.75" customHeight="1">
      <c r="F240" s="180"/>
      <c r="J240" s="180"/>
      <c r="K240" s="180"/>
    </row>
    <row r="241" ht="15.75" customHeight="1">
      <c r="F241" s="180"/>
      <c r="J241" s="180"/>
      <c r="K241" s="180"/>
    </row>
    <row r="242" ht="15.75" customHeight="1">
      <c r="F242" s="180"/>
      <c r="J242" s="180"/>
      <c r="K242" s="180"/>
    </row>
    <row r="243" ht="15.75" customHeight="1">
      <c r="F243" s="180"/>
      <c r="J243" s="180"/>
      <c r="K243" s="180"/>
    </row>
    <row r="244" ht="15.75" customHeight="1">
      <c r="F244" s="180"/>
      <c r="J244" s="180"/>
      <c r="K244" s="180"/>
    </row>
    <row r="245" ht="15.75" customHeight="1">
      <c r="F245" s="180"/>
      <c r="J245" s="180"/>
      <c r="K245" s="180"/>
    </row>
    <row r="246" ht="15.75" customHeight="1">
      <c r="F246" s="180"/>
      <c r="J246" s="180"/>
      <c r="K246" s="180"/>
    </row>
    <row r="247" ht="15.75" customHeight="1">
      <c r="F247" s="180"/>
      <c r="J247" s="180"/>
      <c r="K247" s="180"/>
    </row>
    <row r="248" ht="15.75" customHeight="1">
      <c r="F248" s="180"/>
      <c r="J248" s="180"/>
      <c r="K248" s="180"/>
    </row>
    <row r="249" ht="15.75" customHeight="1">
      <c r="F249" s="180"/>
      <c r="J249" s="180"/>
      <c r="K249" s="180"/>
    </row>
    <row r="250" ht="15.75" customHeight="1">
      <c r="F250" s="180"/>
      <c r="J250" s="180"/>
      <c r="K250" s="180"/>
    </row>
    <row r="251" ht="15.75" customHeight="1">
      <c r="F251" s="180"/>
      <c r="J251" s="180"/>
      <c r="K251" s="180"/>
    </row>
    <row r="252" ht="15.75" customHeight="1">
      <c r="F252" s="180"/>
      <c r="J252" s="180"/>
      <c r="K252" s="180"/>
    </row>
    <row r="253" ht="15.75" customHeight="1">
      <c r="F253" s="180"/>
      <c r="J253" s="180"/>
      <c r="K253" s="180"/>
    </row>
    <row r="254" ht="15.75" customHeight="1">
      <c r="F254" s="180"/>
      <c r="J254" s="180"/>
      <c r="K254" s="180"/>
    </row>
    <row r="255" ht="15.75" customHeight="1">
      <c r="F255" s="180"/>
      <c r="J255" s="180"/>
      <c r="K255" s="180"/>
    </row>
    <row r="256" ht="15.75" customHeight="1">
      <c r="F256" s="180"/>
      <c r="J256" s="180"/>
      <c r="K256" s="180"/>
    </row>
    <row r="257" ht="15.75" customHeight="1">
      <c r="F257" s="180"/>
      <c r="J257" s="180"/>
      <c r="K257" s="180"/>
    </row>
    <row r="258" ht="15.75" customHeight="1">
      <c r="F258" s="180"/>
      <c r="J258" s="180"/>
      <c r="K258" s="180"/>
    </row>
    <row r="259" ht="15.75" customHeight="1">
      <c r="F259" s="180"/>
      <c r="J259" s="180"/>
      <c r="K259" s="180"/>
    </row>
    <row r="260" ht="15.75" customHeight="1">
      <c r="F260" s="180"/>
      <c r="J260" s="180"/>
      <c r="K260" s="180"/>
    </row>
    <row r="261" ht="15.75" customHeight="1">
      <c r="F261" s="180"/>
      <c r="J261" s="180"/>
      <c r="K261" s="180"/>
    </row>
    <row r="262" ht="15.75" customHeight="1">
      <c r="F262" s="180"/>
      <c r="J262" s="180"/>
      <c r="K262" s="180"/>
    </row>
    <row r="263" ht="15.75" customHeight="1">
      <c r="F263" s="180"/>
      <c r="J263" s="180"/>
      <c r="K263" s="180"/>
    </row>
    <row r="264" ht="15.75" customHeight="1">
      <c r="F264" s="180"/>
      <c r="J264" s="180"/>
      <c r="K264" s="180"/>
    </row>
    <row r="265" ht="15.75" customHeight="1">
      <c r="F265" s="180"/>
      <c r="J265" s="180"/>
      <c r="K265" s="180"/>
    </row>
    <row r="266" ht="15.75" customHeight="1">
      <c r="F266" s="180"/>
      <c r="J266" s="180"/>
      <c r="K266" s="180"/>
    </row>
    <row r="267" ht="15.75" customHeight="1">
      <c r="F267" s="180"/>
      <c r="J267" s="180"/>
      <c r="K267" s="180"/>
    </row>
    <row r="268" ht="15.75" customHeight="1">
      <c r="F268" s="180"/>
      <c r="J268" s="180"/>
      <c r="K268" s="180"/>
    </row>
    <row r="269" ht="15.75" customHeight="1">
      <c r="F269" s="180"/>
      <c r="J269" s="180"/>
      <c r="K269" s="180"/>
    </row>
    <row r="270" ht="15.75" customHeight="1">
      <c r="F270" s="180"/>
      <c r="J270" s="180"/>
      <c r="K270" s="180"/>
    </row>
    <row r="271" ht="15.75" customHeight="1">
      <c r="F271" s="180"/>
      <c r="J271" s="180"/>
      <c r="K271" s="180"/>
    </row>
    <row r="272" ht="15.75" customHeight="1">
      <c r="F272" s="180"/>
      <c r="J272" s="180"/>
      <c r="K272" s="180"/>
    </row>
    <row r="273" ht="15.75" customHeight="1">
      <c r="F273" s="180"/>
      <c r="J273" s="180"/>
      <c r="K273" s="180"/>
    </row>
    <row r="274" ht="15.75" customHeight="1">
      <c r="F274" s="180"/>
      <c r="J274" s="180"/>
      <c r="K274" s="180"/>
    </row>
    <row r="275" ht="15.75" customHeight="1">
      <c r="F275" s="180"/>
      <c r="J275" s="180"/>
      <c r="K275" s="180"/>
    </row>
    <row r="276" ht="15.75" customHeight="1">
      <c r="F276" s="180"/>
      <c r="J276" s="180"/>
      <c r="K276" s="180"/>
    </row>
    <row r="277" ht="15.75" customHeight="1">
      <c r="F277" s="180"/>
      <c r="J277" s="180"/>
      <c r="K277" s="180"/>
    </row>
    <row r="278" ht="15.75" customHeight="1">
      <c r="F278" s="180"/>
      <c r="J278" s="180"/>
      <c r="K278" s="180"/>
    </row>
    <row r="279" ht="15.75" customHeight="1">
      <c r="F279" s="180"/>
      <c r="J279" s="180"/>
      <c r="K279" s="180"/>
    </row>
    <row r="280" ht="15.75" customHeight="1">
      <c r="F280" s="180"/>
      <c r="J280" s="180"/>
      <c r="K280" s="180"/>
    </row>
    <row r="281" ht="15.75" customHeight="1">
      <c r="F281" s="180"/>
      <c r="J281" s="180"/>
      <c r="K281" s="180"/>
    </row>
    <row r="282" ht="15.75" customHeight="1">
      <c r="F282" s="180"/>
      <c r="J282" s="180"/>
      <c r="K282" s="180"/>
    </row>
    <row r="283" ht="15.75" customHeight="1">
      <c r="F283" s="180"/>
      <c r="J283" s="180"/>
      <c r="K283" s="180"/>
    </row>
    <row r="284" ht="15.75" customHeight="1">
      <c r="F284" s="180"/>
      <c r="J284" s="180"/>
      <c r="K284" s="180"/>
    </row>
    <row r="285" ht="15.75" customHeight="1">
      <c r="F285" s="180"/>
      <c r="J285" s="180"/>
      <c r="K285" s="180"/>
    </row>
    <row r="286" ht="15.75" customHeight="1">
      <c r="F286" s="180"/>
      <c r="J286" s="180"/>
      <c r="K286" s="180"/>
    </row>
    <row r="287" ht="15.75" customHeight="1">
      <c r="F287" s="180"/>
      <c r="J287" s="180"/>
      <c r="K287" s="180"/>
    </row>
    <row r="288" ht="15.75" customHeight="1">
      <c r="F288" s="180"/>
      <c r="J288" s="180"/>
      <c r="K288" s="180"/>
    </row>
    <row r="289" ht="15.75" customHeight="1">
      <c r="F289" s="180"/>
      <c r="J289" s="180"/>
      <c r="K289" s="180"/>
    </row>
    <row r="290" ht="15.75" customHeight="1">
      <c r="F290" s="180"/>
      <c r="J290" s="180"/>
      <c r="K290" s="180"/>
    </row>
    <row r="291" ht="15.75" customHeight="1">
      <c r="F291" s="180"/>
      <c r="J291" s="180"/>
      <c r="K291" s="180"/>
    </row>
    <row r="292" ht="15.75" customHeight="1">
      <c r="F292" s="180"/>
      <c r="J292" s="180"/>
      <c r="K292" s="180"/>
    </row>
    <row r="293" ht="15.75" customHeight="1">
      <c r="F293" s="180"/>
      <c r="J293" s="180"/>
      <c r="K293" s="180"/>
    </row>
    <row r="294" ht="15.75" customHeight="1">
      <c r="F294" s="180"/>
      <c r="J294" s="180"/>
      <c r="K294" s="180"/>
    </row>
    <row r="295" ht="15.75" customHeight="1">
      <c r="F295" s="180"/>
      <c r="J295" s="180"/>
      <c r="K295" s="180"/>
    </row>
    <row r="296" ht="15.75" customHeight="1">
      <c r="F296" s="180"/>
      <c r="J296" s="180"/>
      <c r="K296" s="180"/>
    </row>
    <row r="297" ht="15.75" customHeight="1">
      <c r="F297" s="180"/>
      <c r="J297" s="180"/>
      <c r="K297" s="180"/>
    </row>
    <row r="298" ht="15.75" customHeight="1">
      <c r="F298" s="180"/>
      <c r="J298" s="180"/>
      <c r="K298" s="180"/>
    </row>
    <row r="299" ht="15.75" customHeight="1">
      <c r="F299" s="180"/>
      <c r="J299" s="180"/>
      <c r="K299" s="180"/>
    </row>
    <row r="300" ht="15.75" customHeight="1">
      <c r="F300" s="180"/>
      <c r="J300" s="180"/>
      <c r="K300" s="180"/>
    </row>
    <row r="301" ht="15.75" customHeight="1">
      <c r="F301" s="180"/>
      <c r="J301" s="180"/>
      <c r="K301" s="180"/>
    </row>
    <row r="302" ht="15.75" customHeight="1">
      <c r="F302" s="180"/>
      <c r="J302" s="180"/>
      <c r="K302" s="180"/>
    </row>
    <row r="303" ht="15.75" customHeight="1">
      <c r="F303" s="180"/>
      <c r="J303" s="180"/>
      <c r="K303" s="180"/>
    </row>
    <row r="304" ht="15.75" customHeight="1">
      <c r="F304" s="180"/>
      <c r="J304" s="180"/>
      <c r="K304" s="180"/>
    </row>
    <row r="305" ht="15.75" customHeight="1">
      <c r="F305" s="180"/>
      <c r="J305" s="180"/>
      <c r="K305" s="180"/>
    </row>
    <row r="306" ht="15.75" customHeight="1">
      <c r="F306" s="180"/>
      <c r="J306" s="180"/>
      <c r="K306" s="180"/>
    </row>
    <row r="307" ht="15.75" customHeight="1">
      <c r="F307" s="180"/>
      <c r="J307" s="180"/>
      <c r="K307" s="180"/>
    </row>
    <row r="308" ht="15.75" customHeight="1">
      <c r="F308" s="180"/>
      <c r="J308" s="180"/>
      <c r="K308" s="180"/>
    </row>
    <row r="309" ht="15.75" customHeight="1">
      <c r="F309" s="180"/>
      <c r="J309" s="180"/>
      <c r="K309" s="180"/>
    </row>
    <row r="310" ht="15.75" customHeight="1">
      <c r="F310" s="180"/>
      <c r="J310" s="180"/>
      <c r="K310" s="180"/>
    </row>
    <row r="311" ht="15.75" customHeight="1">
      <c r="F311" s="180"/>
      <c r="J311" s="180"/>
      <c r="K311" s="180"/>
    </row>
    <row r="312" ht="15.75" customHeight="1">
      <c r="F312" s="180"/>
      <c r="J312" s="180"/>
      <c r="K312" s="180"/>
    </row>
    <row r="313" ht="15.75" customHeight="1">
      <c r="F313" s="180"/>
      <c r="J313" s="180"/>
      <c r="K313" s="180"/>
    </row>
    <row r="314" ht="15.75" customHeight="1">
      <c r="F314" s="180"/>
      <c r="J314" s="180"/>
      <c r="K314" s="180"/>
    </row>
    <row r="315" ht="15.75" customHeight="1">
      <c r="F315" s="180"/>
      <c r="J315" s="180"/>
      <c r="K315" s="180"/>
    </row>
    <row r="316" ht="15.75" customHeight="1">
      <c r="F316" s="180"/>
      <c r="J316" s="180"/>
      <c r="K316" s="180"/>
    </row>
    <row r="317" ht="15.75" customHeight="1">
      <c r="F317" s="180"/>
      <c r="J317" s="180"/>
      <c r="K317" s="180"/>
    </row>
    <row r="318" ht="15.75" customHeight="1">
      <c r="F318" s="180"/>
      <c r="J318" s="180"/>
      <c r="K318" s="180"/>
    </row>
    <row r="319" ht="15.75" customHeight="1">
      <c r="F319" s="180"/>
      <c r="J319" s="180"/>
      <c r="K319" s="180"/>
    </row>
    <row r="320" ht="15.75" customHeight="1">
      <c r="F320" s="180"/>
      <c r="J320" s="180"/>
      <c r="K320" s="180"/>
    </row>
    <row r="321" ht="15.75" customHeight="1">
      <c r="F321" s="180"/>
      <c r="J321" s="180"/>
      <c r="K321" s="180"/>
    </row>
    <row r="322" ht="15.75" customHeight="1">
      <c r="F322" s="180"/>
      <c r="J322" s="180"/>
      <c r="K322" s="180"/>
    </row>
    <row r="323" ht="15.75" customHeight="1">
      <c r="F323" s="180"/>
      <c r="J323" s="180"/>
      <c r="K323" s="180"/>
    </row>
    <row r="324" ht="15.75" customHeight="1">
      <c r="F324" s="180"/>
      <c r="J324" s="180"/>
      <c r="K324" s="180"/>
    </row>
    <row r="325" ht="15.75" customHeight="1">
      <c r="F325" s="180"/>
      <c r="J325" s="180"/>
      <c r="K325" s="180"/>
    </row>
    <row r="326" ht="15.75" customHeight="1">
      <c r="F326" s="180"/>
      <c r="J326" s="180"/>
      <c r="K326" s="180"/>
    </row>
    <row r="327" ht="15.75" customHeight="1">
      <c r="F327" s="180"/>
      <c r="J327" s="180"/>
      <c r="K327" s="180"/>
    </row>
    <row r="328" ht="15.75" customHeight="1">
      <c r="F328" s="180"/>
      <c r="J328" s="180"/>
      <c r="K328" s="180"/>
    </row>
    <row r="329" ht="15.75" customHeight="1">
      <c r="F329" s="180"/>
      <c r="J329" s="180"/>
      <c r="K329" s="180"/>
    </row>
    <row r="330" ht="15.75" customHeight="1">
      <c r="F330" s="180"/>
      <c r="J330" s="180"/>
      <c r="K330" s="180"/>
    </row>
    <row r="331" ht="15.75" customHeight="1">
      <c r="F331" s="180"/>
      <c r="J331" s="180"/>
      <c r="K331" s="180"/>
    </row>
    <row r="332" ht="15.75" customHeight="1">
      <c r="F332" s="180"/>
      <c r="J332" s="180"/>
      <c r="K332" s="180"/>
    </row>
    <row r="333" ht="15.75" customHeight="1">
      <c r="F333" s="180"/>
      <c r="J333" s="180"/>
      <c r="K333" s="180"/>
    </row>
    <row r="334" ht="15.75" customHeight="1">
      <c r="F334" s="180"/>
      <c r="J334" s="180"/>
      <c r="K334" s="180"/>
    </row>
    <row r="335" ht="15.75" customHeight="1">
      <c r="F335" s="180"/>
      <c r="J335" s="180"/>
      <c r="K335" s="180"/>
    </row>
    <row r="336" ht="15.75" customHeight="1">
      <c r="F336" s="180"/>
      <c r="J336" s="180"/>
      <c r="K336" s="180"/>
    </row>
    <row r="337" ht="15.75" customHeight="1">
      <c r="F337" s="180"/>
      <c r="J337" s="180"/>
      <c r="K337" s="180"/>
    </row>
    <row r="338" ht="15.75" customHeight="1">
      <c r="F338" s="180"/>
      <c r="J338" s="180"/>
      <c r="K338" s="180"/>
    </row>
    <row r="339" ht="15.75" customHeight="1">
      <c r="F339" s="180"/>
      <c r="J339" s="180"/>
      <c r="K339" s="180"/>
    </row>
    <row r="340" ht="15.75" customHeight="1">
      <c r="F340" s="180"/>
      <c r="J340" s="180"/>
      <c r="K340" s="180"/>
    </row>
    <row r="341" ht="15.75" customHeight="1">
      <c r="F341" s="180"/>
      <c r="J341" s="180"/>
      <c r="K341" s="180"/>
    </row>
    <row r="342" ht="15.75" customHeight="1">
      <c r="F342" s="180"/>
      <c r="J342" s="180"/>
      <c r="K342" s="180"/>
    </row>
    <row r="343" ht="15.75" customHeight="1">
      <c r="F343" s="180"/>
      <c r="J343" s="180"/>
      <c r="K343" s="180"/>
    </row>
    <row r="344" ht="15.75" customHeight="1">
      <c r="F344" s="180"/>
      <c r="J344" s="180"/>
      <c r="K344" s="180"/>
    </row>
    <row r="345" ht="15.75" customHeight="1">
      <c r="F345" s="180"/>
      <c r="J345" s="180"/>
      <c r="K345" s="180"/>
    </row>
    <row r="346" ht="15.75" customHeight="1">
      <c r="F346" s="180"/>
      <c r="J346" s="180"/>
      <c r="K346" s="180"/>
    </row>
    <row r="347" ht="15.75" customHeight="1">
      <c r="F347" s="180"/>
      <c r="J347" s="180"/>
      <c r="K347" s="180"/>
    </row>
    <row r="348" ht="15.75" customHeight="1">
      <c r="F348" s="180"/>
      <c r="J348" s="180"/>
      <c r="K348" s="180"/>
    </row>
    <row r="349" ht="15.75" customHeight="1">
      <c r="F349" s="180"/>
      <c r="J349" s="180"/>
      <c r="K349" s="180"/>
    </row>
    <row r="350" ht="15.75" customHeight="1">
      <c r="F350" s="180"/>
      <c r="J350" s="180"/>
      <c r="K350" s="180"/>
    </row>
    <row r="351" ht="15.75" customHeight="1">
      <c r="F351" s="180"/>
      <c r="J351" s="180"/>
      <c r="K351" s="180"/>
    </row>
    <row r="352" ht="15.75" customHeight="1">
      <c r="F352" s="180"/>
      <c r="J352" s="180"/>
      <c r="K352" s="180"/>
    </row>
    <row r="353" ht="15.75" customHeight="1">
      <c r="F353" s="180"/>
      <c r="J353" s="180"/>
      <c r="K353" s="180"/>
    </row>
    <row r="354" ht="15.75" customHeight="1">
      <c r="F354" s="180"/>
      <c r="J354" s="180"/>
      <c r="K354" s="180"/>
    </row>
    <row r="355" ht="15.75" customHeight="1">
      <c r="F355" s="180"/>
      <c r="J355" s="180"/>
      <c r="K355" s="180"/>
    </row>
    <row r="356" ht="15.75" customHeight="1">
      <c r="F356" s="180"/>
      <c r="J356" s="180"/>
      <c r="K356" s="180"/>
    </row>
    <row r="357" ht="15.75" customHeight="1">
      <c r="F357" s="180"/>
      <c r="J357" s="180"/>
      <c r="K357" s="180"/>
    </row>
    <row r="358" ht="15.75" customHeight="1">
      <c r="F358" s="180"/>
      <c r="J358" s="180"/>
      <c r="K358" s="180"/>
    </row>
    <row r="359" ht="15.75" customHeight="1">
      <c r="F359" s="180"/>
      <c r="J359" s="180"/>
      <c r="K359" s="180"/>
    </row>
    <row r="360" ht="15.75" customHeight="1">
      <c r="F360" s="180"/>
      <c r="J360" s="180"/>
      <c r="K360" s="180"/>
    </row>
    <row r="361" ht="15.75" customHeight="1">
      <c r="F361" s="180"/>
      <c r="J361" s="180"/>
      <c r="K361" s="180"/>
    </row>
    <row r="362" ht="15.75" customHeight="1">
      <c r="F362" s="180"/>
      <c r="J362" s="180"/>
      <c r="K362" s="180"/>
    </row>
    <row r="363" ht="15.75" customHeight="1">
      <c r="F363" s="180"/>
      <c r="J363" s="180"/>
      <c r="K363" s="180"/>
    </row>
    <row r="364" ht="15.75" customHeight="1">
      <c r="F364" s="180"/>
      <c r="J364" s="180"/>
      <c r="K364" s="180"/>
    </row>
    <row r="365" ht="15.75" customHeight="1">
      <c r="F365" s="180"/>
      <c r="J365" s="180"/>
      <c r="K365" s="180"/>
    </row>
    <row r="366" ht="15.75" customHeight="1">
      <c r="F366" s="180"/>
      <c r="J366" s="180"/>
      <c r="K366" s="180"/>
    </row>
    <row r="367" ht="15.75" customHeight="1">
      <c r="F367" s="180"/>
      <c r="J367" s="180"/>
      <c r="K367" s="180"/>
    </row>
    <row r="368" ht="15.75" customHeight="1">
      <c r="F368" s="180"/>
      <c r="J368" s="180"/>
      <c r="K368" s="180"/>
    </row>
    <row r="369" ht="15.75" customHeight="1">
      <c r="F369" s="180"/>
      <c r="J369" s="180"/>
      <c r="K369" s="180"/>
    </row>
    <row r="370" ht="15.75" customHeight="1">
      <c r="F370" s="180"/>
      <c r="J370" s="180"/>
      <c r="K370" s="180"/>
    </row>
    <row r="371" ht="15.75" customHeight="1">
      <c r="F371" s="180"/>
      <c r="J371" s="180"/>
      <c r="K371" s="180"/>
    </row>
    <row r="372" ht="15.75" customHeight="1">
      <c r="F372" s="180"/>
      <c r="J372" s="180"/>
      <c r="K372" s="180"/>
    </row>
    <row r="373" ht="15.75" customHeight="1">
      <c r="F373" s="180"/>
      <c r="J373" s="180"/>
      <c r="K373" s="180"/>
    </row>
    <row r="374" ht="15.75" customHeight="1">
      <c r="F374" s="180"/>
      <c r="J374" s="180"/>
      <c r="K374" s="180"/>
    </row>
    <row r="375" ht="15.75" customHeight="1">
      <c r="F375" s="180"/>
      <c r="J375" s="180"/>
      <c r="K375" s="180"/>
    </row>
    <row r="376" ht="15.75" customHeight="1">
      <c r="F376" s="180"/>
      <c r="J376" s="180"/>
      <c r="K376" s="180"/>
    </row>
    <row r="377" ht="15.75" customHeight="1">
      <c r="F377" s="180"/>
      <c r="J377" s="180"/>
      <c r="K377" s="180"/>
    </row>
    <row r="378" ht="15.75" customHeight="1">
      <c r="F378" s="180"/>
      <c r="J378" s="180"/>
      <c r="K378" s="180"/>
    </row>
    <row r="379" ht="15.75" customHeight="1">
      <c r="F379" s="180"/>
      <c r="J379" s="180"/>
      <c r="K379" s="180"/>
    </row>
    <row r="380" ht="15.75" customHeight="1">
      <c r="F380" s="180"/>
      <c r="J380" s="180"/>
      <c r="K380" s="180"/>
    </row>
    <row r="381" ht="15.75" customHeight="1">
      <c r="F381" s="180"/>
      <c r="J381" s="180"/>
      <c r="K381" s="180"/>
    </row>
    <row r="382" ht="15.75" customHeight="1">
      <c r="F382" s="180"/>
      <c r="J382" s="180"/>
      <c r="K382" s="180"/>
    </row>
    <row r="383" ht="15.75" customHeight="1">
      <c r="F383" s="180"/>
      <c r="J383" s="180"/>
      <c r="K383" s="180"/>
    </row>
    <row r="384" ht="15.75" customHeight="1">
      <c r="F384" s="180"/>
      <c r="J384" s="180"/>
      <c r="K384" s="180"/>
    </row>
    <row r="385" ht="15.75" customHeight="1">
      <c r="F385" s="180"/>
      <c r="J385" s="180"/>
      <c r="K385" s="180"/>
    </row>
    <row r="386" ht="15.75" customHeight="1">
      <c r="F386" s="180"/>
      <c r="J386" s="180"/>
      <c r="K386" s="180"/>
    </row>
    <row r="387" ht="15.75" customHeight="1">
      <c r="F387" s="180"/>
      <c r="J387" s="180"/>
      <c r="K387" s="180"/>
    </row>
    <row r="388" ht="15.75" customHeight="1">
      <c r="F388" s="180"/>
      <c r="J388" s="180"/>
      <c r="K388" s="180"/>
    </row>
    <row r="389" ht="15.75" customHeight="1">
      <c r="F389" s="180"/>
      <c r="J389" s="180"/>
      <c r="K389" s="180"/>
    </row>
    <row r="390" ht="15.75" customHeight="1">
      <c r="F390" s="180"/>
      <c r="J390" s="180"/>
      <c r="K390" s="180"/>
    </row>
    <row r="391" ht="15.75" customHeight="1">
      <c r="F391" s="180"/>
      <c r="J391" s="180"/>
      <c r="K391" s="180"/>
    </row>
    <row r="392" ht="15.75" customHeight="1">
      <c r="F392" s="180"/>
      <c r="J392" s="180"/>
      <c r="K392" s="180"/>
    </row>
    <row r="393" ht="15.75" customHeight="1">
      <c r="F393" s="180"/>
      <c r="J393" s="180"/>
      <c r="K393" s="180"/>
    </row>
    <row r="394" ht="15.75" customHeight="1">
      <c r="F394" s="180"/>
      <c r="J394" s="180"/>
      <c r="K394" s="180"/>
    </row>
    <row r="395" ht="15.75" customHeight="1">
      <c r="F395" s="180"/>
      <c r="J395" s="180"/>
      <c r="K395" s="180"/>
    </row>
    <row r="396" ht="15.75" customHeight="1">
      <c r="F396" s="180"/>
      <c r="J396" s="180"/>
      <c r="K396" s="180"/>
    </row>
    <row r="397" ht="15.75" customHeight="1">
      <c r="F397" s="180"/>
      <c r="J397" s="180"/>
      <c r="K397" s="180"/>
    </row>
    <row r="398" ht="15.75" customHeight="1">
      <c r="F398" s="180"/>
      <c r="J398" s="180"/>
      <c r="K398" s="180"/>
    </row>
    <row r="399" ht="15.75" customHeight="1">
      <c r="F399" s="180"/>
      <c r="J399" s="180"/>
      <c r="K399" s="180"/>
    </row>
    <row r="400" ht="15.75" customHeight="1">
      <c r="F400" s="180"/>
      <c r="J400" s="180"/>
      <c r="K400" s="180"/>
    </row>
    <row r="401" ht="15.75" customHeight="1">
      <c r="F401" s="180"/>
      <c r="J401" s="180"/>
      <c r="K401" s="180"/>
    </row>
    <row r="402" ht="15.75" customHeight="1">
      <c r="F402" s="180"/>
      <c r="J402" s="180"/>
      <c r="K402" s="180"/>
    </row>
    <row r="403" ht="15.75" customHeight="1">
      <c r="F403" s="180"/>
      <c r="J403" s="180"/>
      <c r="K403" s="180"/>
    </row>
    <row r="404" ht="15.75" customHeight="1">
      <c r="F404" s="180"/>
      <c r="J404" s="180"/>
      <c r="K404" s="180"/>
    </row>
    <row r="405" ht="15.75" customHeight="1">
      <c r="F405" s="180"/>
      <c r="J405" s="180"/>
      <c r="K405" s="180"/>
    </row>
    <row r="406" ht="15.75" customHeight="1">
      <c r="F406" s="180"/>
      <c r="J406" s="180"/>
      <c r="K406" s="180"/>
    </row>
    <row r="407" ht="15.75" customHeight="1">
      <c r="F407" s="180"/>
      <c r="J407" s="180"/>
      <c r="K407" s="180"/>
    </row>
    <row r="408" ht="15.75" customHeight="1">
      <c r="F408" s="180"/>
      <c r="J408" s="180"/>
      <c r="K408" s="180"/>
    </row>
    <row r="409" ht="15.75" customHeight="1">
      <c r="F409" s="180"/>
      <c r="J409" s="180"/>
      <c r="K409" s="180"/>
    </row>
    <row r="410" ht="15.75" customHeight="1">
      <c r="F410" s="180"/>
      <c r="J410" s="180"/>
      <c r="K410" s="180"/>
    </row>
    <row r="411" ht="15.75" customHeight="1">
      <c r="F411" s="180"/>
      <c r="J411" s="180"/>
      <c r="K411" s="180"/>
    </row>
    <row r="412" ht="15.75" customHeight="1">
      <c r="F412" s="180"/>
      <c r="J412" s="180"/>
      <c r="K412" s="180"/>
    </row>
    <row r="413" ht="15.75" customHeight="1">
      <c r="F413" s="180"/>
      <c r="J413" s="180"/>
      <c r="K413" s="180"/>
    </row>
    <row r="414" ht="15.75" customHeight="1">
      <c r="F414" s="180"/>
      <c r="J414" s="180"/>
      <c r="K414" s="180"/>
    </row>
    <row r="415" ht="15.75" customHeight="1">
      <c r="F415" s="180"/>
      <c r="J415" s="180"/>
      <c r="K415" s="180"/>
    </row>
    <row r="416" ht="15.75" customHeight="1">
      <c r="F416" s="180"/>
      <c r="J416" s="180"/>
      <c r="K416" s="180"/>
    </row>
    <row r="417" ht="15.75" customHeight="1">
      <c r="F417" s="180"/>
      <c r="J417" s="180"/>
      <c r="K417" s="180"/>
    </row>
    <row r="418" ht="15.75" customHeight="1">
      <c r="F418" s="180"/>
      <c r="J418" s="180"/>
      <c r="K418" s="180"/>
    </row>
    <row r="419" ht="15.75" customHeight="1">
      <c r="F419" s="180"/>
      <c r="J419" s="180"/>
      <c r="K419" s="180"/>
    </row>
    <row r="420" ht="15.75" customHeight="1">
      <c r="F420" s="180"/>
      <c r="J420" s="180"/>
      <c r="K420" s="180"/>
    </row>
    <row r="421" ht="15.75" customHeight="1">
      <c r="F421" s="180"/>
      <c r="J421" s="180"/>
      <c r="K421" s="180"/>
    </row>
    <row r="422" ht="15.75" customHeight="1">
      <c r="F422" s="180"/>
      <c r="J422" s="180"/>
      <c r="K422" s="180"/>
    </row>
    <row r="423" ht="15.75" customHeight="1">
      <c r="F423" s="180"/>
      <c r="J423" s="180"/>
      <c r="K423" s="180"/>
    </row>
    <row r="424" ht="15.75" customHeight="1">
      <c r="F424" s="180"/>
      <c r="J424" s="180"/>
      <c r="K424" s="180"/>
    </row>
    <row r="425" ht="15.75" customHeight="1">
      <c r="F425" s="180"/>
      <c r="J425" s="180"/>
      <c r="K425" s="180"/>
    </row>
    <row r="426" ht="15.75" customHeight="1">
      <c r="F426" s="180"/>
      <c r="J426" s="180"/>
      <c r="K426" s="180"/>
    </row>
    <row r="427" ht="15.75" customHeight="1">
      <c r="F427" s="180"/>
      <c r="J427" s="180"/>
      <c r="K427" s="180"/>
    </row>
    <row r="428" ht="15.75" customHeight="1">
      <c r="F428" s="180"/>
      <c r="J428" s="180"/>
      <c r="K428" s="180"/>
    </row>
    <row r="429" ht="15.75" customHeight="1">
      <c r="F429" s="180"/>
      <c r="J429" s="180"/>
      <c r="K429" s="180"/>
    </row>
    <row r="430" ht="15.75" customHeight="1">
      <c r="F430" s="180"/>
      <c r="J430" s="180"/>
      <c r="K430" s="180"/>
    </row>
    <row r="431" ht="15.75" customHeight="1">
      <c r="F431" s="180"/>
      <c r="J431" s="180"/>
      <c r="K431" s="180"/>
    </row>
    <row r="432" ht="15.75" customHeight="1">
      <c r="F432" s="180"/>
      <c r="J432" s="180"/>
      <c r="K432" s="180"/>
    </row>
    <row r="433" ht="15.75" customHeight="1">
      <c r="F433" s="180"/>
      <c r="J433" s="180"/>
      <c r="K433" s="180"/>
    </row>
    <row r="434" ht="15.75" customHeight="1">
      <c r="F434" s="180"/>
      <c r="J434" s="180"/>
      <c r="K434" s="180"/>
    </row>
    <row r="435" ht="15.75" customHeight="1">
      <c r="F435" s="180"/>
      <c r="J435" s="180"/>
      <c r="K435" s="180"/>
    </row>
    <row r="436" ht="15.75" customHeight="1">
      <c r="F436" s="180"/>
      <c r="J436" s="180"/>
      <c r="K436" s="180"/>
    </row>
    <row r="437" ht="15.75" customHeight="1">
      <c r="F437" s="180"/>
      <c r="J437" s="180"/>
      <c r="K437" s="180"/>
    </row>
    <row r="438" ht="15.75" customHeight="1">
      <c r="F438" s="180"/>
      <c r="J438" s="180"/>
      <c r="K438" s="180"/>
    </row>
    <row r="439" ht="15.75" customHeight="1">
      <c r="F439" s="180"/>
      <c r="J439" s="180"/>
      <c r="K439" s="180"/>
    </row>
    <row r="440" ht="15.75" customHeight="1">
      <c r="F440" s="180"/>
      <c r="J440" s="180"/>
      <c r="K440" s="180"/>
    </row>
    <row r="441" ht="15.75" customHeight="1">
      <c r="F441" s="180"/>
      <c r="J441" s="180"/>
      <c r="K441" s="180"/>
    </row>
    <row r="442" ht="15.75" customHeight="1">
      <c r="F442" s="180"/>
      <c r="J442" s="180"/>
      <c r="K442" s="180"/>
    </row>
    <row r="443" ht="15.75" customHeight="1">
      <c r="F443" s="180"/>
      <c r="J443" s="180"/>
      <c r="K443" s="180"/>
    </row>
    <row r="444" ht="15.75" customHeight="1">
      <c r="F444" s="180"/>
      <c r="J444" s="180"/>
      <c r="K444" s="180"/>
    </row>
    <row r="445" ht="15.75" customHeight="1">
      <c r="F445" s="180"/>
      <c r="J445" s="180"/>
      <c r="K445" s="180"/>
    </row>
    <row r="446" ht="15.75" customHeight="1">
      <c r="F446" s="180"/>
      <c r="J446" s="180"/>
      <c r="K446" s="180"/>
    </row>
    <row r="447" ht="15.75" customHeight="1">
      <c r="F447" s="180"/>
      <c r="J447" s="180"/>
      <c r="K447" s="180"/>
    </row>
    <row r="448" ht="15.75" customHeight="1">
      <c r="F448" s="180"/>
      <c r="J448" s="180"/>
      <c r="K448" s="180"/>
    </row>
    <row r="449" ht="15.75" customHeight="1">
      <c r="F449" s="180"/>
      <c r="J449" s="180"/>
      <c r="K449" s="180"/>
    </row>
    <row r="450" ht="15.75" customHeight="1">
      <c r="F450" s="180"/>
      <c r="J450" s="180"/>
      <c r="K450" s="180"/>
    </row>
    <row r="451" ht="15.75" customHeight="1">
      <c r="F451" s="180"/>
      <c r="J451" s="180"/>
      <c r="K451" s="180"/>
    </row>
    <row r="452" ht="15.75" customHeight="1">
      <c r="F452" s="180"/>
      <c r="J452" s="180"/>
      <c r="K452" s="180"/>
    </row>
    <row r="453" ht="15.75" customHeight="1">
      <c r="F453" s="180"/>
      <c r="J453" s="180"/>
      <c r="K453" s="180"/>
    </row>
    <row r="454" ht="15.75" customHeight="1">
      <c r="F454" s="180"/>
      <c r="J454" s="180"/>
      <c r="K454" s="180"/>
    </row>
    <row r="455" ht="15.75" customHeight="1">
      <c r="F455" s="180"/>
      <c r="J455" s="180"/>
      <c r="K455" s="180"/>
    </row>
    <row r="456" ht="15.75" customHeight="1">
      <c r="F456" s="180"/>
      <c r="J456" s="180"/>
      <c r="K456" s="180"/>
    </row>
    <row r="457" ht="15.75" customHeight="1">
      <c r="F457" s="180"/>
      <c r="J457" s="180"/>
      <c r="K457" s="180"/>
    </row>
    <row r="458" ht="15.75" customHeight="1">
      <c r="F458" s="180"/>
      <c r="J458" s="180"/>
      <c r="K458" s="180"/>
    </row>
    <row r="459" ht="15.75" customHeight="1">
      <c r="F459" s="180"/>
      <c r="J459" s="180"/>
      <c r="K459" s="180"/>
    </row>
    <row r="460" ht="15.75" customHeight="1">
      <c r="F460" s="180"/>
      <c r="J460" s="180"/>
      <c r="K460" s="180"/>
    </row>
    <row r="461" ht="15.75" customHeight="1">
      <c r="F461" s="180"/>
      <c r="J461" s="180"/>
      <c r="K461" s="180"/>
    </row>
    <row r="462" ht="15.75" customHeight="1">
      <c r="F462" s="180"/>
      <c r="J462" s="180"/>
      <c r="K462" s="180"/>
    </row>
    <row r="463" ht="15.75" customHeight="1">
      <c r="F463" s="180"/>
      <c r="J463" s="180"/>
      <c r="K463" s="180"/>
    </row>
    <row r="464" ht="15.75" customHeight="1">
      <c r="F464" s="180"/>
      <c r="J464" s="180"/>
      <c r="K464" s="180"/>
    </row>
    <row r="465" ht="15.75" customHeight="1">
      <c r="F465" s="180"/>
      <c r="J465" s="180"/>
      <c r="K465" s="180"/>
    </row>
    <row r="466" ht="15.75" customHeight="1">
      <c r="F466" s="180"/>
      <c r="J466" s="180"/>
      <c r="K466" s="180"/>
    </row>
    <row r="467" ht="15.75" customHeight="1">
      <c r="F467" s="180"/>
      <c r="J467" s="180"/>
      <c r="K467" s="180"/>
    </row>
    <row r="468" ht="15.75" customHeight="1">
      <c r="F468" s="180"/>
      <c r="J468" s="180"/>
      <c r="K468" s="180"/>
    </row>
    <row r="469" ht="15.75" customHeight="1">
      <c r="F469" s="180"/>
      <c r="J469" s="180"/>
      <c r="K469" s="180"/>
    </row>
    <row r="470" ht="15.75" customHeight="1">
      <c r="F470" s="180"/>
      <c r="J470" s="180"/>
      <c r="K470" s="180"/>
    </row>
    <row r="471" ht="15.75" customHeight="1">
      <c r="F471" s="180"/>
      <c r="J471" s="180"/>
      <c r="K471" s="180"/>
    </row>
    <row r="472" ht="15.75" customHeight="1">
      <c r="F472" s="180"/>
      <c r="J472" s="180"/>
      <c r="K472" s="180"/>
    </row>
    <row r="473" ht="15.75" customHeight="1">
      <c r="F473" s="180"/>
      <c r="J473" s="180"/>
      <c r="K473" s="180"/>
    </row>
    <row r="474" ht="15.75" customHeight="1">
      <c r="F474" s="180"/>
      <c r="J474" s="180"/>
      <c r="K474" s="180"/>
    </row>
    <row r="475" ht="15.75" customHeight="1">
      <c r="F475" s="180"/>
      <c r="J475" s="180"/>
      <c r="K475" s="180"/>
    </row>
    <row r="476" ht="15.75" customHeight="1">
      <c r="F476" s="180"/>
      <c r="J476" s="180"/>
      <c r="K476" s="180"/>
    </row>
    <row r="477" ht="15.75" customHeight="1">
      <c r="F477" s="180"/>
      <c r="J477" s="180"/>
      <c r="K477" s="180"/>
    </row>
    <row r="478" ht="15.75" customHeight="1">
      <c r="F478" s="180"/>
      <c r="J478" s="180"/>
      <c r="K478" s="180"/>
    </row>
    <row r="479" ht="15.75" customHeight="1">
      <c r="F479" s="180"/>
      <c r="J479" s="180"/>
      <c r="K479" s="180"/>
    </row>
    <row r="480" ht="15.75" customHeight="1">
      <c r="F480" s="180"/>
      <c r="J480" s="180"/>
      <c r="K480" s="180"/>
    </row>
    <row r="481" ht="15.75" customHeight="1">
      <c r="F481" s="180"/>
      <c r="J481" s="180"/>
      <c r="K481" s="180"/>
    </row>
    <row r="482" ht="15.75" customHeight="1">
      <c r="F482" s="180"/>
      <c r="J482" s="180"/>
      <c r="K482" s="180"/>
    </row>
    <row r="483" ht="15.75" customHeight="1">
      <c r="F483" s="180"/>
      <c r="J483" s="180"/>
      <c r="K483" s="180"/>
    </row>
    <row r="484" ht="15.75" customHeight="1">
      <c r="F484" s="180"/>
      <c r="J484" s="180"/>
      <c r="K484" s="180"/>
    </row>
    <row r="485" ht="15.75" customHeight="1">
      <c r="F485" s="180"/>
      <c r="J485" s="180"/>
      <c r="K485" s="180"/>
    </row>
    <row r="486" ht="15.75" customHeight="1">
      <c r="F486" s="180"/>
      <c r="J486" s="180"/>
      <c r="K486" s="180"/>
    </row>
    <row r="487" ht="15.75" customHeight="1">
      <c r="F487" s="180"/>
      <c r="J487" s="180"/>
      <c r="K487" s="180"/>
    </row>
    <row r="488" ht="15.75" customHeight="1">
      <c r="F488" s="180"/>
      <c r="J488" s="180"/>
      <c r="K488" s="180"/>
    </row>
    <row r="489" ht="15.75" customHeight="1">
      <c r="F489" s="180"/>
      <c r="J489" s="180"/>
      <c r="K489" s="180"/>
    </row>
    <row r="490" ht="15.75" customHeight="1">
      <c r="F490" s="180"/>
      <c r="J490" s="180"/>
      <c r="K490" s="180"/>
    </row>
    <row r="491" ht="15.75" customHeight="1">
      <c r="F491" s="180"/>
      <c r="J491" s="180"/>
      <c r="K491" s="180"/>
    </row>
    <row r="492" ht="15.75" customHeight="1">
      <c r="F492" s="180"/>
      <c r="J492" s="180"/>
      <c r="K492" s="180"/>
    </row>
    <row r="493" ht="15.75" customHeight="1">
      <c r="F493" s="180"/>
      <c r="J493" s="180"/>
      <c r="K493" s="180"/>
    </row>
    <row r="494" ht="15.75" customHeight="1">
      <c r="F494" s="180"/>
      <c r="J494" s="180"/>
      <c r="K494" s="180"/>
    </row>
    <row r="495" ht="15.75" customHeight="1">
      <c r="F495" s="180"/>
      <c r="J495" s="180"/>
      <c r="K495" s="180"/>
    </row>
    <row r="496" ht="15.75" customHeight="1">
      <c r="F496" s="180"/>
      <c r="J496" s="180"/>
      <c r="K496" s="180"/>
    </row>
    <row r="497" ht="15.75" customHeight="1">
      <c r="F497" s="180"/>
      <c r="J497" s="180"/>
      <c r="K497" s="180"/>
    </row>
    <row r="498" ht="15.75" customHeight="1">
      <c r="F498" s="180"/>
      <c r="J498" s="180"/>
      <c r="K498" s="180"/>
    </row>
    <row r="499" ht="15.75" customHeight="1">
      <c r="F499" s="180"/>
      <c r="J499" s="180"/>
      <c r="K499" s="180"/>
    </row>
    <row r="500" ht="15.75" customHeight="1">
      <c r="F500" s="180"/>
      <c r="J500" s="180"/>
      <c r="K500" s="180"/>
    </row>
    <row r="501" ht="15.75" customHeight="1">
      <c r="F501" s="180"/>
      <c r="J501" s="180"/>
      <c r="K501" s="180"/>
    </row>
    <row r="502" ht="15.75" customHeight="1">
      <c r="F502" s="180"/>
      <c r="J502" s="180"/>
      <c r="K502" s="180"/>
    </row>
    <row r="503" ht="15.75" customHeight="1">
      <c r="F503" s="180"/>
      <c r="J503" s="180"/>
      <c r="K503" s="180"/>
    </row>
    <row r="504" ht="15.75" customHeight="1">
      <c r="F504" s="180"/>
      <c r="J504" s="180"/>
      <c r="K504" s="180"/>
    </row>
    <row r="505" ht="15.75" customHeight="1">
      <c r="F505" s="180"/>
      <c r="J505" s="180"/>
      <c r="K505" s="180"/>
    </row>
    <row r="506" ht="15.75" customHeight="1">
      <c r="F506" s="180"/>
      <c r="J506" s="180"/>
      <c r="K506" s="180"/>
    </row>
    <row r="507" ht="15.75" customHeight="1">
      <c r="F507" s="180"/>
      <c r="J507" s="180"/>
      <c r="K507" s="180"/>
    </row>
    <row r="508" ht="15.75" customHeight="1">
      <c r="F508" s="180"/>
      <c r="J508" s="180"/>
      <c r="K508" s="180"/>
    </row>
    <row r="509" ht="15.75" customHeight="1">
      <c r="F509" s="180"/>
      <c r="J509" s="180"/>
      <c r="K509" s="180"/>
    </row>
    <row r="510" ht="15.75" customHeight="1">
      <c r="F510" s="180"/>
      <c r="J510" s="180"/>
      <c r="K510" s="180"/>
    </row>
    <row r="511" ht="15.75" customHeight="1">
      <c r="F511" s="180"/>
      <c r="J511" s="180"/>
      <c r="K511" s="180"/>
    </row>
    <row r="512" ht="15.75" customHeight="1">
      <c r="F512" s="180"/>
      <c r="J512" s="180"/>
      <c r="K512" s="180"/>
    </row>
    <row r="513" ht="15.75" customHeight="1">
      <c r="F513" s="180"/>
      <c r="J513" s="180"/>
      <c r="K513" s="180"/>
    </row>
    <row r="514" ht="15.75" customHeight="1">
      <c r="F514" s="180"/>
      <c r="J514" s="180"/>
      <c r="K514" s="180"/>
    </row>
    <row r="515" ht="15.75" customHeight="1">
      <c r="F515" s="180"/>
      <c r="J515" s="180"/>
      <c r="K515" s="180"/>
    </row>
    <row r="516" ht="15.75" customHeight="1">
      <c r="F516" s="180"/>
      <c r="J516" s="180"/>
      <c r="K516" s="180"/>
    </row>
    <row r="517" ht="15.75" customHeight="1">
      <c r="F517" s="180"/>
      <c r="J517" s="180"/>
      <c r="K517" s="180"/>
    </row>
    <row r="518" ht="15.75" customHeight="1">
      <c r="F518" s="180"/>
      <c r="J518" s="180"/>
      <c r="K518" s="180"/>
    </row>
    <row r="519" ht="15.75" customHeight="1">
      <c r="F519" s="180"/>
      <c r="J519" s="180"/>
      <c r="K519" s="180"/>
    </row>
    <row r="520" ht="15.75" customHeight="1">
      <c r="F520" s="180"/>
      <c r="J520" s="180"/>
      <c r="K520" s="180"/>
    </row>
    <row r="521" ht="15.75" customHeight="1">
      <c r="F521" s="180"/>
      <c r="J521" s="180"/>
      <c r="K521" s="180"/>
    </row>
    <row r="522" ht="15.75" customHeight="1">
      <c r="F522" s="180"/>
      <c r="J522" s="180"/>
      <c r="K522" s="180"/>
    </row>
    <row r="523" ht="15.75" customHeight="1">
      <c r="F523" s="180"/>
      <c r="J523" s="180"/>
      <c r="K523" s="180"/>
    </row>
    <row r="524" ht="15.75" customHeight="1">
      <c r="F524" s="180"/>
      <c r="J524" s="180"/>
      <c r="K524" s="180"/>
    </row>
    <row r="525" ht="15.75" customHeight="1">
      <c r="F525" s="180"/>
      <c r="J525" s="180"/>
      <c r="K525" s="180"/>
    </row>
    <row r="526" ht="15.75" customHeight="1">
      <c r="F526" s="180"/>
      <c r="J526" s="180"/>
      <c r="K526" s="180"/>
    </row>
    <row r="527" ht="15.75" customHeight="1">
      <c r="F527" s="180"/>
      <c r="J527" s="180"/>
      <c r="K527" s="180"/>
    </row>
    <row r="528" ht="15.75" customHeight="1">
      <c r="F528" s="180"/>
      <c r="J528" s="180"/>
      <c r="K528" s="180"/>
    </row>
    <row r="529" ht="15.75" customHeight="1">
      <c r="F529" s="180"/>
      <c r="J529" s="180"/>
      <c r="K529" s="180"/>
    </row>
    <row r="530" ht="15.75" customHeight="1">
      <c r="F530" s="180"/>
      <c r="J530" s="180"/>
      <c r="K530" s="180"/>
    </row>
    <row r="531" ht="15.75" customHeight="1">
      <c r="F531" s="180"/>
      <c r="J531" s="180"/>
      <c r="K531" s="180"/>
    </row>
    <row r="532" ht="15.75" customHeight="1">
      <c r="F532" s="180"/>
      <c r="J532" s="180"/>
      <c r="K532" s="180"/>
    </row>
    <row r="533" ht="15.75" customHeight="1">
      <c r="F533" s="180"/>
      <c r="J533" s="180"/>
      <c r="K533" s="180"/>
    </row>
    <row r="534" ht="15.75" customHeight="1">
      <c r="F534" s="180"/>
      <c r="J534" s="180"/>
      <c r="K534" s="180"/>
    </row>
    <row r="535" ht="15.75" customHeight="1">
      <c r="F535" s="180"/>
      <c r="J535" s="180"/>
      <c r="K535" s="180"/>
    </row>
    <row r="536" ht="15.75" customHeight="1">
      <c r="F536" s="180"/>
      <c r="J536" s="180"/>
      <c r="K536" s="180"/>
    </row>
    <row r="537" ht="15.75" customHeight="1">
      <c r="F537" s="180"/>
      <c r="J537" s="180"/>
      <c r="K537" s="180"/>
    </row>
    <row r="538" ht="15.75" customHeight="1">
      <c r="F538" s="180"/>
      <c r="J538" s="180"/>
      <c r="K538" s="180"/>
    </row>
    <row r="539" ht="15.75" customHeight="1">
      <c r="F539" s="180"/>
      <c r="J539" s="180"/>
      <c r="K539" s="180"/>
    </row>
    <row r="540" ht="15.75" customHeight="1">
      <c r="F540" s="180"/>
      <c r="J540" s="180"/>
      <c r="K540" s="180"/>
    </row>
    <row r="541" ht="15.75" customHeight="1">
      <c r="F541" s="180"/>
      <c r="J541" s="180"/>
      <c r="K541" s="180"/>
    </row>
    <row r="542" ht="15.75" customHeight="1">
      <c r="F542" s="180"/>
      <c r="J542" s="180"/>
      <c r="K542" s="180"/>
    </row>
    <row r="543" ht="15.75" customHeight="1">
      <c r="F543" s="180"/>
      <c r="J543" s="180"/>
      <c r="K543" s="180"/>
    </row>
    <row r="544" ht="15.75" customHeight="1">
      <c r="F544" s="180"/>
      <c r="J544" s="180"/>
      <c r="K544" s="180"/>
    </row>
    <row r="545" ht="15.75" customHeight="1">
      <c r="F545" s="180"/>
      <c r="J545" s="180"/>
      <c r="K545" s="180"/>
    </row>
    <row r="546" ht="15.75" customHeight="1">
      <c r="F546" s="180"/>
      <c r="J546" s="180"/>
      <c r="K546" s="180"/>
    </row>
    <row r="547" ht="15.75" customHeight="1">
      <c r="F547" s="180"/>
      <c r="J547" s="180"/>
      <c r="K547" s="180"/>
    </row>
    <row r="548" ht="15.75" customHeight="1">
      <c r="F548" s="180"/>
      <c r="J548" s="180"/>
      <c r="K548" s="180"/>
    </row>
    <row r="549" ht="15.75" customHeight="1">
      <c r="F549" s="180"/>
      <c r="J549" s="180"/>
      <c r="K549" s="180"/>
    </row>
    <row r="550" ht="15.75" customHeight="1">
      <c r="F550" s="180"/>
      <c r="J550" s="180"/>
      <c r="K550" s="180"/>
    </row>
    <row r="551" ht="15.75" customHeight="1">
      <c r="F551" s="180"/>
      <c r="J551" s="180"/>
      <c r="K551" s="180"/>
    </row>
    <row r="552" ht="15.75" customHeight="1">
      <c r="F552" s="180"/>
      <c r="J552" s="180"/>
      <c r="K552" s="180"/>
    </row>
    <row r="553" ht="15.75" customHeight="1">
      <c r="F553" s="180"/>
      <c r="J553" s="180"/>
      <c r="K553" s="180"/>
    </row>
    <row r="554" ht="15.75" customHeight="1">
      <c r="F554" s="180"/>
      <c r="J554" s="180"/>
      <c r="K554" s="180"/>
    </row>
    <row r="555" ht="15.75" customHeight="1">
      <c r="F555" s="180"/>
      <c r="J555" s="180"/>
      <c r="K555" s="180"/>
    </row>
    <row r="556" ht="15.75" customHeight="1">
      <c r="F556" s="180"/>
      <c r="J556" s="180"/>
      <c r="K556" s="180"/>
    </row>
    <row r="557" ht="15.75" customHeight="1">
      <c r="F557" s="180"/>
      <c r="J557" s="180"/>
      <c r="K557" s="180"/>
    </row>
    <row r="558" ht="15.75" customHeight="1">
      <c r="F558" s="180"/>
      <c r="J558" s="180"/>
      <c r="K558" s="180"/>
    </row>
    <row r="559" ht="15.75" customHeight="1">
      <c r="F559" s="180"/>
      <c r="J559" s="180"/>
      <c r="K559" s="180"/>
    </row>
    <row r="560" ht="15.75" customHeight="1">
      <c r="F560" s="180"/>
      <c r="J560" s="180"/>
      <c r="K560" s="180"/>
    </row>
    <row r="561" ht="15.75" customHeight="1">
      <c r="F561" s="180"/>
      <c r="J561" s="180"/>
      <c r="K561" s="180"/>
    </row>
    <row r="562" ht="15.75" customHeight="1">
      <c r="F562" s="180"/>
      <c r="J562" s="180"/>
      <c r="K562" s="180"/>
    </row>
    <row r="563" ht="15.75" customHeight="1">
      <c r="F563" s="180"/>
      <c r="J563" s="180"/>
      <c r="K563" s="180"/>
    </row>
    <row r="564" ht="15.75" customHeight="1">
      <c r="F564" s="180"/>
      <c r="J564" s="180"/>
      <c r="K564" s="180"/>
    </row>
    <row r="565" ht="15.75" customHeight="1">
      <c r="F565" s="180"/>
      <c r="J565" s="180"/>
      <c r="K565" s="180"/>
    </row>
    <row r="566" ht="15.75" customHeight="1">
      <c r="F566" s="180"/>
      <c r="J566" s="180"/>
      <c r="K566" s="180"/>
    </row>
    <row r="567" ht="15.75" customHeight="1">
      <c r="F567" s="180"/>
      <c r="J567" s="180"/>
      <c r="K567" s="180"/>
    </row>
    <row r="568" ht="15.75" customHeight="1">
      <c r="F568" s="180"/>
      <c r="J568" s="180"/>
      <c r="K568" s="180"/>
    </row>
    <row r="569" ht="15.75" customHeight="1">
      <c r="F569" s="180"/>
      <c r="J569" s="180"/>
      <c r="K569" s="180"/>
    </row>
    <row r="570" ht="15.75" customHeight="1">
      <c r="F570" s="180"/>
      <c r="J570" s="180"/>
      <c r="K570" s="180"/>
    </row>
    <row r="571" ht="15.75" customHeight="1">
      <c r="F571" s="180"/>
      <c r="J571" s="180"/>
      <c r="K571" s="180"/>
    </row>
    <row r="572" ht="15.75" customHeight="1">
      <c r="F572" s="180"/>
      <c r="J572" s="180"/>
      <c r="K572" s="180"/>
    </row>
    <row r="573" ht="15.75" customHeight="1">
      <c r="F573" s="180"/>
      <c r="J573" s="180"/>
      <c r="K573" s="180"/>
    </row>
    <row r="574" ht="15.75" customHeight="1">
      <c r="F574" s="180"/>
      <c r="J574" s="180"/>
      <c r="K574" s="180"/>
    </row>
    <row r="575" ht="15.75" customHeight="1">
      <c r="F575" s="180"/>
      <c r="J575" s="180"/>
      <c r="K575" s="180"/>
    </row>
    <row r="576" ht="15.75" customHeight="1">
      <c r="F576" s="180"/>
      <c r="J576" s="180"/>
      <c r="K576" s="180"/>
    </row>
    <row r="577" ht="15.75" customHeight="1">
      <c r="F577" s="180"/>
      <c r="J577" s="180"/>
      <c r="K577" s="180"/>
    </row>
    <row r="578" ht="15.75" customHeight="1">
      <c r="F578" s="180"/>
      <c r="J578" s="180"/>
      <c r="K578" s="180"/>
    </row>
    <row r="579" ht="15.75" customHeight="1">
      <c r="F579" s="180"/>
      <c r="J579" s="180"/>
      <c r="K579" s="180"/>
    </row>
    <row r="580" ht="15.75" customHeight="1">
      <c r="F580" s="180"/>
      <c r="J580" s="180"/>
      <c r="K580" s="180"/>
    </row>
    <row r="581" ht="15.75" customHeight="1">
      <c r="F581" s="180"/>
      <c r="J581" s="180"/>
      <c r="K581" s="180"/>
    </row>
    <row r="582" ht="15.75" customHeight="1">
      <c r="F582" s="180"/>
      <c r="J582" s="180"/>
      <c r="K582" s="180"/>
    </row>
    <row r="583" ht="15.75" customHeight="1">
      <c r="F583" s="180"/>
      <c r="J583" s="180"/>
      <c r="K583" s="180"/>
    </row>
    <row r="584" ht="15.75" customHeight="1">
      <c r="F584" s="180"/>
      <c r="J584" s="180"/>
      <c r="K584" s="180"/>
    </row>
    <row r="585" ht="15.75" customHeight="1">
      <c r="F585" s="180"/>
      <c r="J585" s="180"/>
      <c r="K585" s="180"/>
    </row>
    <row r="586" ht="15.75" customHeight="1">
      <c r="F586" s="180"/>
      <c r="J586" s="180"/>
      <c r="K586" s="180"/>
    </row>
    <row r="587" ht="15.75" customHeight="1">
      <c r="F587" s="180"/>
      <c r="J587" s="180"/>
      <c r="K587" s="180"/>
    </row>
    <row r="588" ht="15.75" customHeight="1">
      <c r="F588" s="180"/>
      <c r="J588" s="180"/>
      <c r="K588" s="180"/>
    </row>
    <row r="589" ht="15.75" customHeight="1">
      <c r="F589" s="180"/>
      <c r="J589" s="180"/>
      <c r="K589" s="180"/>
    </row>
    <row r="590" ht="15.75" customHeight="1">
      <c r="F590" s="180"/>
      <c r="J590" s="180"/>
      <c r="K590" s="180"/>
    </row>
    <row r="591" ht="15.75" customHeight="1">
      <c r="F591" s="180"/>
      <c r="J591" s="180"/>
      <c r="K591" s="180"/>
    </row>
    <row r="592" ht="15.75" customHeight="1">
      <c r="F592" s="180"/>
      <c r="J592" s="180"/>
      <c r="K592" s="180"/>
    </row>
    <row r="593" ht="15.75" customHeight="1">
      <c r="F593" s="180"/>
      <c r="J593" s="180"/>
      <c r="K593" s="180"/>
    </row>
    <row r="594" ht="15.75" customHeight="1">
      <c r="F594" s="180"/>
      <c r="J594" s="180"/>
      <c r="K594" s="180"/>
    </row>
    <row r="595" ht="15.75" customHeight="1">
      <c r="F595" s="180"/>
      <c r="J595" s="180"/>
      <c r="K595" s="180"/>
    </row>
    <row r="596" ht="15.75" customHeight="1">
      <c r="F596" s="180"/>
      <c r="J596" s="180"/>
      <c r="K596" s="180"/>
    </row>
    <row r="597" ht="15.75" customHeight="1">
      <c r="F597" s="180"/>
      <c r="J597" s="180"/>
      <c r="K597" s="180"/>
    </row>
    <row r="598" ht="15.75" customHeight="1">
      <c r="F598" s="180"/>
      <c r="J598" s="180"/>
      <c r="K598" s="180"/>
    </row>
    <row r="599" ht="15.75" customHeight="1">
      <c r="F599" s="180"/>
      <c r="J599" s="180"/>
      <c r="K599" s="180"/>
    </row>
    <row r="600" ht="15.75" customHeight="1">
      <c r="F600" s="180"/>
      <c r="J600" s="180"/>
      <c r="K600" s="180"/>
    </row>
    <row r="601" ht="15.75" customHeight="1">
      <c r="F601" s="180"/>
      <c r="J601" s="180"/>
      <c r="K601" s="180"/>
    </row>
    <row r="602" ht="15.75" customHeight="1">
      <c r="F602" s="180"/>
      <c r="J602" s="180"/>
      <c r="K602" s="180"/>
    </row>
    <row r="603" ht="15.75" customHeight="1">
      <c r="F603" s="180"/>
      <c r="J603" s="180"/>
      <c r="K603" s="180"/>
    </row>
    <row r="604" ht="15.75" customHeight="1">
      <c r="F604" s="180"/>
      <c r="J604" s="180"/>
      <c r="K604" s="180"/>
    </row>
    <row r="605" ht="15.75" customHeight="1">
      <c r="F605" s="180"/>
      <c r="J605" s="180"/>
      <c r="K605" s="180"/>
    </row>
    <row r="606" ht="15.75" customHeight="1">
      <c r="F606" s="180"/>
      <c r="J606" s="180"/>
      <c r="K606" s="180"/>
    </row>
    <row r="607" ht="15.75" customHeight="1">
      <c r="F607" s="180"/>
      <c r="J607" s="180"/>
      <c r="K607" s="180"/>
    </row>
    <row r="608" ht="15.75" customHeight="1">
      <c r="F608" s="180"/>
      <c r="J608" s="180"/>
      <c r="K608" s="180"/>
    </row>
    <row r="609" ht="15.75" customHeight="1">
      <c r="F609" s="180"/>
      <c r="J609" s="180"/>
      <c r="K609" s="180"/>
    </row>
    <row r="610" ht="15.75" customHeight="1">
      <c r="F610" s="180"/>
      <c r="J610" s="180"/>
      <c r="K610" s="180"/>
    </row>
    <row r="611" ht="15.75" customHeight="1">
      <c r="F611" s="180"/>
      <c r="J611" s="180"/>
      <c r="K611" s="180"/>
    </row>
    <row r="612" ht="15.75" customHeight="1">
      <c r="F612" s="180"/>
      <c r="J612" s="180"/>
      <c r="K612" s="180"/>
    </row>
    <row r="613" ht="15.75" customHeight="1">
      <c r="F613" s="180"/>
      <c r="J613" s="180"/>
      <c r="K613" s="180"/>
    </row>
    <row r="614" ht="15.75" customHeight="1">
      <c r="F614" s="180"/>
      <c r="J614" s="180"/>
      <c r="K614" s="180"/>
    </row>
    <row r="615" ht="15.75" customHeight="1">
      <c r="F615" s="180"/>
      <c r="J615" s="180"/>
      <c r="K615" s="180"/>
    </row>
    <row r="616" ht="15.75" customHeight="1">
      <c r="F616" s="180"/>
      <c r="J616" s="180"/>
      <c r="K616" s="180"/>
    </row>
    <row r="617" ht="15.75" customHeight="1">
      <c r="F617" s="180"/>
      <c r="J617" s="180"/>
      <c r="K617" s="180"/>
    </row>
    <row r="618" ht="15.75" customHeight="1">
      <c r="F618" s="180"/>
      <c r="J618" s="180"/>
      <c r="K618" s="180"/>
    </row>
    <row r="619" ht="15.75" customHeight="1">
      <c r="F619" s="180"/>
      <c r="J619" s="180"/>
      <c r="K619" s="180"/>
    </row>
    <row r="620" ht="15.75" customHeight="1">
      <c r="F620" s="180"/>
      <c r="J620" s="180"/>
      <c r="K620" s="180"/>
    </row>
    <row r="621" ht="15.75" customHeight="1">
      <c r="F621" s="180"/>
      <c r="J621" s="180"/>
      <c r="K621" s="180"/>
    </row>
    <row r="622" ht="15.75" customHeight="1">
      <c r="F622" s="180"/>
      <c r="J622" s="180"/>
      <c r="K622" s="180"/>
    </row>
    <row r="623" ht="15.75" customHeight="1">
      <c r="F623" s="180"/>
      <c r="J623" s="180"/>
      <c r="K623" s="180"/>
    </row>
    <row r="624" ht="15.75" customHeight="1">
      <c r="F624" s="180"/>
      <c r="J624" s="180"/>
      <c r="K624" s="180"/>
    </row>
    <row r="625" ht="15.75" customHeight="1">
      <c r="F625" s="180"/>
      <c r="J625" s="180"/>
      <c r="K625" s="180"/>
    </row>
    <row r="626" ht="15.75" customHeight="1">
      <c r="F626" s="180"/>
      <c r="J626" s="180"/>
      <c r="K626" s="180"/>
    </row>
    <row r="627" ht="15.75" customHeight="1">
      <c r="F627" s="180"/>
      <c r="J627" s="180"/>
      <c r="K627" s="180"/>
    </row>
    <row r="628" ht="15.75" customHeight="1">
      <c r="F628" s="180"/>
      <c r="J628" s="180"/>
      <c r="K628" s="180"/>
    </row>
    <row r="629" ht="15.75" customHeight="1">
      <c r="F629" s="180"/>
      <c r="J629" s="180"/>
      <c r="K629" s="180"/>
    </row>
    <row r="630" ht="15.75" customHeight="1">
      <c r="F630" s="180"/>
      <c r="J630" s="180"/>
      <c r="K630" s="180"/>
    </row>
    <row r="631" ht="15.75" customHeight="1">
      <c r="F631" s="180"/>
      <c r="J631" s="180"/>
      <c r="K631" s="180"/>
    </row>
    <row r="632" ht="15.75" customHeight="1">
      <c r="F632" s="180"/>
      <c r="J632" s="180"/>
      <c r="K632" s="180"/>
    </row>
    <row r="633" ht="15.75" customHeight="1">
      <c r="F633" s="180"/>
      <c r="J633" s="180"/>
      <c r="K633" s="180"/>
    </row>
    <row r="634" ht="15.75" customHeight="1">
      <c r="F634" s="180"/>
      <c r="J634" s="180"/>
      <c r="K634" s="180"/>
    </row>
    <row r="635" ht="15.75" customHeight="1">
      <c r="F635" s="180"/>
      <c r="J635" s="180"/>
      <c r="K635" s="180"/>
    </row>
    <row r="636" ht="15.75" customHeight="1">
      <c r="F636" s="180"/>
      <c r="J636" s="180"/>
      <c r="K636" s="180"/>
    </row>
    <row r="637" ht="15.75" customHeight="1">
      <c r="F637" s="180"/>
      <c r="J637" s="180"/>
      <c r="K637" s="180"/>
    </row>
    <row r="638" ht="15.75" customHeight="1">
      <c r="F638" s="180"/>
      <c r="J638" s="180"/>
      <c r="K638" s="180"/>
    </row>
    <row r="639" ht="15.75" customHeight="1">
      <c r="F639" s="180"/>
      <c r="J639" s="180"/>
      <c r="K639" s="180"/>
    </row>
    <row r="640" ht="15.75" customHeight="1">
      <c r="F640" s="180"/>
      <c r="J640" s="180"/>
      <c r="K640" s="180"/>
    </row>
    <row r="641" ht="15.75" customHeight="1">
      <c r="F641" s="180"/>
      <c r="J641" s="180"/>
      <c r="K641" s="180"/>
    </row>
    <row r="642" ht="15.75" customHeight="1">
      <c r="F642" s="180"/>
      <c r="J642" s="180"/>
      <c r="K642" s="180"/>
    </row>
    <row r="643" ht="15.75" customHeight="1">
      <c r="F643" s="180"/>
      <c r="J643" s="180"/>
      <c r="K643" s="180"/>
    </row>
    <row r="644" ht="15.75" customHeight="1">
      <c r="F644" s="180"/>
      <c r="J644" s="180"/>
      <c r="K644" s="180"/>
    </row>
    <row r="645" ht="15.75" customHeight="1">
      <c r="F645" s="180"/>
      <c r="J645" s="180"/>
      <c r="K645" s="180"/>
    </row>
    <row r="646" ht="15.75" customHeight="1">
      <c r="F646" s="180"/>
      <c r="J646" s="180"/>
      <c r="K646" s="180"/>
    </row>
    <row r="647" ht="15.75" customHeight="1">
      <c r="F647" s="180"/>
      <c r="J647" s="180"/>
      <c r="K647" s="180"/>
    </row>
    <row r="648" ht="15.75" customHeight="1">
      <c r="F648" s="180"/>
      <c r="J648" s="180"/>
      <c r="K648" s="180"/>
    </row>
    <row r="649" ht="15.75" customHeight="1">
      <c r="F649" s="180"/>
      <c r="J649" s="180"/>
      <c r="K649" s="180"/>
    </row>
    <row r="650" ht="15.75" customHeight="1">
      <c r="F650" s="180"/>
      <c r="J650" s="180"/>
      <c r="K650" s="180"/>
    </row>
    <row r="651" ht="15.75" customHeight="1">
      <c r="F651" s="180"/>
      <c r="J651" s="180"/>
      <c r="K651" s="180"/>
    </row>
    <row r="652" ht="15.75" customHeight="1">
      <c r="F652" s="180"/>
      <c r="J652" s="180"/>
      <c r="K652" s="180"/>
    </row>
    <row r="653" ht="15.75" customHeight="1">
      <c r="F653" s="180"/>
      <c r="J653" s="180"/>
      <c r="K653" s="180"/>
    </row>
    <row r="654" ht="15.75" customHeight="1">
      <c r="F654" s="180"/>
      <c r="J654" s="180"/>
      <c r="K654" s="180"/>
    </row>
    <row r="655" ht="15.75" customHeight="1">
      <c r="F655" s="180"/>
      <c r="J655" s="180"/>
      <c r="K655" s="180"/>
    </row>
    <row r="656" ht="15.75" customHeight="1">
      <c r="F656" s="180"/>
      <c r="J656" s="180"/>
      <c r="K656" s="180"/>
    </row>
    <row r="657" ht="15.75" customHeight="1">
      <c r="F657" s="180"/>
      <c r="J657" s="180"/>
      <c r="K657" s="180"/>
    </row>
    <row r="658" ht="15.75" customHeight="1">
      <c r="F658" s="180"/>
      <c r="J658" s="180"/>
      <c r="K658" s="180"/>
    </row>
    <row r="659" ht="15.75" customHeight="1">
      <c r="F659" s="180"/>
      <c r="J659" s="180"/>
      <c r="K659" s="180"/>
    </row>
    <row r="660" ht="15.75" customHeight="1">
      <c r="F660" s="180"/>
      <c r="J660" s="180"/>
      <c r="K660" s="180"/>
    </row>
    <row r="661" ht="15.75" customHeight="1">
      <c r="F661" s="180"/>
      <c r="J661" s="180"/>
      <c r="K661" s="180"/>
    </row>
    <row r="662" ht="15.75" customHeight="1">
      <c r="F662" s="180"/>
      <c r="J662" s="180"/>
      <c r="K662" s="180"/>
    </row>
    <row r="663" ht="15.75" customHeight="1">
      <c r="F663" s="180"/>
      <c r="J663" s="180"/>
      <c r="K663" s="180"/>
    </row>
    <row r="664" ht="15.75" customHeight="1">
      <c r="F664" s="180"/>
      <c r="J664" s="180"/>
      <c r="K664" s="180"/>
    </row>
    <row r="665" ht="15.75" customHeight="1">
      <c r="F665" s="180"/>
      <c r="J665" s="180"/>
      <c r="K665" s="180"/>
    </row>
    <row r="666" ht="15.75" customHeight="1">
      <c r="F666" s="180"/>
      <c r="J666" s="180"/>
      <c r="K666" s="180"/>
    </row>
    <row r="667" ht="15.75" customHeight="1">
      <c r="F667" s="180"/>
      <c r="J667" s="180"/>
      <c r="K667" s="180"/>
    </row>
    <row r="668" ht="15.75" customHeight="1">
      <c r="F668" s="180"/>
      <c r="J668" s="180"/>
      <c r="K668" s="180"/>
    </row>
    <row r="669" ht="15.75" customHeight="1">
      <c r="F669" s="180"/>
      <c r="J669" s="180"/>
      <c r="K669" s="180"/>
    </row>
    <row r="670" ht="15.75" customHeight="1">
      <c r="F670" s="180"/>
      <c r="J670" s="180"/>
      <c r="K670" s="180"/>
    </row>
    <row r="671" ht="15.75" customHeight="1">
      <c r="F671" s="180"/>
      <c r="J671" s="180"/>
      <c r="K671" s="180"/>
    </row>
    <row r="672" ht="15.75" customHeight="1">
      <c r="F672" s="180"/>
      <c r="J672" s="180"/>
      <c r="K672" s="180"/>
    </row>
    <row r="673" ht="15.75" customHeight="1">
      <c r="F673" s="180"/>
      <c r="J673" s="180"/>
      <c r="K673" s="180"/>
    </row>
    <row r="674" ht="15.75" customHeight="1">
      <c r="F674" s="180"/>
      <c r="J674" s="180"/>
      <c r="K674" s="180"/>
    </row>
    <row r="675" ht="15.75" customHeight="1">
      <c r="F675" s="180"/>
      <c r="J675" s="180"/>
      <c r="K675" s="180"/>
    </row>
    <row r="676" ht="15.75" customHeight="1">
      <c r="F676" s="180"/>
      <c r="J676" s="180"/>
      <c r="K676" s="180"/>
    </row>
    <row r="677" ht="15.75" customHeight="1">
      <c r="F677" s="180"/>
      <c r="J677" s="180"/>
      <c r="K677" s="180"/>
    </row>
    <row r="678" ht="15.75" customHeight="1">
      <c r="F678" s="180"/>
      <c r="J678" s="180"/>
      <c r="K678" s="180"/>
    </row>
    <row r="679" ht="15.75" customHeight="1">
      <c r="F679" s="180"/>
      <c r="J679" s="180"/>
      <c r="K679" s="180"/>
    </row>
    <row r="680" ht="15.75" customHeight="1">
      <c r="F680" s="180"/>
      <c r="J680" s="180"/>
      <c r="K680" s="180"/>
    </row>
    <row r="681" ht="15.75" customHeight="1">
      <c r="F681" s="180"/>
      <c r="J681" s="180"/>
      <c r="K681" s="180"/>
    </row>
    <row r="682" ht="15.75" customHeight="1">
      <c r="F682" s="180"/>
      <c r="J682" s="180"/>
      <c r="K682" s="180"/>
    </row>
    <row r="683" ht="15.75" customHeight="1">
      <c r="F683" s="180"/>
      <c r="J683" s="180"/>
      <c r="K683" s="180"/>
    </row>
    <row r="684" ht="15.75" customHeight="1">
      <c r="F684" s="180"/>
      <c r="J684" s="180"/>
      <c r="K684" s="180"/>
    </row>
    <row r="685" ht="15.75" customHeight="1">
      <c r="F685" s="180"/>
      <c r="J685" s="180"/>
      <c r="K685" s="180"/>
    </row>
    <row r="686" ht="15.75" customHeight="1">
      <c r="F686" s="180"/>
      <c r="J686" s="180"/>
      <c r="K686" s="180"/>
    </row>
    <row r="687" ht="15.75" customHeight="1">
      <c r="F687" s="180"/>
      <c r="J687" s="180"/>
      <c r="K687" s="180"/>
    </row>
    <row r="688" ht="15.75" customHeight="1">
      <c r="F688" s="180"/>
      <c r="J688" s="180"/>
      <c r="K688" s="180"/>
    </row>
    <row r="689" ht="15.75" customHeight="1">
      <c r="F689" s="180"/>
      <c r="J689" s="180"/>
      <c r="K689" s="180"/>
    </row>
    <row r="690" ht="15.75" customHeight="1">
      <c r="F690" s="180"/>
      <c r="J690" s="180"/>
      <c r="K690" s="180"/>
    </row>
    <row r="691" ht="15.75" customHeight="1">
      <c r="F691" s="180"/>
      <c r="J691" s="180"/>
      <c r="K691" s="180"/>
    </row>
    <row r="692" ht="15.75" customHeight="1">
      <c r="F692" s="180"/>
      <c r="J692" s="180"/>
      <c r="K692" s="180"/>
    </row>
    <row r="693" ht="15.75" customHeight="1">
      <c r="F693" s="180"/>
      <c r="J693" s="180"/>
      <c r="K693" s="180"/>
    </row>
    <row r="694" ht="15.75" customHeight="1">
      <c r="F694" s="180"/>
      <c r="J694" s="180"/>
      <c r="K694" s="180"/>
    </row>
    <row r="695" ht="15.75" customHeight="1">
      <c r="F695" s="180"/>
      <c r="J695" s="180"/>
      <c r="K695" s="180"/>
    </row>
    <row r="696" ht="15.75" customHeight="1">
      <c r="F696" s="180"/>
      <c r="J696" s="180"/>
      <c r="K696" s="180"/>
    </row>
    <row r="697" ht="15.75" customHeight="1">
      <c r="F697" s="180"/>
      <c r="J697" s="180"/>
      <c r="K697" s="180"/>
    </row>
    <row r="698" ht="15.75" customHeight="1">
      <c r="F698" s="180"/>
      <c r="J698" s="180"/>
      <c r="K698" s="180"/>
    </row>
    <row r="699" ht="15.75" customHeight="1">
      <c r="F699" s="180"/>
      <c r="J699" s="180"/>
      <c r="K699" s="180"/>
    </row>
    <row r="700" ht="15.75" customHeight="1">
      <c r="F700" s="180"/>
      <c r="J700" s="180"/>
      <c r="K700" s="180"/>
    </row>
    <row r="701" ht="15.75" customHeight="1">
      <c r="F701" s="180"/>
      <c r="J701" s="180"/>
      <c r="K701" s="180"/>
    </row>
    <row r="702" ht="15.75" customHeight="1">
      <c r="F702" s="180"/>
      <c r="J702" s="180"/>
      <c r="K702" s="180"/>
    </row>
    <row r="703" ht="15.75" customHeight="1">
      <c r="F703" s="180"/>
      <c r="J703" s="180"/>
      <c r="K703" s="180"/>
    </row>
    <row r="704" ht="15.75" customHeight="1">
      <c r="F704" s="180"/>
      <c r="J704" s="180"/>
      <c r="K704" s="180"/>
    </row>
    <row r="705" ht="15.75" customHeight="1">
      <c r="F705" s="180"/>
      <c r="J705" s="180"/>
      <c r="K705" s="180"/>
    </row>
    <row r="706" ht="15.75" customHeight="1">
      <c r="F706" s="180"/>
      <c r="J706" s="180"/>
      <c r="K706" s="180"/>
    </row>
    <row r="707" ht="15.75" customHeight="1">
      <c r="F707" s="180"/>
      <c r="J707" s="180"/>
      <c r="K707" s="180"/>
    </row>
    <row r="708" ht="15.75" customHeight="1">
      <c r="F708" s="180"/>
      <c r="J708" s="180"/>
      <c r="K708" s="180"/>
    </row>
    <row r="709" ht="15.75" customHeight="1">
      <c r="F709" s="180"/>
      <c r="J709" s="180"/>
      <c r="K709" s="180"/>
    </row>
    <row r="710" ht="15.75" customHeight="1">
      <c r="F710" s="180"/>
      <c r="J710" s="180"/>
      <c r="K710" s="180"/>
    </row>
    <row r="711" ht="15.75" customHeight="1">
      <c r="F711" s="180"/>
      <c r="J711" s="180"/>
      <c r="K711" s="180"/>
    </row>
    <row r="712" ht="15.75" customHeight="1">
      <c r="F712" s="180"/>
      <c r="J712" s="180"/>
      <c r="K712" s="180"/>
    </row>
    <row r="713" ht="15.75" customHeight="1">
      <c r="F713" s="180"/>
      <c r="J713" s="180"/>
      <c r="K713" s="180"/>
    </row>
    <row r="714" ht="15.75" customHeight="1">
      <c r="F714" s="180"/>
      <c r="J714" s="180"/>
      <c r="K714" s="180"/>
    </row>
    <row r="715" ht="15.75" customHeight="1">
      <c r="F715" s="180"/>
      <c r="J715" s="180"/>
      <c r="K715" s="180"/>
    </row>
    <row r="716" ht="15.75" customHeight="1">
      <c r="F716" s="180"/>
      <c r="J716" s="180"/>
      <c r="K716" s="180"/>
    </row>
    <row r="717" ht="15.75" customHeight="1">
      <c r="F717" s="180"/>
      <c r="J717" s="180"/>
      <c r="K717" s="180"/>
    </row>
    <row r="718" ht="15.75" customHeight="1">
      <c r="F718" s="180"/>
      <c r="J718" s="180"/>
      <c r="K718" s="180"/>
    </row>
    <row r="719" ht="15.75" customHeight="1">
      <c r="F719" s="180"/>
      <c r="J719" s="180"/>
      <c r="K719" s="180"/>
    </row>
    <row r="720" ht="15.75" customHeight="1">
      <c r="F720" s="180"/>
      <c r="J720" s="180"/>
      <c r="K720" s="180"/>
    </row>
    <row r="721" ht="15.75" customHeight="1">
      <c r="F721" s="180"/>
      <c r="J721" s="180"/>
      <c r="K721" s="180"/>
    </row>
    <row r="722" ht="15.75" customHeight="1">
      <c r="F722" s="180"/>
      <c r="J722" s="180"/>
      <c r="K722" s="180"/>
    </row>
    <row r="723" ht="15.75" customHeight="1">
      <c r="F723" s="180"/>
      <c r="J723" s="180"/>
      <c r="K723" s="180"/>
    </row>
    <row r="724" ht="15.75" customHeight="1">
      <c r="F724" s="180"/>
      <c r="J724" s="180"/>
      <c r="K724" s="180"/>
    </row>
    <row r="725" ht="15.75" customHeight="1">
      <c r="F725" s="180"/>
      <c r="J725" s="180"/>
      <c r="K725" s="180"/>
    </row>
    <row r="726" ht="15.75" customHeight="1">
      <c r="F726" s="180"/>
      <c r="J726" s="180"/>
      <c r="K726" s="180"/>
    </row>
    <row r="727" ht="15.75" customHeight="1">
      <c r="F727" s="180"/>
      <c r="J727" s="180"/>
      <c r="K727" s="180"/>
    </row>
    <row r="728" ht="15.75" customHeight="1">
      <c r="F728" s="180"/>
      <c r="J728" s="180"/>
      <c r="K728" s="180"/>
    </row>
    <row r="729" ht="15.75" customHeight="1">
      <c r="F729" s="180"/>
      <c r="J729" s="180"/>
      <c r="K729" s="180"/>
    </row>
    <row r="730" ht="15.75" customHeight="1">
      <c r="F730" s="180"/>
      <c r="J730" s="180"/>
      <c r="K730" s="180"/>
    </row>
    <row r="731" ht="15.75" customHeight="1">
      <c r="F731" s="180"/>
      <c r="J731" s="180"/>
      <c r="K731" s="180"/>
    </row>
    <row r="732" ht="15.75" customHeight="1">
      <c r="F732" s="180"/>
      <c r="J732" s="180"/>
      <c r="K732" s="180"/>
    </row>
    <row r="733" ht="15.75" customHeight="1">
      <c r="F733" s="180"/>
      <c r="J733" s="180"/>
      <c r="K733" s="180"/>
    </row>
    <row r="734" ht="15.75" customHeight="1">
      <c r="F734" s="180"/>
      <c r="J734" s="180"/>
      <c r="K734" s="180"/>
    </row>
    <row r="735" ht="15.75" customHeight="1">
      <c r="F735" s="180"/>
      <c r="J735" s="180"/>
      <c r="K735" s="180"/>
    </row>
    <row r="736" ht="15.75" customHeight="1">
      <c r="F736" s="180"/>
      <c r="J736" s="180"/>
      <c r="K736" s="180"/>
    </row>
    <row r="737" ht="15.75" customHeight="1">
      <c r="F737" s="180"/>
      <c r="J737" s="180"/>
      <c r="K737" s="180"/>
    </row>
    <row r="738" ht="15.75" customHeight="1">
      <c r="F738" s="180"/>
      <c r="J738" s="180"/>
      <c r="K738" s="180"/>
    </row>
    <row r="739" ht="15.75" customHeight="1">
      <c r="F739" s="180"/>
      <c r="J739" s="180"/>
      <c r="K739" s="180"/>
    </row>
    <row r="740" ht="15.75" customHeight="1">
      <c r="F740" s="180"/>
      <c r="J740" s="180"/>
      <c r="K740" s="180"/>
    </row>
    <row r="741" ht="15.75" customHeight="1">
      <c r="F741" s="180"/>
      <c r="J741" s="180"/>
      <c r="K741" s="180"/>
    </row>
    <row r="742" ht="15.75" customHeight="1">
      <c r="F742" s="180"/>
      <c r="J742" s="180"/>
      <c r="K742" s="180"/>
    </row>
    <row r="743" ht="15.75" customHeight="1">
      <c r="F743" s="180"/>
      <c r="J743" s="180"/>
      <c r="K743" s="180"/>
    </row>
    <row r="744" ht="15.75" customHeight="1">
      <c r="F744" s="180"/>
      <c r="J744" s="180"/>
      <c r="K744" s="180"/>
    </row>
    <row r="745" ht="15.75" customHeight="1">
      <c r="F745" s="180"/>
      <c r="J745" s="180"/>
      <c r="K745" s="180"/>
    </row>
    <row r="746" ht="15.75" customHeight="1">
      <c r="F746" s="180"/>
      <c r="J746" s="180"/>
      <c r="K746" s="180"/>
    </row>
    <row r="747" ht="15.75" customHeight="1">
      <c r="F747" s="180"/>
      <c r="J747" s="180"/>
      <c r="K747" s="180"/>
    </row>
    <row r="748" ht="15.75" customHeight="1">
      <c r="F748" s="180"/>
      <c r="J748" s="180"/>
      <c r="K748" s="180"/>
    </row>
    <row r="749" ht="15.75" customHeight="1">
      <c r="F749" s="180"/>
      <c r="J749" s="180"/>
      <c r="K749" s="180"/>
    </row>
    <row r="750" ht="15.75" customHeight="1">
      <c r="F750" s="180"/>
      <c r="J750" s="180"/>
      <c r="K750" s="180"/>
    </row>
    <row r="751" ht="15.75" customHeight="1">
      <c r="F751" s="180"/>
      <c r="J751" s="180"/>
      <c r="K751" s="180"/>
    </row>
    <row r="752" ht="15.75" customHeight="1">
      <c r="F752" s="180"/>
      <c r="J752" s="180"/>
      <c r="K752" s="180"/>
    </row>
    <row r="753" ht="15.75" customHeight="1">
      <c r="F753" s="180"/>
      <c r="J753" s="180"/>
      <c r="K753" s="180"/>
    </row>
    <row r="754" ht="15.75" customHeight="1">
      <c r="F754" s="180"/>
      <c r="J754" s="180"/>
      <c r="K754" s="180"/>
    </row>
    <row r="755" ht="15.75" customHeight="1">
      <c r="F755" s="180"/>
      <c r="J755" s="180"/>
      <c r="K755" s="180"/>
    </row>
    <row r="756" ht="15.75" customHeight="1">
      <c r="F756" s="180"/>
      <c r="J756" s="180"/>
      <c r="K756" s="180"/>
    </row>
    <row r="757" ht="15.75" customHeight="1">
      <c r="F757" s="180"/>
      <c r="J757" s="180"/>
      <c r="K757" s="180"/>
    </row>
    <row r="758" ht="15.75" customHeight="1">
      <c r="F758" s="180"/>
      <c r="J758" s="180"/>
      <c r="K758" s="180"/>
    </row>
    <row r="759" ht="15.75" customHeight="1">
      <c r="F759" s="180"/>
      <c r="J759" s="180"/>
      <c r="K759" s="180"/>
    </row>
    <row r="760" ht="15.75" customHeight="1">
      <c r="F760" s="180"/>
      <c r="J760" s="180"/>
      <c r="K760" s="180"/>
    </row>
    <row r="761" ht="15.75" customHeight="1">
      <c r="F761" s="180"/>
      <c r="J761" s="180"/>
      <c r="K761" s="180"/>
    </row>
    <row r="762" ht="15.75" customHeight="1">
      <c r="F762" s="180"/>
      <c r="J762" s="180"/>
      <c r="K762" s="180"/>
    </row>
    <row r="763" ht="15.75" customHeight="1">
      <c r="F763" s="180"/>
      <c r="J763" s="180"/>
      <c r="K763" s="180"/>
    </row>
    <row r="764" ht="15.75" customHeight="1">
      <c r="F764" s="180"/>
      <c r="J764" s="180"/>
      <c r="K764" s="180"/>
    </row>
    <row r="765" ht="15.75" customHeight="1">
      <c r="F765" s="180"/>
      <c r="J765" s="180"/>
      <c r="K765" s="180"/>
    </row>
    <row r="766" ht="15.75" customHeight="1">
      <c r="F766" s="180"/>
      <c r="J766" s="180"/>
      <c r="K766" s="180"/>
    </row>
    <row r="767" ht="15.75" customHeight="1">
      <c r="F767" s="180"/>
      <c r="J767" s="180"/>
      <c r="K767" s="180"/>
    </row>
    <row r="768" ht="15.75" customHeight="1">
      <c r="F768" s="180"/>
      <c r="J768" s="180"/>
      <c r="K768" s="180"/>
    </row>
    <row r="769" ht="15.75" customHeight="1">
      <c r="F769" s="180"/>
      <c r="J769" s="180"/>
      <c r="K769" s="180"/>
    </row>
    <row r="770" ht="15.75" customHeight="1">
      <c r="F770" s="180"/>
      <c r="J770" s="180"/>
      <c r="K770" s="180"/>
    </row>
    <row r="771" ht="15.75" customHeight="1">
      <c r="F771" s="180"/>
      <c r="J771" s="180"/>
      <c r="K771" s="180"/>
    </row>
    <row r="772" ht="15.75" customHeight="1">
      <c r="F772" s="180"/>
      <c r="J772" s="180"/>
      <c r="K772" s="180"/>
    </row>
    <row r="773" ht="15.75" customHeight="1">
      <c r="F773" s="180"/>
      <c r="J773" s="180"/>
      <c r="K773" s="180"/>
    </row>
    <row r="774" ht="15.75" customHeight="1">
      <c r="F774" s="180"/>
      <c r="J774" s="180"/>
      <c r="K774" s="180"/>
    </row>
    <row r="775" ht="15.75" customHeight="1">
      <c r="F775" s="180"/>
      <c r="J775" s="180"/>
      <c r="K775" s="180"/>
    </row>
    <row r="776" ht="15.75" customHeight="1">
      <c r="F776" s="180"/>
      <c r="J776" s="180"/>
      <c r="K776" s="180"/>
    </row>
    <row r="777" ht="15.75" customHeight="1">
      <c r="F777" s="180"/>
      <c r="J777" s="180"/>
      <c r="K777" s="180"/>
    </row>
    <row r="778" ht="15.75" customHeight="1">
      <c r="F778" s="180"/>
      <c r="J778" s="180"/>
      <c r="K778" s="180"/>
    </row>
    <row r="779" ht="15.75" customHeight="1">
      <c r="F779" s="180"/>
      <c r="J779" s="180"/>
      <c r="K779" s="180"/>
    </row>
    <row r="780" ht="15.75" customHeight="1">
      <c r="F780" s="180"/>
      <c r="J780" s="180"/>
      <c r="K780" s="180"/>
    </row>
    <row r="781" ht="15.75" customHeight="1">
      <c r="F781" s="180"/>
      <c r="J781" s="180"/>
      <c r="K781" s="180"/>
    </row>
    <row r="782" ht="15.75" customHeight="1">
      <c r="F782" s="180"/>
      <c r="J782" s="180"/>
      <c r="K782" s="180"/>
    </row>
    <row r="783" ht="15.75" customHeight="1">
      <c r="F783" s="180"/>
      <c r="J783" s="180"/>
      <c r="K783" s="180"/>
    </row>
    <row r="784" ht="15.75" customHeight="1">
      <c r="F784" s="180"/>
      <c r="J784" s="180"/>
      <c r="K784" s="180"/>
    </row>
    <row r="785" ht="15.75" customHeight="1">
      <c r="F785" s="180"/>
      <c r="J785" s="180"/>
      <c r="K785" s="180"/>
    </row>
    <row r="786" ht="15.75" customHeight="1">
      <c r="F786" s="180"/>
      <c r="J786" s="180"/>
      <c r="K786" s="180"/>
    </row>
    <row r="787" ht="15.75" customHeight="1">
      <c r="F787" s="180"/>
      <c r="J787" s="180"/>
      <c r="K787" s="180"/>
    </row>
    <row r="788" ht="15.75" customHeight="1">
      <c r="F788" s="180"/>
      <c r="J788" s="180"/>
      <c r="K788" s="180"/>
    </row>
    <row r="789" ht="15.75" customHeight="1">
      <c r="F789" s="180"/>
      <c r="J789" s="180"/>
      <c r="K789" s="180"/>
    </row>
    <row r="790" ht="15.75" customHeight="1">
      <c r="F790" s="180"/>
      <c r="J790" s="180"/>
      <c r="K790" s="180"/>
    </row>
    <row r="791" ht="15.75" customHeight="1">
      <c r="F791" s="180"/>
      <c r="J791" s="180"/>
      <c r="K791" s="180"/>
    </row>
    <row r="792" ht="15.75" customHeight="1">
      <c r="F792" s="180"/>
      <c r="J792" s="180"/>
      <c r="K792" s="180"/>
    </row>
    <row r="793" ht="15.75" customHeight="1">
      <c r="F793" s="180"/>
      <c r="J793" s="180"/>
      <c r="K793" s="180"/>
    </row>
    <row r="794" ht="15.75" customHeight="1">
      <c r="F794" s="180"/>
      <c r="J794" s="180"/>
      <c r="K794" s="180"/>
    </row>
    <row r="795" ht="15.75" customHeight="1">
      <c r="F795" s="180"/>
      <c r="J795" s="180"/>
      <c r="K795" s="180"/>
    </row>
    <row r="796" ht="15.75" customHeight="1">
      <c r="F796" s="180"/>
      <c r="J796" s="180"/>
      <c r="K796" s="180"/>
    </row>
    <row r="797" ht="15.75" customHeight="1">
      <c r="F797" s="180"/>
      <c r="J797" s="180"/>
      <c r="K797" s="180"/>
    </row>
    <row r="798" ht="15.75" customHeight="1">
      <c r="F798" s="180"/>
      <c r="J798" s="180"/>
      <c r="K798" s="180"/>
    </row>
    <row r="799" ht="15.75" customHeight="1">
      <c r="F799" s="180"/>
      <c r="J799" s="180"/>
      <c r="K799" s="180"/>
    </row>
    <row r="800" ht="15.75" customHeight="1">
      <c r="F800" s="180"/>
      <c r="J800" s="180"/>
      <c r="K800" s="180"/>
    </row>
    <row r="801" ht="15.75" customHeight="1">
      <c r="F801" s="180"/>
      <c r="J801" s="180"/>
      <c r="K801" s="180"/>
    </row>
    <row r="802" ht="15.75" customHeight="1">
      <c r="F802" s="180"/>
      <c r="J802" s="180"/>
      <c r="K802" s="180"/>
    </row>
    <row r="803" ht="15.75" customHeight="1">
      <c r="F803" s="180"/>
      <c r="J803" s="180"/>
      <c r="K803" s="180"/>
    </row>
    <row r="804" ht="15.75" customHeight="1">
      <c r="F804" s="180"/>
      <c r="J804" s="180"/>
      <c r="K804" s="180"/>
    </row>
    <row r="805" ht="15.75" customHeight="1">
      <c r="F805" s="180"/>
      <c r="J805" s="180"/>
      <c r="K805" s="180"/>
    </row>
    <row r="806" ht="15.75" customHeight="1">
      <c r="F806" s="180"/>
      <c r="J806" s="180"/>
      <c r="K806" s="180"/>
    </row>
    <row r="807" ht="15.75" customHeight="1">
      <c r="F807" s="180"/>
      <c r="J807" s="180"/>
      <c r="K807" s="180"/>
    </row>
    <row r="808" ht="15.75" customHeight="1">
      <c r="F808" s="180"/>
      <c r="J808" s="180"/>
      <c r="K808" s="180"/>
    </row>
    <row r="809" ht="15.75" customHeight="1">
      <c r="F809" s="180"/>
      <c r="J809" s="180"/>
      <c r="K809" s="180"/>
    </row>
    <row r="810" ht="15.75" customHeight="1">
      <c r="F810" s="180"/>
      <c r="J810" s="180"/>
      <c r="K810" s="180"/>
    </row>
    <row r="811" ht="15.75" customHeight="1">
      <c r="F811" s="180"/>
      <c r="J811" s="180"/>
      <c r="K811" s="180"/>
    </row>
    <row r="812" ht="15.75" customHeight="1">
      <c r="F812" s="180"/>
      <c r="J812" s="180"/>
      <c r="K812" s="180"/>
    </row>
    <row r="813" ht="15.75" customHeight="1">
      <c r="F813" s="180"/>
      <c r="J813" s="180"/>
      <c r="K813" s="180"/>
    </row>
    <row r="814" ht="15.75" customHeight="1">
      <c r="F814" s="180"/>
      <c r="J814" s="180"/>
      <c r="K814" s="180"/>
    </row>
    <row r="815" ht="15.75" customHeight="1">
      <c r="F815" s="180"/>
      <c r="J815" s="180"/>
      <c r="K815" s="180"/>
    </row>
    <row r="816" ht="15.75" customHeight="1">
      <c r="F816" s="180"/>
      <c r="J816" s="180"/>
      <c r="K816" s="180"/>
    </row>
    <row r="817" ht="15.75" customHeight="1">
      <c r="F817" s="180"/>
      <c r="J817" s="180"/>
      <c r="K817" s="180"/>
    </row>
    <row r="818" ht="15.75" customHeight="1">
      <c r="F818" s="180"/>
      <c r="J818" s="180"/>
      <c r="K818" s="180"/>
    </row>
    <row r="819" ht="15.75" customHeight="1">
      <c r="F819" s="180"/>
      <c r="J819" s="180"/>
      <c r="K819" s="180"/>
    </row>
    <row r="820" ht="15.75" customHeight="1">
      <c r="F820" s="180"/>
      <c r="J820" s="180"/>
      <c r="K820" s="180"/>
    </row>
    <row r="821" ht="15.75" customHeight="1">
      <c r="F821" s="180"/>
      <c r="J821" s="180"/>
      <c r="K821" s="180"/>
    </row>
    <row r="822" ht="15.75" customHeight="1">
      <c r="F822" s="180"/>
      <c r="J822" s="180"/>
      <c r="K822" s="180"/>
    </row>
    <row r="823" ht="15.75" customHeight="1">
      <c r="F823" s="180"/>
      <c r="J823" s="180"/>
      <c r="K823" s="180"/>
    </row>
    <row r="824" ht="15.75" customHeight="1">
      <c r="F824" s="180"/>
      <c r="J824" s="180"/>
      <c r="K824" s="180"/>
    </row>
    <row r="825" ht="15.75" customHeight="1">
      <c r="F825" s="180"/>
      <c r="J825" s="180"/>
      <c r="K825" s="180"/>
    </row>
    <row r="826" ht="15.75" customHeight="1">
      <c r="F826" s="180"/>
      <c r="J826" s="180"/>
      <c r="K826" s="180"/>
    </row>
    <row r="827" ht="15.75" customHeight="1">
      <c r="F827" s="180"/>
      <c r="J827" s="180"/>
      <c r="K827" s="180"/>
    </row>
    <row r="828" ht="15.75" customHeight="1">
      <c r="F828" s="180"/>
      <c r="J828" s="180"/>
      <c r="K828" s="180"/>
    </row>
    <row r="829" ht="15.75" customHeight="1">
      <c r="F829" s="180"/>
      <c r="J829" s="180"/>
      <c r="K829" s="180"/>
    </row>
    <row r="830" ht="15.75" customHeight="1">
      <c r="F830" s="180"/>
      <c r="J830" s="180"/>
      <c r="K830" s="180"/>
    </row>
    <row r="831" ht="15.75" customHeight="1">
      <c r="F831" s="180"/>
      <c r="J831" s="180"/>
      <c r="K831" s="180"/>
    </row>
    <row r="832" ht="15.75" customHeight="1">
      <c r="F832" s="180"/>
      <c r="J832" s="180"/>
      <c r="K832" s="180"/>
    </row>
    <row r="833" ht="15.75" customHeight="1">
      <c r="F833" s="180"/>
      <c r="J833" s="180"/>
      <c r="K833" s="180"/>
    </row>
    <row r="834" ht="15.75" customHeight="1">
      <c r="F834" s="180"/>
      <c r="J834" s="180"/>
      <c r="K834" s="180"/>
    </row>
    <row r="835" ht="15.75" customHeight="1">
      <c r="F835" s="180"/>
      <c r="J835" s="180"/>
      <c r="K835" s="180"/>
    </row>
    <row r="836" ht="15.75" customHeight="1">
      <c r="F836" s="180"/>
      <c r="J836" s="180"/>
      <c r="K836" s="180"/>
    </row>
    <row r="837" ht="15.75" customHeight="1">
      <c r="F837" s="180"/>
      <c r="J837" s="180"/>
      <c r="K837" s="180"/>
    </row>
    <row r="838" ht="15.75" customHeight="1">
      <c r="F838" s="180"/>
      <c r="J838" s="180"/>
      <c r="K838" s="180"/>
    </row>
    <row r="839" ht="15.75" customHeight="1">
      <c r="F839" s="180"/>
      <c r="J839" s="180"/>
      <c r="K839" s="180"/>
    </row>
    <row r="840" ht="15.75" customHeight="1">
      <c r="F840" s="180"/>
      <c r="J840" s="180"/>
      <c r="K840" s="180"/>
    </row>
    <row r="841" ht="15.75" customHeight="1">
      <c r="F841" s="180"/>
      <c r="J841" s="180"/>
      <c r="K841" s="180"/>
    </row>
    <row r="842" ht="15.75" customHeight="1">
      <c r="F842" s="180"/>
      <c r="J842" s="180"/>
      <c r="K842" s="180"/>
    </row>
    <row r="843" ht="15.75" customHeight="1">
      <c r="F843" s="180"/>
      <c r="J843" s="180"/>
      <c r="K843" s="180"/>
    </row>
    <row r="844" ht="15.75" customHeight="1">
      <c r="F844" s="180"/>
      <c r="J844" s="180"/>
      <c r="K844" s="180"/>
    </row>
    <row r="845" ht="15.75" customHeight="1">
      <c r="F845" s="180"/>
      <c r="J845" s="180"/>
      <c r="K845" s="180"/>
    </row>
    <row r="846" ht="15.75" customHeight="1">
      <c r="F846" s="180"/>
      <c r="J846" s="180"/>
      <c r="K846" s="180"/>
    </row>
    <row r="847" ht="15.75" customHeight="1">
      <c r="F847" s="180"/>
      <c r="J847" s="180"/>
      <c r="K847" s="180"/>
    </row>
    <row r="848" ht="15.75" customHeight="1">
      <c r="F848" s="180"/>
      <c r="J848" s="180"/>
      <c r="K848" s="180"/>
    </row>
    <row r="849" ht="15.75" customHeight="1">
      <c r="F849" s="180"/>
      <c r="J849" s="180"/>
      <c r="K849" s="180"/>
    </row>
    <row r="850" ht="15.75" customHeight="1">
      <c r="F850" s="180"/>
      <c r="J850" s="180"/>
      <c r="K850" s="180"/>
    </row>
    <row r="851" ht="15.75" customHeight="1">
      <c r="F851" s="180"/>
      <c r="J851" s="180"/>
      <c r="K851" s="180"/>
    </row>
    <row r="852" ht="15.75" customHeight="1">
      <c r="F852" s="180"/>
      <c r="J852" s="180"/>
      <c r="K852" s="180"/>
    </row>
    <row r="853" ht="15.75" customHeight="1">
      <c r="F853" s="180"/>
      <c r="J853" s="180"/>
      <c r="K853" s="180"/>
    </row>
    <row r="854" ht="15.75" customHeight="1">
      <c r="F854" s="180"/>
      <c r="J854" s="180"/>
      <c r="K854" s="180"/>
    </row>
    <row r="855" ht="15.75" customHeight="1">
      <c r="F855" s="180"/>
      <c r="J855" s="180"/>
      <c r="K855" s="180"/>
    </row>
    <row r="856" ht="15.75" customHeight="1">
      <c r="F856" s="180"/>
      <c r="J856" s="180"/>
      <c r="K856" s="180"/>
    </row>
    <row r="857" ht="15.75" customHeight="1">
      <c r="F857" s="180"/>
      <c r="J857" s="180"/>
      <c r="K857" s="180"/>
    </row>
    <row r="858" ht="15.75" customHeight="1">
      <c r="F858" s="180"/>
      <c r="J858" s="180"/>
      <c r="K858" s="180"/>
    </row>
    <row r="859" ht="15.75" customHeight="1">
      <c r="F859" s="180"/>
      <c r="J859" s="180"/>
      <c r="K859" s="180"/>
    </row>
    <row r="860" ht="15.75" customHeight="1">
      <c r="F860" s="180"/>
      <c r="J860" s="180"/>
      <c r="K860" s="180"/>
    </row>
    <row r="861" ht="15.75" customHeight="1">
      <c r="F861" s="180"/>
      <c r="J861" s="180"/>
      <c r="K861" s="180"/>
    </row>
    <row r="862" ht="15.75" customHeight="1">
      <c r="F862" s="180"/>
      <c r="J862" s="180"/>
      <c r="K862" s="180"/>
    </row>
    <row r="863" ht="15.75" customHeight="1">
      <c r="F863" s="180"/>
      <c r="J863" s="180"/>
      <c r="K863" s="180"/>
    </row>
    <row r="864" ht="15.75" customHeight="1">
      <c r="F864" s="180"/>
      <c r="J864" s="180"/>
      <c r="K864" s="180"/>
    </row>
    <row r="865" ht="15.75" customHeight="1">
      <c r="F865" s="180"/>
      <c r="J865" s="180"/>
      <c r="K865" s="180"/>
    </row>
    <row r="866" ht="15.75" customHeight="1">
      <c r="F866" s="180"/>
      <c r="J866" s="180"/>
      <c r="K866" s="180"/>
    </row>
    <row r="867" ht="15.75" customHeight="1">
      <c r="F867" s="180"/>
      <c r="J867" s="180"/>
      <c r="K867" s="180"/>
    </row>
    <row r="868" ht="15.75" customHeight="1">
      <c r="F868" s="180"/>
      <c r="J868" s="180"/>
      <c r="K868" s="180"/>
    </row>
    <row r="869" ht="15.75" customHeight="1">
      <c r="F869" s="180"/>
      <c r="J869" s="180"/>
      <c r="K869" s="180"/>
    </row>
    <row r="870" ht="15.75" customHeight="1">
      <c r="F870" s="180"/>
      <c r="J870" s="180"/>
      <c r="K870" s="180"/>
    </row>
    <row r="871" ht="15.75" customHeight="1">
      <c r="F871" s="180"/>
      <c r="J871" s="180"/>
      <c r="K871" s="180"/>
    </row>
    <row r="872" ht="15.75" customHeight="1">
      <c r="F872" s="180"/>
      <c r="J872" s="180"/>
      <c r="K872" s="180"/>
    </row>
    <row r="873" ht="15.75" customHeight="1">
      <c r="F873" s="180"/>
      <c r="J873" s="180"/>
      <c r="K873" s="180"/>
    </row>
    <row r="874" ht="15.75" customHeight="1">
      <c r="F874" s="180"/>
      <c r="J874" s="180"/>
      <c r="K874" s="180"/>
    </row>
    <row r="875" ht="15.75" customHeight="1">
      <c r="F875" s="180"/>
      <c r="J875" s="180"/>
      <c r="K875" s="180"/>
    </row>
    <row r="876" ht="15.75" customHeight="1">
      <c r="F876" s="180"/>
      <c r="J876" s="180"/>
      <c r="K876" s="180"/>
    </row>
    <row r="877" ht="15.75" customHeight="1">
      <c r="F877" s="180"/>
      <c r="J877" s="180"/>
      <c r="K877" s="180"/>
    </row>
    <row r="878" ht="15.75" customHeight="1">
      <c r="F878" s="180"/>
      <c r="J878" s="180"/>
      <c r="K878" s="180"/>
    </row>
    <row r="879" ht="15.75" customHeight="1">
      <c r="F879" s="180"/>
      <c r="J879" s="180"/>
      <c r="K879" s="180"/>
    </row>
    <row r="880" ht="15.75" customHeight="1">
      <c r="F880" s="180"/>
      <c r="J880" s="180"/>
      <c r="K880" s="180"/>
    </row>
    <row r="881" ht="15.75" customHeight="1">
      <c r="F881" s="180"/>
      <c r="J881" s="180"/>
      <c r="K881" s="180"/>
    </row>
    <row r="882" ht="15.75" customHeight="1">
      <c r="F882" s="180"/>
      <c r="J882" s="180"/>
      <c r="K882" s="180"/>
    </row>
    <row r="883" ht="15.75" customHeight="1">
      <c r="F883" s="180"/>
      <c r="J883" s="180"/>
      <c r="K883" s="180"/>
    </row>
    <row r="884" ht="15.75" customHeight="1">
      <c r="F884" s="180"/>
      <c r="J884" s="180"/>
      <c r="K884" s="180"/>
    </row>
    <row r="885" ht="15.75" customHeight="1">
      <c r="F885" s="180"/>
      <c r="J885" s="180"/>
      <c r="K885" s="180"/>
    </row>
    <row r="886" ht="15.75" customHeight="1">
      <c r="F886" s="180"/>
      <c r="J886" s="180"/>
      <c r="K886" s="180"/>
    </row>
    <row r="887" ht="15.75" customHeight="1">
      <c r="F887" s="180"/>
      <c r="J887" s="180"/>
      <c r="K887" s="180"/>
    </row>
    <row r="888" ht="15.75" customHeight="1">
      <c r="F888" s="180"/>
      <c r="J888" s="180"/>
      <c r="K888" s="180"/>
    </row>
    <row r="889" ht="15.75" customHeight="1">
      <c r="F889" s="180"/>
      <c r="J889" s="180"/>
      <c r="K889" s="180"/>
    </row>
    <row r="890" ht="15.75" customHeight="1">
      <c r="F890" s="180"/>
      <c r="J890" s="180"/>
      <c r="K890" s="180"/>
    </row>
    <row r="891" ht="15.75" customHeight="1">
      <c r="F891" s="180"/>
      <c r="J891" s="180"/>
      <c r="K891" s="180"/>
    </row>
    <row r="892" ht="15.75" customHeight="1">
      <c r="F892" s="180"/>
      <c r="J892" s="180"/>
      <c r="K892" s="180"/>
    </row>
    <row r="893" ht="15.75" customHeight="1">
      <c r="F893" s="180"/>
      <c r="J893" s="180"/>
      <c r="K893" s="180"/>
    </row>
    <row r="894" ht="15.75" customHeight="1">
      <c r="F894" s="180"/>
      <c r="J894" s="180"/>
      <c r="K894" s="180"/>
    </row>
    <row r="895" ht="15.75" customHeight="1">
      <c r="F895" s="180"/>
      <c r="J895" s="180"/>
      <c r="K895" s="180"/>
    </row>
    <row r="896" ht="15.75" customHeight="1">
      <c r="F896" s="180"/>
      <c r="J896" s="180"/>
      <c r="K896" s="180"/>
    </row>
    <row r="897" ht="15.75" customHeight="1">
      <c r="F897" s="180"/>
      <c r="J897" s="180"/>
      <c r="K897" s="180"/>
    </row>
    <row r="898" ht="15.75" customHeight="1">
      <c r="F898" s="180"/>
      <c r="J898" s="180"/>
      <c r="K898" s="180"/>
    </row>
    <row r="899" ht="15.75" customHeight="1">
      <c r="F899" s="180"/>
      <c r="J899" s="180"/>
      <c r="K899" s="180"/>
    </row>
    <row r="900" ht="15.75" customHeight="1">
      <c r="F900" s="180"/>
      <c r="J900" s="180"/>
      <c r="K900" s="180"/>
    </row>
    <row r="901" ht="15.75" customHeight="1">
      <c r="F901" s="180"/>
      <c r="J901" s="180"/>
      <c r="K901" s="180"/>
    </row>
    <row r="902" ht="15.75" customHeight="1">
      <c r="F902" s="180"/>
      <c r="J902" s="180"/>
      <c r="K902" s="180"/>
    </row>
    <row r="903" ht="15.75" customHeight="1">
      <c r="F903" s="180"/>
      <c r="J903" s="180"/>
      <c r="K903" s="180"/>
    </row>
    <row r="904" ht="15.75" customHeight="1">
      <c r="F904" s="180"/>
      <c r="J904" s="180"/>
      <c r="K904" s="180"/>
    </row>
    <row r="905" ht="15.75" customHeight="1">
      <c r="F905" s="180"/>
      <c r="J905" s="180"/>
      <c r="K905" s="180"/>
    </row>
    <row r="906" ht="15.75" customHeight="1">
      <c r="F906" s="180"/>
      <c r="J906" s="180"/>
      <c r="K906" s="180"/>
    </row>
    <row r="907" ht="15.75" customHeight="1">
      <c r="F907" s="180"/>
      <c r="J907" s="180"/>
      <c r="K907" s="180"/>
    </row>
    <row r="908" ht="15.75" customHeight="1">
      <c r="F908" s="180"/>
      <c r="J908" s="180"/>
      <c r="K908" s="180"/>
    </row>
    <row r="909" ht="15.75" customHeight="1">
      <c r="F909" s="180"/>
      <c r="J909" s="180"/>
      <c r="K909" s="180"/>
    </row>
    <row r="910" ht="15.75" customHeight="1">
      <c r="F910" s="180"/>
      <c r="J910" s="180"/>
      <c r="K910" s="180"/>
    </row>
    <row r="911" ht="15.75" customHeight="1">
      <c r="F911" s="180"/>
      <c r="J911" s="180"/>
      <c r="K911" s="180"/>
    </row>
    <row r="912" ht="15.75" customHeight="1">
      <c r="F912" s="180"/>
      <c r="J912" s="180"/>
      <c r="K912" s="180"/>
    </row>
    <row r="913" ht="15.75" customHeight="1">
      <c r="F913" s="180"/>
      <c r="J913" s="180"/>
      <c r="K913" s="180"/>
    </row>
    <row r="914" ht="15.75" customHeight="1">
      <c r="F914" s="180"/>
      <c r="J914" s="180"/>
      <c r="K914" s="180"/>
    </row>
    <row r="915" ht="15.75" customHeight="1">
      <c r="F915" s="180"/>
      <c r="J915" s="180"/>
      <c r="K915" s="180"/>
    </row>
    <row r="916" ht="15.75" customHeight="1">
      <c r="F916" s="180"/>
      <c r="J916" s="180"/>
      <c r="K916" s="180"/>
    </row>
    <row r="917" ht="15.75" customHeight="1">
      <c r="F917" s="180"/>
      <c r="J917" s="180"/>
      <c r="K917" s="180"/>
    </row>
    <row r="918" ht="15.75" customHeight="1">
      <c r="F918" s="180"/>
      <c r="J918" s="180"/>
      <c r="K918" s="180"/>
    </row>
    <row r="919" ht="15.75" customHeight="1">
      <c r="F919" s="180"/>
      <c r="J919" s="180"/>
      <c r="K919" s="180"/>
    </row>
    <row r="920" ht="15.75" customHeight="1">
      <c r="F920" s="180"/>
      <c r="J920" s="180"/>
      <c r="K920" s="180"/>
    </row>
    <row r="921" ht="15.75" customHeight="1">
      <c r="F921" s="180"/>
      <c r="J921" s="180"/>
      <c r="K921" s="180"/>
    </row>
    <row r="922" ht="15.75" customHeight="1">
      <c r="F922" s="180"/>
      <c r="J922" s="180"/>
      <c r="K922" s="180"/>
    </row>
    <row r="923" ht="15.75" customHeight="1">
      <c r="F923" s="180"/>
      <c r="J923" s="180"/>
      <c r="K923" s="180"/>
    </row>
    <row r="924" ht="15.75" customHeight="1">
      <c r="F924" s="180"/>
      <c r="J924" s="180"/>
      <c r="K924" s="180"/>
    </row>
    <row r="925" ht="15.75" customHeight="1">
      <c r="F925" s="180"/>
      <c r="J925" s="180"/>
      <c r="K925" s="180"/>
    </row>
    <row r="926" ht="15.75" customHeight="1">
      <c r="F926" s="180"/>
      <c r="J926" s="180"/>
      <c r="K926" s="180"/>
    </row>
    <row r="927" ht="15.75" customHeight="1">
      <c r="F927" s="180"/>
      <c r="J927" s="180"/>
      <c r="K927" s="180"/>
    </row>
    <row r="928" ht="15.75" customHeight="1">
      <c r="F928" s="180"/>
      <c r="J928" s="180"/>
      <c r="K928" s="180"/>
    </row>
    <row r="929" ht="15.75" customHeight="1">
      <c r="F929" s="180"/>
      <c r="J929" s="180"/>
      <c r="K929" s="180"/>
    </row>
    <row r="930" ht="15.75" customHeight="1">
      <c r="F930" s="180"/>
      <c r="J930" s="180"/>
      <c r="K930" s="180"/>
    </row>
    <row r="931" ht="15.75" customHeight="1">
      <c r="F931" s="180"/>
      <c r="J931" s="180"/>
      <c r="K931" s="180"/>
    </row>
    <row r="932" ht="15.75" customHeight="1">
      <c r="F932" s="180"/>
      <c r="J932" s="180"/>
      <c r="K932" s="180"/>
    </row>
    <row r="933" ht="15.75" customHeight="1">
      <c r="F933" s="180"/>
      <c r="J933" s="180"/>
      <c r="K933" s="180"/>
    </row>
    <row r="934" ht="15.75" customHeight="1">
      <c r="F934" s="180"/>
      <c r="J934" s="180"/>
      <c r="K934" s="180"/>
    </row>
    <row r="935" ht="15.75" customHeight="1">
      <c r="F935" s="180"/>
      <c r="J935" s="180"/>
      <c r="K935" s="180"/>
    </row>
    <row r="936" ht="15.75" customHeight="1">
      <c r="F936" s="180"/>
      <c r="J936" s="180"/>
      <c r="K936" s="180"/>
    </row>
    <row r="937" ht="15.75" customHeight="1">
      <c r="F937" s="180"/>
      <c r="J937" s="180"/>
      <c r="K937" s="180"/>
    </row>
    <row r="938" ht="15.75" customHeight="1">
      <c r="F938" s="180"/>
      <c r="J938" s="180"/>
      <c r="K938" s="180"/>
    </row>
    <row r="939" ht="15.75" customHeight="1">
      <c r="F939" s="180"/>
      <c r="J939" s="180"/>
      <c r="K939" s="180"/>
    </row>
    <row r="940" ht="15.75" customHeight="1">
      <c r="F940" s="180"/>
      <c r="J940" s="180"/>
      <c r="K940" s="180"/>
    </row>
    <row r="941" ht="15.75" customHeight="1">
      <c r="F941" s="180"/>
      <c r="J941" s="180"/>
      <c r="K941" s="180"/>
    </row>
    <row r="942" ht="15.75" customHeight="1">
      <c r="F942" s="180"/>
      <c r="J942" s="180"/>
      <c r="K942" s="180"/>
    </row>
    <row r="943" ht="15.75" customHeight="1">
      <c r="F943" s="180"/>
      <c r="J943" s="180"/>
      <c r="K943" s="180"/>
    </row>
    <row r="944" ht="15.75" customHeight="1">
      <c r="F944" s="180"/>
      <c r="J944" s="180"/>
      <c r="K944" s="180"/>
    </row>
    <row r="945" ht="15.75" customHeight="1">
      <c r="F945" s="180"/>
      <c r="J945" s="180"/>
      <c r="K945" s="180"/>
    </row>
    <row r="946" ht="15.75" customHeight="1">
      <c r="F946" s="180"/>
      <c r="J946" s="180"/>
      <c r="K946" s="180"/>
    </row>
    <row r="947" ht="15.75" customHeight="1">
      <c r="F947" s="180"/>
      <c r="J947" s="180"/>
      <c r="K947" s="180"/>
    </row>
    <row r="948" ht="15.75" customHeight="1">
      <c r="F948" s="180"/>
      <c r="J948" s="180"/>
      <c r="K948" s="180"/>
    </row>
    <row r="949" ht="15.75" customHeight="1">
      <c r="F949" s="180"/>
      <c r="J949" s="180"/>
      <c r="K949" s="180"/>
    </row>
    <row r="950" ht="15.75" customHeight="1">
      <c r="F950" s="180"/>
      <c r="J950" s="180"/>
      <c r="K950" s="180"/>
    </row>
    <row r="951" ht="15.75" customHeight="1">
      <c r="F951" s="180"/>
      <c r="J951" s="180"/>
      <c r="K951" s="180"/>
    </row>
    <row r="952" ht="15.75" customHeight="1">
      <c r="F952" s="180"/>
      <c r="J952" s="180"/>
      <c r="K952" s="180"/>
    </row>
    <row r="953" ht="15.75" customHeight="1">
      <c r="F953" s="180"/>
      <c r="J953" s="180"/>
      <c r="K953" s="180"/>
    </row>
    <row r="954" ht="15.75" customHeight="1">
      <c r="F954" s="180"/>
      <c r="J954" s="180"/>
      <c r="K954" s="180"/>
    </row>
    <row r="955" ht="15.75" customHeight="1">
      <c r="F955" s="180"/>
      <c r="J955" s="180"/>
      <c r="K955" s="180"/>
    </row>
    <row r="956" ht="15.75" customHeight="1">
      <c r="F956" s="180"/>
      <c r="J956" s="180"/>
      <c r="K956" s="180"/>
    </row>
    <row r="957" ht="15.75" customHeight="1">
      <c r="F957" s="180"/>
      <c r="J957" s="180"/>
      <c r="K957" s="180"/>
    </row>
    <row r="958" ht="15.75" customHeight="1">
      <c r="F958" s="180"/>
      <c r="J958" s="180"/>
      <c r="K958" s="180"/>
    </row>
    <row r="959" ht="15.75" customHeight="1">
      <c r="F959" s="180"/>
      <c r="J959" s="180"/>
      <c r="K959" s="180"/>
    </row>
    <row r="960" ht="15.75" customHeight="1">
      <c r="F960" s="180"/>
      <c r="J960" s="180"/>
      <c r="K960" s="180"/>
    </row>
    <row r="961" ht="15.75" customHeight="1">
      <c r="F961" s="180"/>
      <c r="J961" s="180"/>
      <c r="K961" s="180"/>
    </row>
    <row r="962" ht="15.75" customHeight="1">
      <c r="F962" s="180"/>
      <c r="J962" s="180"/>
      <c r="K962" s="180"/>
    </row>
    <row r="963" ht="15.75" customHeight="1">
      <c r="F963" s="180"/>
      <c r="J963" s="180"/>
      <c r="K963" s="180"/>
    </row>
    <row r="964" ht="15.75" customHeight="1">
      <c r="F964" s="180"/>
      <c r="J964" s="180"/>
      <c r="K964" s="180"/>
    </row>
    <row r="965" ht="15.75" customHeight="1">
      <c r="F965" s="180"/>
      <c r="J965" s="180"/>
      <c r="K965" s="180"/>
    </row>
    <row r="966" ht="15.75" customHeight="1">
      <c r="F966" s="180"/>
      <c r="J966" s="180"/>
      <c r="K966" s="180"/>
    </row>
    <row r="967" ht="15.75" customHeight="1">
      <c r="F967" s="180"/>
      <c r="J967" s="180"/>
      <c r="K967" s="180"/>
    </row>
    <row r="968" ht="15.75" customHeight="1">
      <c r="F968" s="180"/>
      <c r="J968" s="180"/>
      <c r="K968" s="180"/>
    </row>
    <row r="969" ht="15.75" customHeight="1">
      <c r="F969" s="180"/>
      <c r="J969" s="180"/>
      <c r="K969" s="180"/>
    </row>
    <row r="970" ht="15.75" customHeight="1">
      <c r="F970" s="180"/>
      <c r="J970" s="180"/>
      <c r="K970" s="180"/>
    </row>
    <row r="971" ht="15.75" customHeight="1">
      <c r="F971" s="180"/>
      <c r="J971" s="180"/>
      <c r="K971" s="180"/>
    </row>
    <row r="972" ht="15.75" customHeight="1">
      <c r="F972" s="180"/>
      <c r="J972" s="180"/>
      <c r="K972" s="180"/>
    </row>
    <row r="973" ht="15.75" customHeight="1">
      <c r="F973" s="180"/>
      <c r="J973" s="180"/>
      <c r="K973" s="180"/>
    </row>
    <row r="974" ht="15.75" customHeight="1">
      <c r="F974" s="180"/>
      <c r="J974" s="180"/>
      <c r="K974" s="180"/>
    </row>
    <row r="975" ht="15.75" customHeight="1">
      <c r="F975" s="180"/>
      <c r="J975" s="180"/>
      <c r="K975" s="180"/>
    </row>
    <row r="976" ht="15.75" customHeight="1">
      <c r="F976" s="180"/>
      <c r="J976" s="180"/>
      <c r="K976" s="180"/>
    </row>
    <row r="977" ht="15.75" customHeight="1">
      <c r="F977" s="180"/>
      <c r="J977" s="180"/>
      <c r="K977" s="180"/>
    </row>
    <row r="978" ht="15.75" customHeight="1">
      <c r="F978" s="180"/>
      <c r="J978" s="180"/>
      <c r="K978" s="180"/>
    </row>
    <row r="979" ht="15.75" customHeight="1">
      <c r="F979" s="180"/>
      <c r="J979" s="180"/>
      <c r="K979" s="180"/>
    </row>
    <row r="980" ht="15.75" customHeight="1">
      <c r="F980" s="180"/>
      <c r="J980" s="180"/>
      <c r="K980" s="180"/>
    </row>
    <row r="981" ht="15.75" customHeight="1">
      <c r="F981" s="180"/>
      <c r="J981" s="180"/>
      <c r="K981" s="180"/>
    </row>
    <row r="982" ht="15.75" customHeight="1">
      <c r="F982" s="180"/>
      <c r="J982" s="180"/>
      <c r="K982" s="180"/>
    </row>
    <row r="983" ht="15.75" customHeight="1">
      <c r="F983" s="180"/>
      <c r="J983" s="180"/>
      <c r="K983" s="180"/>
    </row>
    <row r="984" ht="15.75" customHeight="1">
      <c r="F984" s="180"/>
      <c r="J984" s="180"/>
      <c r="K984" s="180"/>
    </row>
    <row r="985" ht="15.75" customHeight="1">
      <c r="F985" s="180"/>
      <c r="J985" s="180"/>
      <c r="K985" s="180"/>
    </row>
    <row r="986" ht="15.75" customHeight="1">
      <c r="F986" s="180"/>
      <c r="J986" s="180"/>
      <c r="K986" s="180"/>
    </row>
    <row r="987" ht="15.75" customHeight="1">
      <c r="F987" s="180"/>
      <c r="J987" s="180"/>
      <c r="K987" s="180"/>
    </row>
    <row r="988" ht="15.75" customHeight="1">
      <c r="F988" s="180"/>
      <c r="J988" s="180"/>
      <c r="K988" s="180"/>
    </row>
    <row r="989" ht="15.75" customHeight="1">
      <c r="F989" s="180"/>
      <c r="J989" s="180"/>
      <c r="K989" s="180"/>
    </row>
    <row r="990" ht="15.75" customHeight="1">
      <c r="F990" s="180"/>
      <c r="J990" s="180"/>
      <c r="K990" s="180"/>
    </row>
    <row r="991" ht="15.75" customHeight="1">
      <c r="F991" s="180"/>
      <c r="J991" s="180"/>
      <c r="K991" s="180"/>
    </row>
    <row r="992" ht="15.75" customHeight="1">
      <c r="F992" s="180"/>
      <c r="J992" s="180"/>
      <c r="K992" s="180"/>
    </row>
    <row r="993" ht="15.75" customHeight="1">
      <c r="F993" s="180"/>
      <c r="J993" s="180"/>
      <c r="K993" s="180"/>
    </row>
  </sheetData>
  <mergeCells count="3">
    <mergeCell ref="B4:B11"/>
    <mergeCell ref="A6:A7"/>
    <mergeCell ref="K6:K11"/>
  </mergeCells>
  <dataValidations>
    <dataValidation type="list" allowBlank="1" showErrorMessage="1" sqref="E2:E8 E10:E11">
      <formula1>"yes,no"</formula1>
    </dataValidation>
    <dataValidation type="list" allowBlank="1" showErrorMessage="1" sqref="D2:D8 D10:D11">
      <formula1>"Text,Numeric,Image,Single Select,Multi select,File,Date,Date (Cannot be before Issue Discussed date)"</formula1>
    </dataValidation>
  </dataValidations>
  <drawing r:id="rId4"/>
  <legacyDrawing r:id="rId5"/>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pageSetUpPr/>
  </sheetPr>
  <sheetViews>
    <sheetView workbookViewId="0"/>
  </sheetViews>
  <sheetFormatPr customHeight="1" defaultColWidth="12.63" defaultRowHeight="15.0"/>
  <cols>
    <col customWidth="1" min="1" max="2" width="12.63"/>
    <col customWidth="1" min="3" max="3" width="52.25"/>
    <col customWidth="1" min="4" max="6" width="12.63"/>
    <col customWidth="1" min="10" max="10" width="33.25"/>
  </cols>
  <sheetData>
    <row r="1" ht="15.75" customHeight="1">
      <c r="A1" s="147"/>
      <c r="B1" s="147" t="s">
        <v>632</v>
      </c>
      <c r="C1" s="147" t="s">
        <v>633</v>
      </c>
      <c r="D1" s="147" t="s">
        <v>634</v>
      </c>
      <c r="E1" s="147" t="s">
        <v>824</v>
      </c>
      <c r="F1" s="147" t="s">
        <v>637</v>
      </c>
      <c r="G1" s="147" t="s">
        <v>638</v>
      </c>
      <c r="H1" s="147" t="s">
        <v>639</v>
      </c>
      <c r="I1" s="147" t="s">
        <v>640</v>
      </c>
      <c r="J1" s="147" t="s">
        <v>641</v>
      </c>
      <c r="K1" s="147" t="s">
        <v>642</v>
      </c>
      <c r="L1" s="147" t="s">
        <v>722</v>
      </c>
      <c r="M1" s="184" t="s">
        <v>723</v>
      </c>
      <c r="N1" s="184" t="s">
        <v>724</v>
      </c>
      <c r="O1" s="184" t="s">
        <v>725</v>
      </c>
      <c r="P1" s="149"/>
      <c r="Q1" s="149"/>
      <c r="R1" s="149"/>
      <c r="S1" s="149"/>
      <c r="T1" s="149"/>
      <c r="U1" s="149"/>
      <c r="V1" s="149"/>
      <c r="W1" s="149"/>
      <c r="X1" s="149"/>
      <c r="Y1" s="149"/>
      <c r="Z1" s="149"/>
      <c r="AA1" s="149"/>
    </row>
    <row r="2" ht="15.75" customHeight="1">
      <c r="A2" s="369" t="s">
        <v>644</v>
      </c>
      <c r="B2" s="151"/>
      <c r="C2" s="141" t="s">
        <v>1480</v>
      </c>
      <c r="D2" s="156" t="s">
        <v>713</v>
      </c>
      <c r="E2" s="156"/>
      <c r="F2" s="151"/>
      <c r="G2" s="151"/>
      <c r="H2" s="151"/>
      <c r="I2" s="151"/>
      <c r="J2" s="156"/>
      <c r="K2" s="151"/>
      <c r="L2" s="151"/>
      <c r="M2" s="151"/>
      <c r="N2" s="151"/>
      <c r="O2" s="151"/>
    </row>
    <row r="3" ht="15.75" customHeight="1">
      <c r="A3" s="369" t="s">
        <v>644</v>
      </c>
      <c r="B3" s="151"/>
      <c r="C3" s="141" t="s">
        <v>1432</v>
      </c>
      <c r="D3" s="156" t="s">
        <v>912</v>
      </c>
      <c r="E3" s="156"/>
      <c r="F3" s="151"/>
      <c r="G3" s="151"/>
      <c r="H3" s="151"/>
      <c r="I3" s="151"/>
      <c r="J3" s="156"/>
      <c r="K3" s="151"/>
      <c r="L3" s="151"/>
      <c r="M3" s="151"/>
      <c r="N3" s="151"/>
      <c r="O3" s="151"/>
    </row>
    <row r="4" ht="15.75" customHeight="1">
      <c r="A4" s="326"/>
      <c r="B4" s="151"/>
      <c r="C4" s="141" t="s">
        <v>1433</v>
      </c>
      <c r="D4" s="156" t="s">
        <v>912</v>
      </c>
      <c r="E4" s="156" t="s">
        <v>728</v>
      </c>
      <c r="F4" s="151"/>
      <c r="G4" s="151"/>
      <c r="H4" s="151"/>
      <c r="I4" s="151"/>
      <c r="J4" s="156" t="s">
        <v>1434</v>
      </c>
      <c r="K4" s="151"/>
      <c r="L4" s="151"/>
      <c r="M4" s="151"/>
      <c r="N4" s="151"/>
      <c r="O4" s="151"/>
    </row>
    <row r="5" ht="15.75" customHeight="1">
      <c r="A5" s="370"/>
      <c r="B5" s="151"/>
      <c r="C5" s="294" t="s">
        <v>1481</v>
      </c>
      <c r="D5" s="162" t="s">
        <v>1326</v>
      </c>
      <c r="E5" s="162" t="s">
        <v>728</v>
      </c>
      <c r="F5" s="294"/>
      <c r="G5" s="244"/>
      <c r="H5" s="244"/>
      <c r="I5" s="244"/>
      <c r="J5" s="292" t="s">
        <v>1438</v>
      </c>
      <c r="K5" s="151"/>
      <c r="L5" s="151"/>
      <c r="M5" s="151"/>
      <c r="N5" s="151"/>
      <c r="O5" s="151"/>
    </row>
    <row r="6" ht="15.75" customHeight="1">
      <c r="A6" s="370"/>
      <c r="B6" s="151"/>
      <c r="C6" s="294" t="s">
        <v>1482</v>
      </c>
      <c r="D6" s="162" t="s">
        <v>689</v>
      </c>
      <c r="E6" s="162" t="s">
        <v>728</v>
      </c>
      <c r="F6" s="294"/>
      <c r="G6" s="244"/>
      <c r="H6" s="244"/>
      <c r="I6" s="244"/>
      <c r="J6" s="292" t="s">
        <v>1440</v>
      </c>
      <c r="K6" s="151"/>
      <c r="L6" s="151"/>
      <c r="M6" s="151"/>
      <c r="N6" s="151"/>
      <c r="O6" s="151"/>
    </row>
    <row r="7" ht="117.75" customHeight="1">
      <c r="B7" s="151"/>
      <c r="C7" s="138" t="s">
        <v>1441</v>
      </c>
      <c r="D7" s="156" t="s">
        <v>912</v>
      </c>
      <c r="E7" s="156" t="s">
        <v>728</v>
      </c>
      <c r="F7" s="138"/>
      <c r="G7" s="138"/>
      <c r="H7" s="138"/>
      <c r="I7" s="138"/>
      <c r="J7" s="141" t="s">
        <v>1483</v>
      </c>
      <c r="K7" s="138"/>
      <c r="L7" s="138"/>
      <c r="M7" s="138"/>
      <c r="N7" s="138"/>
      <c r="O7" s="138"/>
    </row>
    <row r="8" ht="15.75" customHeight="1">
      <c r="B8" s="151"/>
      <c r="C8" s="138" t="s">
        <v>649</v>
      </c>
      <c r="D8" s="156" t="s">
        <v>649</v>
      </c>
      <c r="E8" s="156" t="s">
        <v>728</v>
      </c>
      <c r="F8" s="138"/>
      <c r="G8" s="138"/>
      <c r="H8" s="138"/>
      <c r="I8" s="138"/>
      <c r="J8" s="138"/>
      <c r="K8" s="138"/>
      <c r="L8" s="138"/>
      <c r="M8" s="138"/>
      <c r="N8" s="138"/>
      <c r="O8" s="138"/>
    </row>
    <row r="9" ht="15.75" customHeight="1">
      <c r="B9" s="151"/>
      <c r="C9" s="138" t="s">
        <v>1484</v>
      </c>
      <c r="D9" s="156" t="s">
        <v>1485</v>
      </c>
      <c r="E9" s="156" t="s">
        <v>728</v>
      </c>
      <c r="F9" s="138"/>
      <c r="G9" s="138"/>
      <c r="H9" s="138"/>
      <c r="I9" s="138"/>
      <c r="J9" s="138"/>
      <c r="K9" s="138"/>
      <c r="L9" s="138"/>
      <c r="M9" s="138"/>
      <c r="N9" s="138"/>
      <c r="O9" s="138"/>
    </row>
    <row r="10" ht="15.75" customHeight="1">
      <c r="B10" s="151"/>
      <c r="C10" s="138" t="s">
        <v>1444</v>
      </c>
      <c r="D10" s="156" t="s">
        <v>1485</v>
      </c>
      <c r="E10" s="156" t="s">
        <v>728</v>
      </c>
      <c r="F10" s="138"/>
      <c r="G10" s="138"/>
      <c r="H10" s="138"/>
      <c r="I10" s="138"/>
      <c r="J10" s="138"/>
      <c r="K10" s="138"/>
      <c r="L10" s="138"/>
      <c r="M10" s="138"/>
      <c r="N10" s="138"/>
      <c r="O10" s="138"/>
    </row>
    <row r="11" ht="15.75" customHeight="1">
      <c r="B11" s="151"/>
      <c r="C11" s="141" t="s">
        <v>1446</v>
      </c>
      <c r="D11" s="151"/>
      <c r="E11" s="151"/>
      <c r="F11" s="138"/>
      <c r="G11" s="138"/>
      <c r="H11" s="138"/>
      <c r="I11" s="138"/>
      <c r="J11" s="138"/>
      <c r="K11" s="141" t="s">
        <v>1447</v>
      </c>
      <c r="L11" s="138"/>
      <c r="M11" s="138"/>
      <c r="N11" s="138"/>
      <c r="O11" s="138"/>
    </row>
    <row r="12" ht="64.5" customHeight="1">
      <c r="B12" s="156"/>
      <c r="C12" s="141" t="s">
        <v>1486</v>
      </c>
      <c r="D12" s="156" t="s">
        <v>851</v>
      </c>
      <c r="E12" s="156" t="s">
        <v>728</v>
      </c>
      <c r="F12" s="138"/>
      <c r="G12" s="138"/>
      <c r="H12" s="138"/>
      <c r="I12" s="138"/>
      <c r="J12" s="141" t="s">
        <v>1487</v>
      </c>
      <c r="K12" s="138"/>
      <c r="L12" s="138"/>
      <c r="M12" s="138"/>
      <c r="N12" s="138"/>
      <c r="O12" s="138"/>
    </row>
    <row r="13" ht="15.75" customHeight="1">
      <c r="B13" s="151"/>
      <c r="C13" s="141" t="s">
        <v>1488</v>
      </c>
      <c r="D13" s="156" t="s">
        <v>851</v>
      </c>
      <c r="E13" s="156" t="s">
        <v>728</v>
      </c>
      <c r="F13" s="138"/>
      <c r="G13" s="138"/>
      <c r="H13" s="138"/>
      <c r="I13" s="138"/>
      <c r="J13" s="40" t="s">
        <v>1489</v>
      </c>
      <c r="K13" s="138"/>
      <c r="L13" s="138"/>
      <c r="M13" s="138"/>
      <c r="N13" s="138"/>
      <c r="O13" s="138"/>
    </row>
    <row r="14" ht="15.75" customHeight="1">
      <c r="B14" s="156"/>
      <c r="C14" s="138" t="s">
        <v>1490</v>
      </c>
      <c r="D14" s="151" t="s">
        <v>646</v>
      </c>
      <c r="E14" s="156" t="s">
        <v>728</v>
      </c>
      <c r="F14" s="138"/>
      <c r="G14" s="138"/>
      <c r="H14" s="138"/>
      <c r="I14" s="138"/>
      <c r="J14" s="138"/>
      <c r="K14" s="138"/>
      <c r="L14" s="138"/>
      <c r="M14" s="138"/>
      <c r="N14" s="138"/>
      <c r="O14" s="138"/>
    </row>
    <row r="15" ht="15.75" customHeight="1">
      <c r="B15" s="151"/>
      <c r="C15" s="138" t="s">
        <v>1491</v>
      </c>
      <c r="D15" s="156" t="s">
        <v>851</v>
      </c>
      <c r="E15" s="156" t="s">
        <v>728</v>
      </c>
      <c r="F15" s="138"/>
      <c r="G15" s="138"/>
      <c r="H15" s="138"/>
      <c r="I15" s="138"/>
      <c r="J15" s="40" t="s">
        <v>1492</v>
      </c>
      <c r="K15" s="138"/>
      <c r="L15" s="138"/>
      <c r="M15" s="138"/>
      <c r="N15" s="138"/>
      <c r="O15" s="138"/>
    </row>
    <row r="16" ht="15.75" customHeight="1">
      <c r="A16" s="170"/>
      <c r="B16" s="171"/>
      <c r="C16" s="176" t="s">
        <v>1493</v>
      </c>
      <c r="D16" s="171" t="s">
        <v>851</v>
      </c>
      <c r="E16" s="171" t="s">
        <v>728</v>
      </c>
      <c r="F16" s="176"/>
      <c r="G16" s="176"/>
      <c r="H16" s="176"/>
      <c r="I16" s="176"/>
      <c r="J16" s="178" t="s">
        <v>1494</v>
      </c>
      <c r="K16" s="176"/>
      <c r="L16" s="176"/>
      <c r="M16" s="176"/>
      <c r="N16" s="176"/>
      <c r="O16" s="176"/>
      <c r="P16" s="170"/>
      <c r="Q16" s="170"/>
      <c r="R16" s="170"/>
      <c r="S16" s="170"/>
      <c r="T16" s="170"/>
      <c r="U16" s="170"/>
      <c r="V16" s="170"/>
      <c r="W16" s="170"/>
      <c r="X16" s="170"/>
      <c r="Y16" s="170"/>
      <c r="Z16" s="170"/>
      <c r="AA16" s="170"/>
    </row>
    <row r="17" ht="15.75" customHeight="1">
      <c r="A17" s="371"/>
      <c r="B17" s="372"/>
      <c r="C17" s="373" t="s">
        <v>1495</v>
      </c>
      <c r="D17" s="374"/>
      <c r="E17" s="374"/>
      <c r="F17" s="375"/>
      <c r="G17" s="375"/>
      <c r="H17" s="375"/>
      <c r="I17" s="375"/>
      <c r="J17" s="373"/>
      <c r="K17" s="376" t="s">
        <v>1496</v>
      </c>
      <c r="L17" s="377"/>
      <c r="M17" s="377"/>
      <c r="N17" s="377"/>
      <c r="O17" s="377"/>
      <c r="P17" s="371"/>
      <c r="Q17" s="371"/>
      <c r="R17" s="371"/>
      <c r="S17" s="371"/>
      <c r="T17" s="371"/>
      <c r="U17" s="371"/>
      <c r="V17" s="371"/>
      <c r="W17" s="371"/>
      <c r="X17" s="371"/>
      <c r="Y17" s="371"/>
      <c r="Z17" s="371"/>
      <c r="AA17" s="371"/>
    </row>
    <row r="18" ht="15.75" customHeight="1">
      <c r="B18" s="151"/>
      <c r="C18" s="378" t="s">
        <v>657</v>
      </c>
      <c r="D18" s="379" t="s">
        <v>912</v>
      </c>
      <c r="E18" s="379" t="s">
        <v>728</v>
      </c>
      <c r="F18" s="380"/>
      <c r="G18" s="380"/>
      <c r="H18" s="380"/>
      <c r="I18" s="380"/>
      <c r="J18" s="378" t="s">
        <v>1494</v>
      </c>
      <c r="K18" s="138"/>
      <c r="L18" s="138"/>
      <c r="M18" s="138"/>
      <c r="N18" s="138"/>
      <c r="O18" s="138"/>
    </row>
    <row r="19" ht="15.75" customHeight="1">
      <c r="B19" s="151"/>
      <c r="C19" s="378" t="s">
        <v>1482</v>
      </c>
      <c r="D19" s="379" t="s">
        <v>689</v>
      </c>
      <c r="E19" s="379" t="s">
        <v>728</v>
      </c>
      <c r="F19" s="380"/>
      <c r="G19" s="380"/>
      <c r="H19" s="380"/>
      <c r="I19" s="380"/>
      <c r="J19" s="378"/>
      <c r="K19" s="138"/>
      <c r="L19" s="138"/>
      <c r="M19" s="138"/>
      <c r="N19" s="138"/>
      <c r="O19" s="138"/>
    </row>
    <row r="20" ht="15.75" customHeight="1">
      <c r="A20" s="371"/>
      <c r="B20" s="372"/>
      <c r="C20" s="376" t="s">
        <v>1497</v>
      </c>
      <c r="D20" s="381"/>
      <c r="E20" s="372"/>
      <c r="F20" s="377"/>
      <c r="G20" s="377"/>
      <c r="H20" s="377"/>
      <c r="I20" s="377"/>
      <c r="J20" s="376"/>
      <c r="K20" s="377"/>
      <c r="L20" s="377"/>
      <c r="M20" s="377"/>
      <c r="N20" s="377"/>
      <c r="O20" s="377"/>
      <c r="P20" s="371"/>
      <c r="Q20" s="371"/>
      <c r="R20" s="371"/>
      <c r="S20" s="371"/>
      <c r="T20" s="371"/>
      <c r="U20" s="371"/>
      <c r="V20" s="371"/>
      <c r="W20" s="371"/>
      <c r="X20" s="371"/>
      <c r="Y20" s="371"/>
      <c r="Z20" s="371"/>
      <c r="AA20" s="371"/>
    </row>
    <row r="21" ht="15.75" customHeight="1">
      <c r="B21" s="156"/>
      <c r="C21" s="141" t="s">
        <v>1364</v>
      </c>
      <c r="D21" s="156" t="s">
        <v>912</v>
      </c>
      <c r="E21" s="156" t="s">
        <v>728</v>
      </c>
      <c r="F21" s="138"/>
      <c r="G21" s="138"/>
      <c r="H21" s="138"/>
      <c r="I21" s="138"/>
      <c r="J21" s="141" t="s">
        <v>673</v>
      </c>
      <c r="K21" s="138"/>
      <c r="L21" s="138"/>
      <c r="M21" s="138"/>
      <c r="N21" s="138"/>
      <c r="O21" s="138"/>
    </row>
    <row r="22" ht="15.75" customHeight="1">
      <c r="B22" s="156"/>
      <c r="C22" s="138" t="s">
        <v>1498</v>
      </c>
      <c r="D22" s="156" t="s">
        <v>1367</v>
      </c>
      <c r="E22" s="156" t="s">
        <v>728</v>
      </c>
      <c r="F22" s="141" t="s">
        <v>1499</v>
      </c>
      <c r="G22" s="138"/>
      <c r="H22" s="138"/>
      <c r="I22" s="138"/>
      <c r="J22" s="138"/>
      <c r="K22" s="138"/>
      <c r="L22" s="138"/>
      <c r="M22" s="138"/>
      <c r="N22" s="138"/>
      <c r="O22" s="13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dataValidations>
    <dataValidation type="list" allowBlank="1" showErrorMessage="1" sqref="D5:D6">
      <formula1>"Text,Numeric,Image,Single Select,Multi select,File,Date,Time,Subject"</formula1>
    </dataValidation>
    <dataValidation type="list" allowBlank="1" showErrorMessage="1" sqref="E2:E22">
      <formula1>"yes,no"</formula1>
    </dataValidation>
    <dataValidation type="list" allowBlank="1" showErrorMessage="1" sqref="D2:D4 D7:D22">
      <formula1>"Text,Numeric,Image,Single Select,Multi select,File,Date,time,Autocapture"</formula1>
    </dataValidation>
  </dataValidations>
  <printOptions/>
  <pageMargins bottom="0.75" footer="0.0" header="0.0" left="0.7" right="0.7" top="0.75"/>
  <pageSetup orientation="landscape"/>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sheetPr>
  <sheetViews>
    <sheetView workbookViewId="0"/>
  </sheetViews>
  <sheetFormatPr customHeight="1" defaultColWidth="12.63" defaultRowHeight="15.0"/>
  <cols>
    <col customWidth="1" min="1" max="2" width="12.63"/>
    <col customWidth="1" min="3" max="3" width="42.25"/>
    <col customWidth="1" min="4" max="6" width="12.63"/>
  </cols>
  <sheetData>
    <row r="1" ht="15.75" customHeight="1">
      <c r="A1" s="147" t="s">
        <v>631</v>
      </c>
      <c r="B1" s="147" t="s">
        <v>632</v>
      </c>
      <c r="C1" s="147" t="s">
        <v>633</v>
      </c>
      <c r="D1" s="147" t="s">
        <v>634</v>
      </c>
      <c r="E1" s="147" t="s">
        <v>824</v>
      </c>
      <c r="F1" s="147" t="s">
        <v>637</v>
      </c>
      <c r="G1" s="147" t="s">
        <v>638</v>
      </c>
      <c r="H1" s="147" t="s">
        <v>639</v>
      </c>
      <c r="I1" s="147" t="s">
        <v>640</v>
      </c>
      <c r="J1" s="147" t="s">
        <v>641</v>
      </c>
      <c r="K1" s="147" t="s">
        <v>642</v>
      </c>
      <c r="L1" s="147" t="s">
        <v>722</v>
      </c>
      <c r="M1" s="184" t="s">
        <v>723</v>
      </c>
      <c r="N1" s="184" t="s">
        <v>724</v>
      </c>
      <c r="O1" s="184" t="s">
        <v>725</v>
      </c>
      <c r="P1" s="149"/>
      <c r="Q1" s="149"/>
      <c r="R1" s="149"/>
      <c r="S1" s="149"/>
      <c r="T1" s="149"/>
      <c r="U1" s="149"/>
      <c r="V1" s="149"/>
      <c r="W1" s="149"/>
      <c r="X1" s="149"/>
      <c r="Y1" s="149"/>
      <c r="Z1" s="149"/>
      <c r="AA1" s="149"/>
    </row>
    <row r="2">
      <c r="A2" s="327"/>
      <c r="B2" s="382" t="s">
        <v>1093</v>
      </c>
      <c r="C2" s="327" t="s">
        <v>1500</v>
      </c>
      <c r="D2" s="156" t="s">
        <v>912</v>
      </c>
      <c r="E2" s="156" t="s">
        <v>728</v>
      </c>
      <c r="F2" s="151"/>
      <c r="G2" s="151"/>
      <c r="H2" s="151"/>
      <c r="I2" s="151"/>
      <c r="J2" s="156" t="s">
        <v>1434</v>
      </c>
      <c r="K2" s="151"/>
      <c r="L2" s="151"/>
      <c r="M2" s="151"/>
      <c r="N2" s="151"/>
      <c r="O2" s="151"/>
    </row>
    <row r="3" ht="15.75" customHeight="1">
      <c r="B3" s="26"/>
      <c r="C3" s="141" t="s">
        <v>1435</v>
      </c>
      <c r="D3" s="156" t="s">
        <v>646</v>
      </c>
      <c r="E3" s="156" t="s">
        <v>728</v>
      </c>
      <c r="F3" s="141" t="s">
        <v>1436</v>
      </c>
      <c r="G3" s="138"/>
      <c r="H3" s="138"/>
      <c r="I3" s="138"/>
      <c r="J3" s="208"/>
      <c r="K3" s="138"/>
      <c r="L3" s="138"/>
      <c r="M3" s="138"/>
      <c r="N3" s="138"/>
      <c r="O3" s="138"/>
    </row>
    <row r="4" ht="20.25" customHeight="1">
      <c r="A4" s="327"/>
      <c r="B4" s="26"/>
      <c r="C4" s="141" t="s">
        <v>1501</v>
      </c>
      <c r="D4" s="156" t="s">
        <v>646</v>
      </c>
      <c r="E4" s="156" t="s">
        <v>728</v>
      </c>
      <c r="F4" s="151"/>
      <c r="G4" s="151"/>
      <c r="H4" s="151"/>
      <c r="I4" s="151"/>
      <c r="J4" s="151"/>
      <c r="K4" s="151"/>
      <c r="L4" s="151"/>
      <c r="M4" s="151"/>
      <c r="N4" s="151"/>
      <c r="O4" s="151"/>
    </row>
    <row r="5" ht="19.5" customHeight="1">
      <c r="A5" s="327"/>
      <c r="B5" s="26"/>
      <c r="C5" s="327" t="s">
        <v>1502</v>
      </c>
      <c r="D5" s="156" t="s">
        <v>1367</v>
      </c>
      <c r="E5" s="156" t="s">
        <v>728</v>
      </c>
      <c r="F5" s="151"/>
      <c r="G5" s="151"/>
      <c r="H5" s="151"/>
      <c r="I5" s="151"/>
      <c r="J5" s="151"/>
      <c r="K5" s="151"/>
      <c r="L5" s="151"/>
      <c r="M5" s="151"/>
      <c r="N5" s="151"/>
      <c r="O5" s="151"/>
    </row>
    <row r="6" ht="15.75" customHeight="1">
      <c r="B6" s="26"/>
      <c r="C6" s="138" t="s">
        <v>1503</v>
      </c>
      <c r="D6" s="156" t="s">
        <v>1367</v>
      </c>
      <c r="E6" s="156" t="s">
        <v>728</v>
      </c>
      <c r="F6" s="138"/>
      <c r="G6" s="138"/>
      <c r="H6" s="138"/>
      <c r="I6" s="138"/>
      <c r="J6" s="138"/>
      <c r="K6" s="138"/>
      <c r="L6" s="138"/>
      <c r="M6" s="138"/>
      <c r="N6" s="138"/>
      <c r="O6" s="138"/>
    </row>
    <row r="7" ht="15.75" customHeight="1">
      <c r="B7" s="26"/>
      <c r="C7" s="138" t="s">
        <v>1504</v>
      </c>
      <c r="D7" s="156" t="s">
        <v>1367</v>
      </c>
      <c r="E7" s="156" t="s">
        <v>728</v>
      </c>
      <c r="F7" s="141"/>
      <c r="G7" s="138"/>
      <c r="H7" s="138"/>
      <c r="I7" s="138"/>
      <c r="J7" s="138"/>
      <c r="K7" s="138"/>
      <c r="L7" s="138"/>
      <c r="M7" s="138"/>
      <c r="N7" s="138"/>
      <c r="O7" s="138"/>
    </row>
    <row r="8" ht="15.75" customHeight="1">
      <c r="B8" s="26"/>
      <c r="C8" s="138" t="s">
        <v>1505</v>
      </c>
      <c r="D8" s="156" t="s">
        <v>1367</v>
      </c>
      <c r="E8" s="156" t="s">
        <v>728</v>
      </c>
      <c r="F8" s="141"/>
      <c r="G8" s="138"/>
      <c r="H8" s="138"/>
      <c r="I8" s="138"/>
      <c r="J8" s="138"/>
      <c r="K8" s="138"/>
      <c r="L8" s="138"/>
      <c r="M8" s="138"/>
      <c r="N8" s="138"/>
      <c r="O8" s="138"/>
    </row>
    <row r="9" ht="15.75" customHeight="1">
      <c r="B9" s="26"/>
      <c r="C9" s="141" t="s">
        <v>1506</v>
      </c>
      <c r="D9" s="156" t="s">
        <v>1367</v>
      </c>
      <c r="E9" s="156" t="s">
        <v>728</v>
      </c>
      <c r="F9" s="138"/>
      <c r="G9" s="138"/>
      <c r="H9" s="138"/>
      <c r="I9" s="138"/>
      <c r="J9" s="138"/>
      <c r="K9" s="138"/>
      <c r="L9" s="138"/>
      <c r="M9" s="138"/>
      <c r="N9" s="138"/>
      <c r="O9" s="138"/>
    </row>
    <row r="10" ht="15.75" customHeight="1">
      <c r="B10" s="26"/>
      <c r="C10" s="141" t="s">
        <v>1507</v>
      </c>
      <c r="D10" s="156" t="s">
        <v>1367</v>
      </c>
      <c r="E10" s="156" t="s">
        <v>728</v>
      </c>
      <c r="F10" s="138"/>
      <c r="G10" s="138"/>
      <c r="H10" s="138"/>
      <c r="I10" s="138"/>
      <c r="J10" s="138"/>
      <c r="K10" s="138"/>
      <c r="L10" s="138"/>
      <c r="M10" s="138"/>
      <c r="N10" s="138"/>
      <c r="O10" s="138"/>
    </row>
    <row r="11" ht="15.75" customHeight="1">
      <c r="B11" s="26"/>
      <c r="C11" s="141" t="s">
        <v>1508</v>
      </c>
      <c r="D11" s="156" t="s">
        <v>1367</v>
      </c>
      <c r="E11" s="156" t="s">
        <v>728</v>
      </c>
      <c r="F11" s="138"/>
      <c r="G11" s="138"/>
      <c r="H11" s="138"/>
      <c r="I11" s="138"/>
      <c r="J11" s="138"/>
      <c r="K11" s="138"/>
      <c r="L11" s="138"/>
      <c r="M11" s="138"/>
      <c r="N11" s="138"/>
      <c r="O11" s="138"/>
    </row>
    <row r="12" ht="15.75" customHeight="1">
      <c r="B12" s="26"/>
      <c r="C12" s="141" t="s">
        <v>1509</v>
      </c>
      <c r="D12" s="156" t="s">
        <v>1367</v>
      </c>
      <c r="E12" s="156" t="s">
        <v>728</v>
      </c>
      <c r="F12" s="138"/>
      <c r="G12" s="138"/>
      <c r="H12" s="138"/>
      <c r="I12" s="138"/>
      <c r="J12" s="138"/>
      <c r="K12" s="138"/>
      <c r="L12" s="138"/>
      <c r="M12" s="138"/>
      <c r="N12" s="138"/>
      <c r="O12" s="138"/>
    </row>
    <row r="13" ht="15.75" customHeight="1">
      <c r="B13" s="26"/>
      <c r="C13" s="141" t="s">
        <v>1510</v>
      </c>
      <c r="D13" s="156" t="s">
        <v>1367</v>
      </c>
      <c r="E13" s="156" t="s">
        <v>728</v>
      </c>
      <c r="F13" s="138"/>
      <c r="G13" s="138"/>
      <c r="H13" s="138"/>
      <c r="I13" s="138"/>
      <c r="J13" s="138"/>
      <c r="K13" s="138"/>
      <c r="L13" s="138"/>
      <c r="M13" s="138"/>
      <c r="N13" s="138"/>
      <c r="O13" s="138"/>
    </row>
    <row r="14" ht="15.75" customHeight="1">
      <c r="B14" s="26"/>
      <c r="C14" s="141" t="s">
        <v>1511</v>
      </c>
      <c r="D14" s="156" t="s">
        <v>1367</v>
      </c>
      <c r="E14" s="156" t="s">
        <v>728</v>
      </c>
      <c r="F14" s="138"/>
      <c r="G14" s="138"/>
      <c r="H14" s="138"/>
      <c r="I14" s="138"/>
      <c r="J14" s="138"/>
      <c r="K14" s="138"/>
      <c r="L14" s="138"/>
      <c r="M14" s="138"/>
      <c r="N14" s="138"/>
      <c r="O14" s="138"/>
    </row>
    <row r="15" ht="15.75" customHeight="1">
      <c r="B15" s="26"/>
      <c r="C15" s="141" t="s">
        <v>1512</v>
      </c>
      <c r="D15" s="156" t="s">
        <v>1367</v>
      </c>
      <c r="E15" s="156" t="s">
        <v>728</v>
      </c>
      <c r="F15" s="138"/>
      <c r="G15" s="138"/>
      <c r="H15" s="138"/>
      <c r="I15" s="138"/>
      <c r="J15" s="138"/>
      <c r="K15" s="138"/>
      <c r="L15" s="138"/>
      <c r="M15" s="138"/>
      <c r="N15" s="138"/>
      <c r="O15" s="138"/>
    </row>
    <row r="16" ht="15.75" customHeight="1">
      <c r="B16" s="27"/>
      <c r="C16" s="294" t="s">
        <v>1513</v>
      </c>
      <c r="D16" s="162" t="s">
        <v>689</v>
      </c>
      <c r="E16" s="162" t="s">
        <v>728</v>
      </c>
      <c r="F16" s="244"/>
      <c r="G16" s="244"/>
      <c r="H16" s="244"/>
      <c r="I16" s="244"/>
      <c r="J16" s="244"/>
      <c r="K16" s="294" t="s">
        <v>1514</v>
      </c>
      <c r="L16" s="244"/>
      <c r="M16" s="138"/>
      <c r="N16" s="138"/>
      <c r="O16" s="138"/>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
    <mergeCell ref="B2:B16"/>
  </mergeCells>
  <dataValidations>
    <dataValidation type="list" allowBlank="1" showErrorMessage="1" sqref="D2 D4:D16">
      <formula1>"Text,Numeric,Image,Single Select,Multi select,File"</formula1>
    </dataValidation>
    <dataValidation type="list" allowBlank="1" showErrorMessage="1" sqref="D3">
      <formula1>"Text,Numeric,Image,Single Select,Multi select,File,Date,Time"</formula1>
    </dataValidation>
    <dataValidation type="list" allowBlank="1" showErrorMessage="1" sqref="E2:E16">
      <formula1>"yes,no"</formula1>
    </dataValidation>
  </dataValidations>
  <printOptions/>
  <pageMargins bottom="0.75" footer="0.0" header="0.0" left="0.7" right="0.7" top="0.75"/>
  <pageSetup orientation="landscape"/>
  <drawing r:id="rId4"/>
  <legacyDrawing r:id="rId5"/>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pageSetUpPr/>
  </sheetPr>
  <sheetViews>
    <sheetView workbookViewId="0"/>
  </sheetViews>
  <sheetFormatPr customHeight="1" defaultColWidth="12.63" defaultRowHeight="15.0"/>
  <cols>
    <col customWidth="1" min="1" max="1" width="12.63"/>
    <col customWidth="1" min="2" max="2" width="20.63"/>
    <col customWidth="1" min="3" max="3" width="41.75"/>
    <col customWidth="1" min="4" max="6" width="12.63"/>
    <col customWidth="1" min="10" max="10" width="40.25"/>
  </cols>
  <sheetData>
    <row r="1" ht="15.75" customHeight="1">
      <c r="A1" s="7" t="s">
        <v>916</v>
      </c>
      <c r="B1" s="147" t="s">
        <v>632</v>
      </c>
      <c r="C1" s="147" t="s">
        <v>633</v>
      </c>
      <c r="D1" s="147" t="s">
        <v>634</v>
      </c>
      <c r="E1" s="147" t="s">
        <v>824</v>
      </c>
      <c r="F1" s="147" t="s">
        <v>637</v>
      </c>
      <c r="G1" s="147" t="s">
        <v>638</v>
      </c>
      <c r="H1" s="147" t="s">
        <v>639</v>
      </c>
      <c r="I1" s="147" t="s">
        <v>640</v>
      </c>
      <c r="J1" s="147" t="s">
        <v>641</v>
      </c>
      <c r="K1" s="147" t="s">
        <v>642</v>
      </c>
      <c r="L1" s="147" t="s">
        <v>722</v>
      </c>
      <c r="M1" s="184" t="s">
        <v>723</v>
      </c>
      <c r="N1" s="184" t="s">
        <v>724</v>
      </c>
      <c r="O1" s="184" t="s">
        <v>725</v>
      </c>
      <c r="P1" s="149"/>
      <c r="Q1" s="149"/>
      <c r="R1" s="149"/>
      <c r="S1" s="149"/>
      <c r="T1" s="149"/>
      <c r="U1" s="149"/>
      <c r="V1" s="149"/>
      <c r="W1" s="149"/>
      <c r="X1" s="149"/>
      <c r="Y1" s="149"/>
      <c r="Z1" s="149"/>
      <c r="AA1" s="149"/>
    </row>
    <row r="2">
      <c r="A2" s="341" t="s">
        <v>644</v>
      </c>
      <c r="B2" s="187"/>
      <c r="C2" s="200" t="s">
        <v>1515</v>
      </c>
      <c r="D2" s="192" t="s">
        <v>713</v>
      </c>
      <c r="E2" s="192"/>
      <c r="F2" s="187"/>
      <c r="G2" s="187"/>
      <c r="H2" s="187"/>
      <c r="I2" s="187"/>
      <c r="J2" s="192"/>
      <c r="K2" s="187"/>
      <c r="L2" s="187"/>
      <c r="M2" s="187"/>
      <c r="N2" s="187"/>
      <c r="O2" s="187"/>
      <c r="P2" s="18"/>
      <c r="Q2" s="18"/>
      <c r="R2" s="18"/>
      <c r="S2" s="18"/>
      <c r="T2" s="18"/>
      <c r="U2" s="18"/>
      <c r="V2" s="18"/>
      <c r="W2" s="18"/>
      <c r="X2" s="18"/>
      <c r="Y2" s="18"/>
      <c r="Z2" s="18"/>
      <c r="AA2" s="18"/>
    </row>
    <row r="3">
      <c r="A3" s="341" t="s">
        <v>644</v>
      </c>
      <c r="B3" s="187"/>
      <c r="C3" s="192" t="s">
        <v>1432</v>
      </c>
      <c r="D3" s="192" t="s">
        <v>912</v>
      </c>
      <c r="E3" s="192"/>
      <c r="F3" s="187"/>
      <c r="G3" s="187"/>
      <c r="H3" s="187"/>
      <c r="I3" s="187"/>
      <c r="J3" s="192"/>
      <c r="K3" s="187"/>
      <c r="L3" s="187"/>
      <c r="M3" s="187"/>
      <c r="N3" s="187"/>
      <c r="O3" s="187"/>
      <c r="P3" s="18"/>
      <c r="Q3" s="18"/>
      <c r="R3" s="18"/>
      <c r="S3" s="18"/>
      <c r="T3" s="18"/>
      <c r="U3" s="18"/>
      <c r="V3" s="18"/>
      <c r="W3" s="18"/>
      <c r="X3" s="18"/>
      <c r="Y3" s="18"/>
      <c r="Z3" s="18"/>
      <c r="AA3" s="18"/>
    </row>
    <row r="4">
      <c r="A4" s="327"/>
      <c r="B4" s="151"/>
      <c r="C4" s="141" t="s">
        <v>1516</v>
      </c>
      <c r="D4" s="156" t="s">
        <v>646</v>
      </c>
      <c r="E4" s="156" t="s">
        <v>728</v>
      </c>
      <c r="F4" s="151"/>
      <c r="G4" s="151"/>
      <c r="H4" s="151"/>
      <c r="I4" s="151"/>
      <c r="J4" s="156" t="s">
        <v>1434</v>
      </c>
      <c r="K4" s="151"/>
      <c r="L4" s="151"/>
      <c r="M4" s="151"/>
      <c r="N4" s="151"/>
      <c r="O4" s="151"/>
    </row>
    <row r="5" ht="21.0" customHeight="1">
      <c r="A5" s="326"/>
      <c r="B5" s="151"/>
      <c r="C5" s="141" t="s">
        <v>1517</v>
      </c>
      <c r="D5" s="151" t="s">
        <v>646</v>
      </c>
      <c r="E5" s="156" t="s">
        <v>728</v>
      </c>
      <c r="F5" s="156" t="s">
        <v>1518</v>
      </c>
      <c r="G5" s="151"/>
      <c r="H5" s="151"/>
      <c r="I5" s="151"/>
      <c r="J5" s="151"/>
      <c r="K5" s="151"/>
      <c r="L5" s="151"/>
      <c r="M5" s="151"/>
      <c r="N5" s="151"/>
      <c r="O5" s="151"/>
    </row>
    <row r="6" ht="21.0" customHeight="1">
      <c r="A6" s="370"/>
      <c r="B6" s="151"/>
      <c r="C6" s="294" t="s">
        <v>1481</v>
      </c>
      <c r="D6" s="162" t="s">
        <v>1326</v>
      </c>
      <c r="E6" s="162" t="s">
        <v>728</v>
      </c>
      <c r="F6" s="294"/>
      <c r="G6" s="244"/>
      <c r="H6" s="244"/>
      <c r="I6" s="244"/>
      <c r="J6" s="292" t="s">
        <v>1438</v>
      </c>
      <c r="K6" s="151"/>
      <c r="L6" s="151"/>
      <c r="M6" s="151"/>
      <c r="N6" s="151"/>
      <c r="O6" s="151"/>
    </row>
    <row r="7" ht="21.0" customHeight="1">
      <c r="A7" s="370"/>
      <c r="B7" s="151"/>
      <c r="C7" s="294" t="s">
        <v>1482</v>
      </c>
      <c r="D7" s="162" t="s">
        <v>689</v>
      </c>
      <c r="E7" s="162" t="s">
        <v>728</v>
      </c>
      <c r="F7" s="294"/>
      <c r="G7" s="244"/>
      <c r="H7" s="244"/>
      <c r="I7" s="244"/>
      <c r="J7" s="292" t="s">
        <v>1440</v>
      </c>
      <c r="K7" s="151"/>
      <c r="L7" s="151"/>
      <c r="M7" s="151"/>
      <c r="N7" s="151"/>
      <c r="O7" s="151"/>
    </row>
    <row r="8" ht="111.0" customHeight="1">
      <c r="B8" s="138"/>
      <c r="C8" s="141" t="s">
        <v>1519</v>
      </c>
      <c r="D8" s="151" t="s">
        <v>646</v>
      </c>
      <c r="E8" s="156" t="s">
        <v>728</v>
      </c>
      <c r="F8" s="138"/>
      <c r="G8" s="138"/>
      <c r="H8" s="138"/>
      <c r="I8" s="138"/>
      <c r="J8" s="141" t="s">
        <v>1520</v>
      </c>
      <c r="K8" s="138"/>
      <c r="L8" s="138"/>
      <c r="M8" s="138"/>
      <c r="N8" s="138"/>
      <c r="O8" s="138"/>
    </row>
    <row r="9" ht="15.75" customHeight="1">
      <c r="B9" s="138"/>
      <c r="C9" s="141" t="s">
        <v>1521</v>
      </c>
      <c r="D9" s="156" t="s">
        <v>646</v>
      </c>
      <c r="E9" s="156" t="s">
        <v>728</v>
      </c>
      <c r="F9" s="141" t="s">
        <v>1522</v>
      </c>
      <c r="G9" s="138"/>
      <c r="H9" s="138"/>
      <c r="I9" s="138"/>
      <c r="J9" s="138"/>
      <c r="K9" s="138"/>
      <c r="L9" s="138"/>
      <c r="M9" s="138"/>
      <c r="N9" s="138"/>
      <c r="O9" s="138"/>
    </row>
    <row r="10" ht="15.75" customHeight="1">
      <c r="B10" s="138"/>
      <c r="C10" s="141" t="s">
        <v>1484</v>
      </c>
      <c r="D10" s="156" t="s">
        <v>1485</v>
      </c>
      <c r="E10" s="156" t="s">
        <v>728</v>
      </c>
      <c r="F10" s="138"/>
      <c r="G10" s="138"/>
      <c r="H10" s="138"/>
      <c r="I10" s="138"/>
      <c r="J10" s="138"/>
      <c r="K10" s="138"/>
      <c r="L10" s="138"/>
      <c r="M10" s="138"/>
      <c r="N10" s="138"/>
      <c r="O10" s="138"/>
    </row>
    <row r="11" ht="15.75" customHeight="1">
      <c r="B11" s="138"/>
      <c r="C11" s="141" t="s">
        <v>1444</v>
      </c>
      <c r="D11" s="156" t="s">
        <v>1485</v>
      </c>
      <c r="E11" s="156" t="s">
        <v>728</v>
      </c>
      <c r="F11" s="138"/>
      <c r="G11" s="138"/>
      <c r="H11" s="138"/>
      <c r="I11" s="138"/>
      <c r="J11" s="138"/>
      <c r="K11" s="141" t="s">
        <v>1523</v>
      </c>
      <c r="L11" s="138"/>
      <c r="M11" s="138"/>
      <c r="N11" s="138"/>
      <c r="O11" s="138"/>
    </row>
    <row r="12" ht="15.75" customHeight="1">
      <c r="B12" s="138"/>
      <c r="C12" s="141" t="s">
        <v>1446</v>
      </c>
      <c r="D12" s="156" t="s">
        <v>1524</v>
      </c>
      <c r="E12" s="151"/>
      <c r="F12" s="138"/>
      <c r="G12" s="138"/>
      <c r="H12" s="138"/>
      <c r="I12" s="138"/>
      <c r="J12" s="138"/>
      <c r="K12" s="141" t="s">
        <v>1447</v>
      </c>
      <c r="L12" s="138"/>
      <c r="M12" s="138"/>
      <c r="N12" s="138"/>
      <c r="O12" s="138"/>
    </row>
    <row r="13" ht="15.75" customHeight="1">
      <c r="B13" s="138"/>
      <c r="C13" s="141" t="s">
        <v>1525</v>
      </c>
      <c r="D13" s="156" t="s">
        <v>646</v>
      </c>
      <c r="E13" s="156" t="s">
        <v>728</v>
      </c>
      <c r="F13" s="138"/>
      <c r="G13" s="138"/>
      <c r="H13" s="138"/>
      <c r="I13" s="138"/>
      <c r="J13" s="141"/>
      <c r="K13" s="138"/>
      <c r="L13" s="138"/>
      <c r="M13" s="138"/>
      <c r="N13" s="138"/>
      <c r="O13" s="138"/>
    </row>
    <row r="14" ht="15.75" customHeight="1">
      <c r="B14" s="138"/>
      <c r="C14" s="141" t="s">
        <v>1491</v>
      </c>
      <c r="D14" s="156" t="s">
        <v>646</v>
      </c>
      <c r="E14" s="156" t="s">
        <v>728</v>
      </c>
      <c r="F14" s="138"/>
      <c r="G14" s="138"/>
      <c r="H14" s="138"/>
      <c r="I14" s="138"/>
      <c r="J14" s="141"/>
      <c r="K14" s="138"/>
      <c r="L14" s="138"/>
      <c r="M14" s="138"/>
      <c r="N14" s="138"/>
      <c r="O14" s="138"/>
    </row>
    <row r="15" ht="81.75" customHeight="1">
      <c r="B15" s="138"/>
      <c r="C15" s="141" t="s">
        <v>1526</v>
      </c>
      <c r="D15" s="156" t="s">
        <v>912</v>
      </c>
      <c r="E15" s="156" t="s">
        <v>728</v>
      </c>
      <c r="F15" s="138"/>
      <c r="G15" s="138"/>
      <c r="H15" s="138"/>
      <c r="I15" s="138"/>
      <c r="J15" s="141" t="s">
        <v>1527</v>
      </c>
      <c r="K15" s="138"/>
      <c r="L15" s="138"/>
      <c r="M15" s="138"/>
      <c r="N15" s="138"/>
      <c r="O15" s="138"/>
    </row>
    <row r="16" ht="15.75" customHeight="1">
      <c r="B16" s="138"/>
      <c r="C16" s="141" t="s">
        <v>1528</v>
      </c>
      <c r="D16" s="156" t="s">
        <v>646</v>
      </c>
      <c r="E16" s="156" t="s">
        <v>728</v>
      </c>
      <c r="F16" s="141" t="s">
        <v>1529</v>
      </c>
      <c r="G16" s="138"/>
      <c r="H16" s="138"/>
      <c r="I16" s="138"/>
      <c r="J16" s="141"/>
      <c r="K16" s="138"/>
      <c r="L16" s="138"/>
      <c r="M16" s="138"/>
      <c r="N16" s="138"/>
      <c r="O16" s="138"/>
    </row>
    <row r="17" ht="15.75" customHeight="1">
      <c r="B17" s="138"/>
      <c r="C17" s="141" t="s">
        <v>1530</v>
      </c>
      <c r="D17" s="151" t="s">
        <v>646</v>
      </c>
      <c r="E17" s="156" t="s">
        <v>728</v>
      </c>
      <c r="F17" s="138"/>
      <c r="G17" s="138"/>
      <c r="H17" s="138"/>
      <c r="I17" s="138"/>
      <c r="J17" s="141"/>
      <c r="K17" s="138"/>
      <c r="L17" s="138"/>
      <c r="M17" s="138"/>
      <c r="N17" s="138"/>
      <c r="O17" s="138"/>
    </row>
    <row r="18" ht="167.25" customHeight="1">
      <c r="B18" s="141" t="s">
        <v>1531</v>
      </c>
      <c r="C18" s="380" t="s">
        <v>1532</v>
      </c>
      <c r="D18" s="379" t="s">
        <v>851</v>
      </c>
      <c r="E18" s="379" t="s">
        <v>728</v>
      </c>
      <c r="F18" s="380"/>
      <c r="G18" s="380"/>
      <c r="H18" s="380"/>
      <c r="I18" s="380"/>
      <c r="J18" s="378" t="s">
        <v>1533</v>
      </c>
      <c r="K18" s="380"/>
      <c r="L18" s="138"/>
      <c r="M18" s="138"/>
      <c r="N18" s="138"/>
      <c r="O18" s="138"/>
    </row>
    <row r="19" ht="15.75" customHeight="1">
      <c r="A19" s="371"/>
      <c r="B19" s="372"/>
      <c r="C19" s="378" t="s">
        <v>1534</v>
      </c>
      <c r="D19" s="379" t="s">
        <v>646</v>
      </c>
      <c r="E19" s="379" t="s">
        <v>728</v>
      </c>
      <c r="F19" s="378" t="s">
        <v>1535</v>
      </c>
      <c r="G19" s="375"/>
      <c r="H19" s="375"/>
      <c r="I19" s="375"/>
      <c r="J19" s="373"/>
      <c r="K19" s="375"/>
      <c r="L19" s="377"/>
      <c r="M19" s="377"/>
      <c r="N19" s="377"/>
      <c r="O19" s="377"/>
      <c r="P19" s="371"/>
      <c r="Q19" s="371"/>
      <c r="R19" s="371"/>
      <c r="S19" s="371"/>
      <c r="T19" s="371"/>
      <c r="U19" s="371"/>
      <c r="V19" s="371"/>
      <c r="W19" s="371"/>
      <c r="X19" s="371"/>
      <c r="Y19" s="371"/>
      <c r="Z19" s="371"/>
      <c r="AA19" s="371"/>
    </row>
    <row r="20" ht="15.75" customHeight="1">
      <c r="B20" s="197" t="s">
        <v>1536</v>
      </c>
      <c r="C20" s="378" t="s">
        <v>1482</v>
      </c>
      <c r="D20" s="379" t="s">
        <v>689</v>
      </c>
      <c r="E20" s="379" t="s">
        <v>728</v>
      </c>
      <c r="F20" s="380"/>
      <c r="G20" s="380"/>
      <c r="H20" s="380"/>
      <c r="I20" s="380"/>
      <c r="J20" s="378"/>
      <c r="K20" s="378" t="s">
        <v>1537</v>
      </c>
      <c r="L20" s="138"/>
      <c r="M20" s="138"/>
      <c r="N20" s="138"/>
      <c r="O20" s="138"/>
    </row>
    <row r="21" ht="15.75" customHeight="1">
      <c r="A21" s="18"/>
      <c r="B21" s="187"/>
      <c r="C21" s="192" t="s">
        <v>1364</v>
      </c>
      <c r="D21" s="192" t="s">
        <v>912</v>
      </c>
      <c r="E21" s="187" t="s">
        <v>728</v>
      </c>
      <c r="F21" s="44"/>
      <c r="G21" s="44"/>
      <c r="H21" s="44"/>
      <c r="I21" s="44"/>
      <c r="J21" s="192" t="s">
        <v>673</v>
      </c>
      <c r="K21" s="44"/>
      <c r="L21" s="44"/>
      <c r="M21" s="44"/>
      <c r="N21" s="44"/>
      <c r="O21" s="44"/>
      <c r="P21" s="18"/>
      <c r="Q21" s="18"/>
      <c r="R21" s="18"/>
      <c r="S21" s="18"/>
      <c r="T21" s="18"/>
      <c r="U21" s="18"/>
      <c r="V21" s="18"/>
      <c r="W21" s="18"/>
      <c r="X21" s="18"/>
      <c r="Y21" s="18"/>
      <c r="Z21" s="18"/>
      <c r="AA21" s="18"/>
    </row>
    <row r="22" ht="25.5" customHeight="1">
      <c r="A22" s="18"/>
      <c r="B22" s="44"/>
      <c r="C22" s="323" t="s">
        <v>1538</v>
      </c>
      <c r="D22" s="323" t="s">
        <v>1539</v>
      </c>
      <c r="E22" s="190" t="s">
        <v>728</v>
      </c>
      <c r="F22" s="323" t="s">
        <v>1540</v>
      </c>
      <c r="G22" s="44"/>
      <c r="H22" s="44"/>
      <c r="I22" s="44"/>
      <c r="J22" s="192"/>
      <c r="K22" s="44"/>
      <c r="L22" s="44"/>
      <c r="M22" s="44"/>
      <c r="N22" s="44"/>
      <c r="O22" s="44"/>
      <c r="P22" s="18"/>
      <c r="Q22" s="18"/>
      <c r="R22" s="18"/>
      <c r="S22" s="18"/>
      <c r="T22" s="18"/>
      <c r="U22" s="18"/>
      <c r="V22" s="18"/>
      <c r="W22" s="18"/>
      <c r="X22" s="18"/>
      <c r="Y22" s="18"/>
      <c r="Z22" s="18"/>
      <c r="AA22" s="18"/>
    </row>
    <row r="23" ht="25.5" customHeight="1">
      <c r="B23" s="138"/>
      <c r="C23" s="40"/>
      <c r="D23" s="156"/>
      <c r="E23" s="156"/>
      <c r="F23" s="138"/>
      <c r="G23" s="138"/>
      <c r="H23" s="138"/>
      <c r="I23" s="138"/>
      <c r="J23" s="141"/>
      <c r="K23" s="138"/>
      <c r="L23" s="138"/>
      <c r="M23" s="138"/>
      <c r="N23" s="138"/>
      <c r="O23" s="138"/>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A$1:$AA$1007"/>
  <dataValidations>
    <dataValidation type="list" allowBlank="1" showErrorMessage="1" sqref="D6:D7">
      <formula1>"Text,Numeric,Image,Single Select,Multi select,File,Date,Time,Subject"</formula1>
    </dataValidation>
    <dataValidation type="list" allowBlank="1" showErrorMessage="1" sqref="D19:D20">
      <formula1>"Text,Numeric,Image,Single Select,Multi select,File"</formula1>
    </dataValidation>
    <dataValidation type="list" allowBlank="1" showErrorMessage="1" sqref="E2:E23">
      <formula1>"yes,no"</formula1>
    </dataValidation>
    <dataValidation type="list" allowBlank="1" showErrorMessage="1" sqref="D2:D3 D21:D22">
      <formula1>"Text,Numeric,Image,Single Select,Multi select,File,Date,time,Autocapture,File multi select"</formula1>
    </dataValidation>
    <dataValidation type="list" allowBlank="1" showErrorMessage="1" sqref="D4:D5 D8:D18 D23">
      <formula1>"Text,Numeric,Image,Single Select,Multi select,Date,File,time,Autocaculate"</formula1>
    </dataValidation>
  </dataValidations>
  <printOptions/>
  <pageMargins bottom="0.75" footer="0.0" header="0.0" left="0.7" right="0.7" top="0.75"/>
  <pageSetup orientation="landscape"/>
  <drawing r:id="rId4"/>
  <legacyDrawing r:id="rId5"/>
</worksheet>
</file>